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TH " sheetId="1" r:id="rId5"/>
    <sheet state="visible" name="SSH" sheetId="2" r:id="rId6"/>
    <sheet state="visible" name="UTH-dole" sheetId="3" r:id="rId7"/>
    <sheet state="visible" name="202-uth" sheetId="4" r:id="rId8"/>
    <sheet state="visible" name="202-ssh" sheetId="5" r:id="rId9"/>
    <sheet state="visible" name="202" sheetId="6" r:id="rId10"/>
    <sheet state="visible" name="Old 202" sheetId="7" r:id="rId11"/>
    <sheet state="visible" name="Birthday" sheetId="8" r:id="rId12"/>
    <sheet state="visible" name="UTH INCR 35" sheetId="9" r:id="rId13"/>
    <sheet state="visible" name="UTH INCR 50" sheetId="10" r:id="rId14"/>
    <sheet state="visible" name="SSH INCR 35" sheetId="11" r:id="rId15"/>
    <sheet state="visible" name="SSH INCR 50" sheetId="12" r:id="rId16"/>
    <sheet state="visible" name="Sheet3 (2)" sheetId="13" r:id="rId17"/>
    <sheet state="visible" name="R-Leave" sheetId="14" r:id="rId18"/>
    <sheet state="hidden" name="Sheet2" sheetId="15" r:id="rId19"/>
    <sheet state="hidden" name="Sheet1" sheetId="16" r:id="rId20"/>
    <sheet state="hidden" name="UTH.202" sheetId="17" r:id="rId21"/>
    <sheet state="hidden" name="SSH.202" sheetId="18" r:id="rId22"/>
  </sheets>
  <definedNames/>
  <calcPr/>
</workbook>
</file>

<file path=xl/sharedStrings.xml><?xml version="1.0" encoding="utf-8"?>
<sst xmlns="http://schemas.openxmlformats.org/spreadsheetml/2006/main" count="13377" uniqueCount="6223">
  <si>
    <t>URBAN TRAVELLERS HOTEL/ PASAY TAFT TOURIST  DEV. INC</t>
  </si>
  <si>
    <t xml:space="preserve">No. </t>
  </si>
  <si>
    <t>Last Name</t>
  </si>
  <si>
    <t xml:space="preserve">First Name </t>
  </si>
  <si>
    <t>Middle Name</t>
  </si>
  <si>
    <t>Middle Initial</t>
  </si>
  <si>
    <t>Suffix</t>
  </si>
  <si>
    <t>Full Name</t>
  </si>
  <si>
    <t>Position</t>
  </si>
  <si>
    <t>Sub Department</t>
  </si>
  <si>
    <t xml:space="preserve">Department </t>
  </si>
  <si>
    <t>Employment Status</t>
  </si>
  <si>
    <t>Company</t>
  </si>
  <si>
    <t xml:space="preserve">Employee's ID No. </t>
  </si>
  <si>
    <t>Hired Date</t>
  </si>
  <si>
    <t>Training</t>
  </si>
  <si>
    <t>Probationary</t>
  </si>
  <si>
    <t>Date Today</t>
  </si>
  <si>
    <t>Year</t>
  </si>
  <si>
    <t>Month</t>
  </si>
  <si>
    <t>Day</t>
  </si>
  <si>
    <t>Regularization</t>
  </si>
  <si>
    <t>1st Position</t>
  </si>
  <si>
    <t>Coverage Date</t>
  </si>
  <si>
    <t>2nd Position</t>
  </si>
  <si>
    <t>Previous Salary</t>
  </si>
  <si>
    <t>Basic Salary</t>
  </si>
  <si>
    <t>Allowance</t>
  </si>
  <si>
    <t>Monthly Gross Pay</t>
  </si>
  <si>
    <t>Daily rate</t>
  </si>
  <si>
    <t>Type of payroll</t>
  </si>
  <si>
    <t xml:space="preserve">Payroll Account No. </t>
  </si>
  <si>
    <t>Gender</t>
  </si>
  <si>
    <t>Civil Status</t>
  </si>
  <si>
    <t xml:space="preserve">Birthday </t>
  </si>
  <si>
    <t>Age</t>
  </si>
  <si>
    <t>Present Address</t>
  </si>
  <si>
    <t>Province</t>
  </si>
  <si>
    <t xml:space="preserve">Contact Number </t>
  </si>
  <si>
    <t>Email Address</t>
  </si>
  <si>
    <t>Education Attainment</t>
  </si>
  <si>
    <t>Course</t>
  </si>
  <si>
    <t>SSS</t>
  </si>
  <si>
    <t>Philhealth</t>
  </si>
  <si>
    <t xml:space="preserve">PagIBIG No. </t>
  </si>
  <si>
    <t>TIN</t>
  </si>
  <si>
    <t>No. of Dependents</t>
  </si>
  <si>
    <t>Contact Person</t>
  </si>
  <si>
    <t>Relationship</t>
  </si>
  <si>
    <t xml:space="preserve">ER Contact No. </t>
  </si>
  <si>
    <t>Remarks</t>
  </si>
  <si>
    <t>Hermocilla</t>
  </si>
  <si>
    <t>Ariel</t>
  </si>
  <si>
    <t>De La Cruz</t>
  </si>
  <si>
    <t>D</t>
  </si>
  <si>
    <t>Front Desk Attendant</t>
  </si>
  <si>
    <t>Operations Department</t>
  </si>
  <si>
    <t>Regular</t>
  </si>
  <si>
    <t>UTH</t>
  </si>
  <si>
    <t>Monthly</t>
  </si>
  <si>
    <t>000661620212</t>
  </si>
  <si>
    <t>Male</t>
  </si>
  <si>
    <t>Single</t>
  </si>
  <si>
    <t>91 Road 1, North Daang Hari, Taguig City</t>
  </si>
  <si>
    <t>Malansad Viejo, Libmanan, Cam Sur</t>
  </si>
  <si>
    <t>Hermocillariel1216@gamil.com</t>
  </si>
  <si>
    <t>2 years Graduate</t>
  </si>
  <si>
    <t>Hotel and Restaurant Management</t>
  </si>
  <si>
    <t>04-1326511-5</t>
  </si>
  <si>
    <t>19-090484598-5</t>
  </si>
  <si>
    <t>1210-7442-3026</t>
  </si>
  <si>
    <t>928-014-493</t>
  </si>
  <si>
    <t>Reshyl Hermocilla</t>
  </si>
  <si>
    <t>Sister</t>
  </si>
  <si>
    <t>Santos</t>
  </si>
  <si>
    <t>Mark</t>
  </si>
  <si>
    <t>Reyes</t>
  </si>
  <si>
    <t>R</t>
  </si>
  <si>
    <t>Dela Cruz</t>
  </si>
  <si>
    <t>Angela</t>
  </si>
  <si>
    <t>Flores</t>
  </si>
  <si>
    <t>F</t>
  </si>
  <si>
    <t>Room Attendant</t>
  </si>
  <si>
    <t>Housekeeping</t>
  </si>
  <si>
    <t>Garcia</t>
  </si>
  <si>
    <t>John</t>
  </si>
  <si>
    <t>Lopez</t>
  </si>
  <si>
    <t>L</t>
  </si>
  <si>
    <t>Security Guard</t>
  </si>
  <si>
    <t>Others</t>
  </si>
  <si>
    <t>Lim</t>
  </si>
  <si>
    <t>Kevin</t>
  </si>
  <si>
    <t>Tan</t>
  </si>
  <si>
    <t>T</t>
  </si>
  <si>
    <t>IT Support</t>
  </si>
  <si>
    <t>System &amp; Network Officer</t>
  </si>
  <si>
    <t xml:space="preserve">    SHOGUN SUITE HOTEL/ H&amp;R BUSINESS DEV. INC</t>
  </si>
  <si>
    <t>SUFFIX</t>
  </si>
  <si>
    <t xml:space="preserve">Employee's No. </t>
  </si>
  <si>
    <t>Masing</t>
  </si>
  <si>
    <t>Joselito</t>
  </si>
  <si>
    <t>Ario</t>
  </si>
  <si>
    <t>A</t>
  </si>
  <si>
    <t>Duty Officer</t>
  </si>
  <si>
    <t>Operation Department</t>
  </si>
  <si>
    <t>SSH</t>
  </si>
  <si>
    <t>000661577570</t>
  </si>
  <si>
    <t>Married</t>
  </si>
  <si>
    <t>358 Sampaloc Site II, Purok 4 Guyabano Street BF Homes, Parañaque City</t>
  </si>
  <si>
    <t>joselitomasing@yahoo.com</t>
  </si>
  <si>
    <t>Bachelor's Graduate</t>
  </si>
  <si>
    <t>BS Mechanical Engineering</t>
  </si>
  <si>
    <t>34-2408456-0</t>
  </si>
  <si>
    <t>01-051086407-2</t>
  </si>
  <si>
    <t>1210-9029-5515</t>
  </si>
  <si>
    <t>261-462-607</t>
  </si>
  <si>
    <t>Ana Marie Masing</t>
  </si>
  <si>
    <t>Wife</t>
  </si>
  <si>
    <t>Labitan</t>
  </si>
  <si>
    <t xml:space="preserve">Frankie </t>
  </si>
  <si>
    <t>David</t>
  </si>
  <si>
    <t>353D Poinsetta St, Gravil Pit, Payatas-A, Quezon City</t>
  </si>
  <si>
    <t>frankie.labitan.ge2019@gmail.com</t>
  </si>
  <si>
    <t>BS Customs Administration</t>
  </si>
  <si>
    <t>33-4174901-4</t>
  </si>
  <si>
    <t>19-051569905-1</t>
  </si>
  <si>
    <t>1210-5209-3976</t>
  </si>
  <si>
    <t>201-301-977</t>
  </si>
  <si>
    <t>Hermelyn Labitan</t>
  </si>
  <si>
    <t>Palayar</t>
  </si>
  <si>
    <t>Meryme</t>
  </si>
  <si>
    <t>Canalita</t>
  </si>
  <si>
    <t>C</t>
  </si>
  <si>
    <t>TO/Cashier</t>
  </si>
  <si>
    <t>000661576566</t>
  </si>
  <si>
    <t>Female</t>
  </si>
  <si>
    <t>Block 30 Lot 10 St. Elena St. Brgy 178, Maricaban, Pasay City</t>
  </si>
  <si>
    <t>Tomagodtod, Calabanga. Camarines Sur</t>
  </si>
  <si>
    <t>merymepalayar@gmail.com</t>
  </si>
  <si>
    <t>BS Hotel and Restaurant Management</t>
  </si>
  <si>
    <t>34-8402987-9</t>
  </si>
  <si>
    <t>10-250998603-4</t>
  </si>
  <si>
    <t>1212-4903-9272</t>
  </si>
  <si>
    <t>747-057-474</t>
  </si>
  <si>
    <t>Mary Den Palayar</t>
  </si>
  <si>
    <t>Gloria</t>
  </si>
  <si>
    <t>Cristine</t>
  </si>
  <si>
    <t>Realon</t>
  </si>
  <si>
    <t>000661565432</t>
  </si>
  <si>
    <t>2827 Pilapil St., Pasay City</t>
  </si>
  <si>
    <t>Langiran, Bayambang, Pangasinan</t>
  </si>
  <si>
    <t>cristinegloria5@gmail.com</t>
  </si>
  <si>
    <t>34-5078174-3</t>
  </si>
  <si>
    <t>01-025763738-2</t>
  </si>
  <si>
    <t>1211-4203-4352</t>
  </si>
  <si>
    <t>335-871-290</t>
  </si>
  <si>
    <t>Joy Villanueva</t>
  </si>
  <si>
    <t>Branzuela</t>
  </si>
  <si>
    <t>Arnel</t>
  </si>
  <si>
    <t>Alcantara</t>
  </si>
  <si>
    <t>Cook</t>
  </si>
  <si>
    <t>Kitchen Department</t>
  </si>
  <si>
    <t>000661558207</t>
  </si>
  <si>
    <t>Lot 2 Blk 7 Sec. 17 Belvedere Town III Ph 6, Gen. Trias, Cavite</t>
  </si>
  <si>
    <t>arnelbranzuela0622@gmail.com</t>
  </si>
  <si>
    <t>Vocational Graduate</t>
  </si>
  <si>
    <t>Electronics</t>
  </si>
  <si>
    <t>33-0372207-9</t>
  </si>
  <si>
    <t>19-089218406-6</t>
  </si>
  <si>
    <t>1070-0045-0206</t>
  </si>
  <si>
    <t>152-079-073</t>
  </si>
  <si>
    <t>Emma Branzuela</t>
  </si>
  <si>
    <t>wife</t>
  </si>
  <si>
    <t>San Juan</t>
  </si>
  <si>
    <t>Nilo</t>
  </si>
  <si>
    <t>Roja</t>
  </si>
  <si>
    <t>Maintenance Helper</t>
  </si>
  <si>
    <t>Maintenance Department</t>
  </si>
  <si>
    <t>Daily</t>
  </si>
  <si>
    <t>000661562417</t>
  </si>
  <si>
    <t>2441 Oro-A San Andres Bukid, Manila</t>
  </si>
  <si>
    <t>Naga, Camarines Sur</t>
  </si>
  <si>
    <t>03-9452666-9</t>
  </si>
  <si>
    <t>19-026380779-4</t>
  </si>
  <si>
    <t>1212-5082-1298</t>
  </si>
  <si>
    <t>751-992-977</t>
  </si>
  <si>
    <t>Gitangeline San Juan</t>
  </si>
  <si>
    <t>Dungo</t>
  </si>
  <si>
    <t>Marvin</t>
  </si>
  <si>
    <t>Lising</t>
  </si>
  <si>
    <t>Leadman</t>
  </si>
  <si>
    <t>Housekeeping Department</t>
  </si>
  <si>
    <t>000661558118</t>
  </si>
  <si>
    <t>15F Bonanza St., Pasay City</t>
  </si>
  <si>
    <t>San Miguel Mexico, Pampanga</t>
  </si>
  <si>
    <t>dungomarvin03@gmail.com</t>
  </si>
  <si>
    <t>Electrical</t>
  </si>
  <si>
    <t>02-1778168-8</t>
  </si>
  <si>
    <t>01-050139731-3</t>
  </si>
  <si>
    <t>1040-0197-9851</t>
  </si>
  <si>
    <t>288-029-206</t>
  </si>
  <si>
    <t>Lea Ativo Dungo</t>
  </si>
  <si>
    <t>Molina</t>
  </si>
  <si>
    <t>Andy</t>
  </si>
  <si>
    <t>Lamadrid</t>
  </si>
  <si>
    <t>641 Quezon Blvd, Quiapo, Manila</t>
  </si>
  <si>
    <t>Iriga City, Camarines Sur</t>
  </si>
  <si>
    <t>Andymolina713@gmail.com</t>
  </si>
  <si>
    <t>05-1535311-6</t>
  </si>
  <si>
    <t>10-025366714-6</t>
  </si>
  <si>
    <t>1212-5441-4399</t>
  </si>
  <si>
    <t>504-123-808</t>
  </si>
  <si>
    <t>Corazon Molina</t>
  </si>
  <si>
    <t>Mother</t>
  </si>
  <si>
    <t>Hilario</t>
  </si>
  <si>
    <t>Manuel</t>
  </si>
  <si>
    <t>Marasigan</t>
  </si>
  <si>
    <t>M</t>
  </si>
  <si>
    <t>Kiltchen Helper</t>
  </si>
  <si>
    <t>Kitchen Helper</t>
  </si>
  <si>
    <t>Maried</t>
  </si>
  <si>
    <t>558 Libis Orkana, Caloocan City</t>
  </si>
  <si>
    <t>hilariomanuel1811@gmail.com</t>
  </si>
  <si>
    <t>High School</t>
  </si>
  <si>
    <t>34-6474955-1</t>
  </si>
  <si>
    <t>02-250786927-4</t>
  </si>
  <si>
    <t>1212-1509-7558</t>
  </si>
  <si>
    <t>002-240-246</t>
  </si>
  <si>
    <t>Cortado</t>
  </si>
  <si>
    <t xml:space="preserve">George </t>
  </si>
  <si>
    <t>Calatrava</t>
  </si>
  <si>
    <t>Jr.</t>
  </si>
  <si>
    <t>321 Edang St., Barangay 151, Pasay City</t>
  </si>
  <si>
    <t>Brgy Calao-oan, Candon City, Ilocos Sur</t>
  </si>
  <si>
    <t>cortadogeorge11@gmail.com</t>
  </si>
  <si>
    <t>Senior High School</t>
  </si>
  <si>
    <t>Tech-Voc and Industrial Arts (automotive Servicing) Strand</t>
  </si>
  <si>
    <t>34-8856481-9</t>
  </si>
  <si>
    <t>01-200238537-4</t>
  </si>
  <si>
    <t>1213-0311-7422</t>
  </si>
  <si>
    <t>614-875-479</t>
  </si>
  <si>
    <t>Geonimay C. Bryant</t>
  </si>
  <si>
    <t>Salangsang</t>
  </si>
  <si>
    <t>Roberto</t>
  </si>
  <si>
    <t>De Mesa</t>
  </si>
  <si>
    <t>#18 Chua Compound, Brgy. Pulang Lupa Uno, Las Piñas City</t>
  </si>
  <si>
    <t>robertosalangsang8@gmail.com</t>
  </si>
  <si>
    <t>2 Years Course/HRS</t>
  </si>
  <si>
    <t>2 yrs Graduate/ HRS</t>
  </si>
  <si>
    <t>34-7539473-3</t>
  </si>
  <si>
    <t>01-026298092-3</t>
  </si>
  <si>
    <t>1212-1455-2350</t>
  </si>
  <si>
    <t>606-608-562</t>
  </si>
  <si>
    <t>Robielyn Salangsang</t>
  </si>
  <si>
    <t>Lontayao</t>
  </si>
  <si>
    <t>June Rey</t>
  </si>
  <si>
    <t>Jaudian</t>
  </si>
  <si>
    <t>J</t>
  </si>
  <si>
    <t>B7 L13 Sta. Rita St., Brgy 178 Maricaban, Pasay City</t>
  </si>
  <si>
    <t>Kaytitinga 2, Alfonso, Cavite</t>
  </si>
  <si>
    <t>junereyjl03@gmail.com</t>
  </si>
  <si>
    <t>34-8180684-6</t>
  </si>
  <si>
    <t>08-026516463-7</t>
  </si>
  <si>
    <t>1212-3626-6819</t>
  </si>
  <si>
    <t>363-298-028</t>
  </si>
  <si>
    <t>Joesseph Firmeza</t>
  </si>
  <si>
    <t>Cousin</t>
  </si>
  <si>
    <t>Pornillos</t>
  </si>
  <si>
    <t>Emman</t>
  </si>
  <si>
    <t>Front Desk Attendant 04-01-26</t>
  </si>
  <si>
    <t>2132 Briton Rd. P. Burgos St., Brgy 50 Zone 7, Pasay City</t>
  </si>
  <si>
    <t>Purok 7 Caayunan Basud Camarines Norte</t>
  </si>
  <si>
    <t>erprnillosman21@gmail.com</t>
  </si>
  <si>
    <t>Grade 11 - Undergraduate</t>
  </si>
  <si>
    <t>05-1864463-1</t>
  </si>
  <si>
    <t>10-250599348-6</t>
  </si>
  <si>
    <t>1213-5586-0923</t>
  </si>
  <si>
    <t>760-617-279</t>
  </si>
  <si>
    <t>Camille Faye Rivarez</t>
  </si>
  <si>
    <t>Friend</t>
  </si>
  <si>
    <t>Perez</t>
  </si>
  <si>
    <t>Luis Alejandro</t>
  </si>
  <si>
    <t>05/19/2025</t>
  </si>
  <si>
    <t>Quezon Avenue, Quezon City</t>
  </si>
  <si>
    <t>Blk 2 Lot 17 Jordan Park Homes Real De Cacarong, Pandi Bulacan</t>
  </si>
  <si>
    <t>userrr015@gmail.com</t>
  </si>
  <si>
    <t xml:space="preserve">Hotel and Restaurant Services </t>
  </si>
  <si>
    <t>02-5256607-5</t>
  </si>
  <si>
    <t>21-025750482-9</t>
  </si>
  <si>
    <t>1213-4600-2351</t>
  </si>
  <si>
    <t>654-309-151</t>
  </si>
  <si>
    <t>Angelita Perez</t>
  </si>
  <si>
    <t>Marqueso</t>
  </si>
  <si>
    <t>Barry</t>
  </si>
  <si>
    <t>Velasco</t>
  </si>
  <si>
    <t>V</t>
  </si>
  <si>
    <t>Elesa Home Molino, Bacoor Cavite</t>
  </si>
  <si>
    <t>barrymarqueso40@gmail.com</t>
  </si>
  <si>
    <t>BS Hospitality Management</t>
  </si>
  <si>
    <t>08-3491450-8</t>
  </si>
  <si>
    <t>18-250131722-6</t>
  </si>
  <si>
    <t>1213-6563-4275</t>
  </si>
  <si>
    <t>676-421-923</t>
  </si>
  <si>
    <t>June Santos</t>
  </si>
  <si>
    <t>Uncle</t>
  </si>
  <si>
    <t xml:space="preserve">De Mesa </t>
  </si>
  <si>
    <t>Rece Jun</t>
  </si>
  <si>
    <t>Bumatay</t>
  </si>
  <si>
    <t>B</t>
  </si>
  <si>
    <t>Brgy. 99, Vergil Street, Pasay City</t>
  </si>
  <si>
    <t>Tina, Tacurong City, Sultan Kudarat</t>
  </si>
  <si>
    <t>demesarecejun@gmail.com</t>
  </si>
  <si>
    <t>BS Tourism Mngt - Cum Laude</t>
  </si>
  <si>
    <t>09-5407805-2</t>
  </si>
  <si>
    <t>17-025774135-7</t>
  </si>
  <si>
    <t>1213-6994-3194</t>
  </si>
  <si>
    <t>680-673-524</t>
  </si>
  <si>
    <t>Reynald De Mesa</t>
  </si>
  <si>
    <t>Father</t>
  </si>
  <si>
    <t>Peligro</t>
  </si>
  <si>
    <t>Marivic</t>
  </si>
  <si>
    <t>Centeno</t>
  </si>
  <si>
    <t>Leadwoman</t>
  </si>
  <si>
    <t>2657 Zamora St. Brgy 97 Pasay City</t>
  </si>
  <si>
    <t>La Miña St., Cabanguran, San Quintin, Pangasinan</t>
  </si>
  <si>
    <t>peligromarivic23@gmail.com</t>
  </si>
  <si>
    <t>BS Hospitality Mngt</t>
  </si>
  <si>
    <t>02-5033792-1</t>
  </si>
  <si>
    <t>02-027747850-2</t>
  </si>
  <si>
    <t>1213-3162-1356</t>
  </si>
  <si>
    <t>641-526-628</t>
  </si>
  <si>
    <t>Ma. Katrina Peligro</t>
  </si>
  <si>
    <t>Terna</t>
  </si>
  <si>
    <t>Junerey</t>
  </si>
  <si>
    <t>Fortunado</t>
  </si>
  <si>
    <t>Houskeeping Department</t>
  </si>
  <si>
    <t>11/21/2025</t>
  </si>
  <si>
    <t>15 B Bonanza Drive, Brgy 189, Don Carlos Village, Pasay City</t>
  </si>
  <si>
    <t>Dian-ay Escalante City, Negros Occidental</t>
  </si>
  <si>
    <t>junereyterna39@gmail.com</t>
  </si>
  <si>
    <t>2 Years Course/Vocational</t>
  </si>
  <si>
    <t>Associate in Computer and Technology</t>
  </si>
  <si>
    <t>34-3571811-3</t>
  </si>
  <si>
    <t>01-025477003-0</t>
  </si>
  <si>
    <t>1212-5421-2543</t>
  </si>
  <si>
    <t>348-563-265</t>
  </si>
  <si>
    <t>Rosalinda Terna</t>
  </si>
  <si>
    <t>Posoc</t>
  </si>
  <si>
    <t>Russian</t>
  </si>
  <si>
    <t>Melchor</t>
  </si>
  <si>
    <t>1761 Int. 10 Kahilom 1, Pandacan Manila</t>
  </si>
  <si>
    <t>russianposoc5@gmail.com</t>
  </si>
  <si>
    <t>Vocational</t>
  </si>
  <si>
    <t>Electronic Comm. Technology</t>
  </si>
  <si>
    <t>35-2435940-9</t>
  </si>
  <si>
    <t>02-252279770-0</t>
  </si>
  <si>
    <t>1213-3273-4078</t>
  </si>
  <si>
    <t>640-143-329</t>
  </si>
  <si>
    <t>Charito Posoc</t>
  </si>
  <si>
    <t>Dela Peña</t>
  </si>
  <si>
    <t>Patrick Adrian</t>
  </si>
  <si>
    <t>Arevalo</t>
  </si>
  <si>
    <t>Dela Peña , Patrick Adrian A.</t>
  </si>
  <si>
    <t xml:space="preserve">Patrick Adrian A. Dela Peña </t>
  </si>
  <si>
    <t>Dela Peña , Patrick Adrian Arevalo</t>
  </si>
  <si>
    <t>01/29/2026</t>
  </si>
  <si>
    <t>Arevalo Compound, P.F. Expiritu VIII, Bacoor City, Cavite, 4102</t>
  </si>
  <si>
    <t>patpatdelapena07@gmail.com</t>
  </si>
  <si>
    <t>STEM</t>
  </si>
  <si>
    <t>35-1547589-7</t>
  </si>
  <si>
    <t>08-026880774-1</t>
  </si>
  <si>
    <t>1212-9468-6170</t>
  </si>
  <si>
    <t>385-503-059</t>
  </si>
  <si>
    <t>Allyzza Kaye Abello</t>
  </si>
  <si>
    <t>Partner</t>
  </si>
  <si>
    <t>Rehired</t>
  </si>
  <si>
    <t>Forte</t>
  </si>
  <si>
    <t>Leah Marie</t>
  </si>
  <si>
    <t>Guillermo</t>
  </si>
  <si>
    <t>G</t>
  </si>
  <si>
    <t>02/18/2026</t>
  </si>
  <si>
    <t>08/17/2026</t>
  </si>
  <si>
    <t>Merville, Pasay City</t>
  </si>
  <si>
    <t>Zone 1 Baro Asingan, Pangasinan</t>
  </si>
  <si>
    <t>leahfortee@gmail.com</t>
  </si>
  <si>
    <t>02-5580724-9</t>
  </si>
  <si>
    <t>02-250928350-1</t>
  </si>
  <si>
    <t>1213-7065-2646</t>
  </si>
  <si>
    <t>683-119-159</t>
  </si>
  <si>
    <t>Edison Forte</t>
  </si>
  <si>
    <t>Brother</t>
  </si>
  <si>
    <t>Pigar</t>
  </si>
  <si>
    <t>Stephen Olivier</t>
  </si>
  <si>
    <t>Soriano</t>
  </si>
  <si>
    <t>S</t>
  </si>
  <si>
    <t>02/20/2026</t>
  </si>
  <si>
    <t>02/19/2026</t>
  </si>
  <si>
    <t>08/19/2026</t>
  </si>
  <si>
    <t>2323 Nickel St. Brgy. 773 Sta Ana Manila</t>
  </si>
  <si>
    <t>olivierpigar@gmail.com</t>
  </si>
  <si>
    <t>34-8410394-4</t>
  </si>
  <si>
    <t>01-252481519-0</t>
  </si>
  <si>
    <t>1212-4950-3966</t>
  </si>
  <si>
    <t>742-788-182</t>
  </si>
  <si>
    <t>Gladys Pigar</t>
  </si>
  <si>
    <t>Castillo</t>
  </si>
  <si>
    <t>Christian Jay</t>
  </si>
  <si>
    <t>De Lara</t>
  </si>
  <si>
    <t>02/15/2026</t>
  </si>
  <si>
    <t>Blk 9 Lot 2 Ph.2 Terrassa, Buhay na Tubig, City of Imus, Cavite</t>
  </si>
  <si>
    <t>Brgy. Maginhawa Lubang, Occidental Mindoro</t>
  </si>
  <si>
    <t>christianjaycastillo018@gmail.com</t>
  </si>
  <si>
    <t>35-2675513-7</t>
  </si>
  <si>
    <t>09-253550314-3</t>
  </si>
  <si>
    <t>1213-2506-7841</t>
  </si>
  <si>
    <t>632-662-983</t>
  </si>
  <si>
    <t>Mary Jane Ocampo</t>
  </si>
  <si>
    <t>Dave Mar</t>
  </si>
  <si>
    <t>P</t>
  </si>
  <si>
    <t>Trainee</t>
  </si>
  <si>
    <t>Refer by Joesseph previous staff</t>
  </si>
  <si>
    <t>Type of Employment</t>
  </si>
  <si>
    <t xml:space="preserve"> </t>
  </si>
  <si>
    <t xml:space="preserve">        </t>
  </si>
  <si>
    <t>Project</t>
  </si>
  <si>
    <t>Salary</t>
  </si>
  <si>
    <t>Monthly-paid</t>
  </si>
  <si>
    <t>Daily-piad</t>
  </si>
  <si>
    <t>Macairap</t>
  </si>
  <si>
    <t>Ruben</t>
  </si>
  <si>
    <t>Suniega</t>
  </si>
  <si>
    <t>General Manager/Vice President</t>
  </si>
  <si>
    <t>General Manager</t>
  </si>
  <si>
    <t>VIP</t>
  </si>
  <si>
    <t>Laurence</t>
  </si>
  <si>
    <t>Aquino</t>
  </si>
  <si>
    <t>Senior Duty Officer</t>
  </si>
  <si>
    <t>000661560503</t>
  </si>
  <si>
    <t>BLK 4 Lot 13 Maria Salud Village, Meralco Phaze 1, Bacoor, Cavite City</t>
  </si>
  <si>
    <t>bongtan68@yahoo.com</t>
  </si>
  <si>
    <t>Undergraduate</t>
  </si>
  <si>
    <t>BS Electronics Engineering</t>
  </si>
  <si>
    <t>09-3744423-0</t>
  </si>
  <si>
    <t>19-051702587-2</t>
  </si>
  <si>
    <t>1040-0164-3135</t>
  </si>
  <si>
    <t>108-003-042</t>
  </si>
  <si>
    <t>Marlyn Tran</t>
  </si>
  <si>
    <t>Gumapac</t>
  </si>
  <si>
    <t>Mark Laurence</t>
  </si>
  <si>
    <t>Ibañez</t>
  </si>
  <si>
    <t>I</t>
  </si>
  <si>
    <t>Finance &amp; Accounting Department</t>
  </si>
  <si>
    <t>000661562093</t>
  </si>
  <si>
    <t>124 Silverio Comp. Purok 1, Brgy. San Isidro, Parañaque</t>
  </si>
  <si>
    <t>mklaurence12@gmail.com</t>
  </si>
  <si>
    <t>Computer Programming</t>
  </si>
  <si>
    <t>34-0209592-4</t>
  </si>
  <si>
    <t>01-050513527-5</t>
  </si>
  <si>
    <t>1040-0168-3100</t>
  </si>
  <si>
    <t>246-990-966</t>
  </si>
  <si>
    <t>Luzviminda Gumapac</t>
  </si>
  <si>
    <t>Mariano</t>
  </si>
  <si>
    <t>Raymund</t>
  </si>
  <si>
    <t>Baquiran</t>
  </si>
  <si>
    <t>Finance Head</t>
  </si>
  <si>
    <t>000661560368</t>
  </si>
  <si>
    <t>26 B. Jalaur St. Nia Village, Barangay Sauyo, Quezon City</t>
  </si>
  <si>
    <t>rbmariano@yahoo.com</t>
  </si>
  <si>
    <t>College Graduate</t>
  </si>
  <si>
    <t>BSBA Major in Accounting</t>
  </si>
  <si>
    <t>03-9484341-0</t>
  </si>
  <si>
    <t>19-050875436-5</t>
  </si>
  <si>
    <t>1040-0172-0078</t>
  </si>
  <si>
    <t>135-975-774</t>
  </si>
  <si>
    <t>Mariza S. Mariano</t>
  </si>
  <si>
    <t>Tongson</t>
  </si>
  <si>
    <t>Eduardo</t>
  </si>
  <si>
    <t>Fabiaña</t>
  </si>
  <si>
    <t>Maintenance Head</t>
  </si>
  <si>
    <t>000661562123</t>
  </si>
  <si>
    <t>12 Mais St. Western Bicutan, Taguig City</t>
  </si>
  <si>
    <t>tongson_eduardo@yahoo.com</t>
  </si>
  <si>
    <t>BS Electrical Engineer</t>
  </si>
  <si>
    <t>02-1482899-7</t>
  </si>
  <si>
    <t>19-050778116-4</t>
  </si>
  <si>
    <t>1040-0149-7639</t>
  </si>
  <si>
    <t>914-827-791</t>
  </si>
  <si>
    <t>Ayessa Tongson</t>
  </si>
  <si>
    <t>09177976290/09958305418</t>
  </si>
  <si>
    <t>Peñaranda</t>
  </si>
  <si>
    <t>Anna Belle</t>
  </si>
  <si>
    <t>Fabro</t>
  </si>
  <si>
    <t>F &amp; B Coordinator</t>
  </si>
  <si>
    <t>F &amp; B Department - Dining</t>
  </si>
  <si>
    <t>000661560465</t>
  </si>
  <si>
    <t>56 Pulong Kendi II Brgy. Sta. Ana, Taguig City</t>
  </si>
  <si>
    <t>penaranda25@yahoo.com</t>
  </si>
  <si>
    <t>3rd yr. Undergraduate</t>
  </si>
  <si>
    <t>BS Education</t>
  </si>
  <si>
    <t>33-5029426-2</t>
  </si>
  <si>
    <t>19-050549251-3</t>
  </si>
  <si>
    <t>1211-0642-7067</t>
  </si>
  <si>
    <t>203-550-019</t>
  </si>
  <si>
    <t>Erickson Peñaranda</t>
  </si>
  <si>
    <t>Lino</t>
  </si>
  <si>
    <t>Henson</t>
  </si>
  <si>
    <t>De Guzman</t>
  </si>
  <si>
    <t>Liaison/CCTV</t>
  </si>
  <si>
    <t>HR Department</t>
  </si>
  <si>
    <t>000661562212</t>
  </si>
  <si>
    <t>46 Inut 3 Libis Orkana Street, Caloocan City</t>
  </si>
  <si>
    <t>linohenson@gmail.com</t>
  </si>
  <si>
    <t>Associate Graduate</t>
  </si>
  <si>
    <t>Electronic Communication Tech</t>
  </si>
  <si>
    <t>33-6332192-8</t>
  </si>
  <si>
    <t>01-050949564-0</t>
  </si>
  <si>
    <t>1210-9247-4759</t>
  </si>
  <si>
    <t>219-957-626</t>
  </si>
  <si>
    <t>Jocelyn Lino</t>
  </si>
  <si>
    <t>Piñgol</t>
  </si>
  <si>
    <t>Raymond</t>
  </si>
  <si>
    <t>Sevilla</t>
  </si>
  <si>
    <t>Assistant Accountant I</t>
  </si>
  <si>
    <t>000661558126</t>
  </si>
  <si>
    <t>362 Valencia Street Sta Mesa, Manila</t>
  </si>
  <si>
    <t>raymondpingol@yahoo.com</t>
  </si>
  <si>
    <t>BS Accountancy</t>
  </si>
  <si>
    <t>34-4614613-0</t>
  </si>
  <si>
    <t>02-026251033-7</t>
  </si>
  <si>
    <t>1211-2119-0321</t>
  </si>
  <si>
    <t>454-026-135</t>
  </si>
  <si>
    <t>Ramonito Piñgol</t>
  </si>
  <si>
    <t>Grimaldo</t>
  </si>
  <si>
    <t>Richard</t>
  </si>
  <si>
    <t>Zapanta</t>
  </si>
  <si>
    <t>Z</t>
  </si>
  <si>
    <t>Graphic Artist</t>
  </si>
  <si>
    <t>Sales and Mktg. Department</t>
  </si>
  <si>
    <t>0006615580445</t>
  </si>
  <si>
    <t>320 Figuracion Street Zone 3B Central Signal, Taguig City</t>
  </si>
  <si>
    <t>grimaldorichard02@gmail.com</t>
  </si>
  <si>
    <t>BS Computer Science</t>
  </si>
  <si>
    <t>34-0315621-5</t>
  </si>
  <si>
    <t>01-051117848-2</t>
  </si>
  <si>
    <t>1210-6258-7564</t>
  </si>
  <si>
    <t>280-997-345</t>
  </si>
  <si>
    <t>Rita Grimaldo</t>
  </si>
  <si>
    <t>Batario</t>
  </si>
  <si>
    <t>Roma Amor</t>
  </si>
  <si>
    <t>Barco</t>
  </si>
  <si>
    <t>Accounting Assistant</t>
  </si>
  <si>
    <t xml:space="preserve">Zone 1 Silangan Compound, Brgy. Zapote 5, Bacoor, Cavite </t>
  </si>
  <si>
    <t>romaamorbatario09@gmail.com</t>
  </si>
  <si>
    <t>35-0638123-3</t>
  </si>
  <si>
    <t>08-026832565-8</t>
  </si>
  <si>
    <t>1212-7914-0149</t>
  </si>
  <si>
    <t>399-262-845</t>
  </si>
  <si>
    <t>Teresita Batario</t>
  </si>
  <si>
    <t>Balaoro</t>
  </si>
  <si>
    <t>Royeth</t>
  </si>
  <si>
    <t>Cantonjos</t>
  </si>
  <si>
    <t>FDA</t>
  </si>
  <si>
    <t>05/04/2022 - 8/31/2022</t>
  </si>
  <si>
    <t>FDA (Trainee)</t>
  </si>
  <si>
    <t>9/1/2022-2/28/2023</t>
  </si>
  <si>
    <t>BLK 265 Lot 7, Topas St., Brgy. Pembo, Makati City</t>
  </si>
  <si>
    <t>Sto. Domingo, Bicol</t>
  </si>
  <si>
    <t>royeth_balaoro11@yahoo.com</t>
  </si>
  <si>
    <t>Hotel and Restaurant Services</t>
  </si>
  <si>
    <t>34-6268001-0</t>
  </si>
  <si>
    <t>01-252004333-9</t>
  </si>
  <si>
    <t>1211-8246-0543</t>
  </si>
  <si>
    <t>756-092-016</t>
  </si>
  <si>
    <t>Annie Balaoro</t>
  </si>
  <si>
    <t>Acasio</t>
  </si>
  <si>
    <t>Stefanie</t>
  </si>
  <si>
    <t>Galorio</t>
  </si>
  <si>
    <t>Marketing/Reservation Clerk</t>
  </si>
  <si>
    <t>000661562425</t>
  </si>
  <si>
    <t>Unit K 2827 Pilapil St., Pasay City</t>
  </si>
  <si>
    <t>stefaniewow143@gmail.com</t>
  </si>
  <si>
    <t>BS Hotel and Restaurant Technology</t>
  </si>
  <si>
    <t>06-4018363-3</t>
  </si>
  <si>
    <t>12-250238849-3</t>
  </si>
  <si>
    <t>1212-0135-9897</t>
  </si>
  <si>
    <t>353-565-365</t>
  </si>
  <si>
    <t>Susan Acasio</t>
  </si>
  <si>
    <t>9471807358 / 9274732797</t>
  </si>
  <si>
    <t>Deliva</t>
  </si>
  <si>
    <t>Lloyd</t>
  </si>
  <si>
    <t>Dagami</t>
  </si>
  <si>
    <t>F &amp; B Assistant</t>
  </si>
  <si>
    <t>#77 Tengco St. Malibay, Pasay City</t>
  </si>
  <si>
    <t>lloyddeliva@yahoo.com</t>
  </si>
  <si>
    <t>BS Information Technology(FBS)</t>
  </si>
  <si>
    <t>05-1018122-8</t>
  </si>
  <si>
    <t>10-050147999-8</t>
  </si>
  <si>
    <t>1210-5459-8754</t>
  </si>
  <si>
    <t>318-172-516</t>
  </si>
  <si>
    <t>Ameliza Deliva</t>
  </si>
  <si>
    <t>Abesamis</t>
  </si>
  <si>
    <t>Marius</t>
  </si>
  <si>
    <t>Taneo</t>
  </si>
  <si>
    <t>000661562190</t>
  </si>
  <si>
    <t>110 Bustos St. 2nd Avenue, Caloocan City</t>
  </si>
  <si>
    <t>abesamismarius24@ yahoo.com</t>
  </si>
  <si>
    <t>Computer Technology</t>
  </si>
  <si>
    <t>33-4740160-2</t>
  </si>
  <si>
    <t>01-050856146-1</t>
  </si>
  <si>
    <t>1211-6209-6718</t>
  </si>
  <si>
    <t>296-361-310</t>
  </si>
  <si>
    <t>Reynaldo Abesamis</t>
  </si>
  <si>
    <t>Oscar</t>
  </si>
  <si>
    <t>Malate</t>
  </si>
  <si>
    <t>Company Driver</t>
  </si>
  <si>
    <t>000661565653</t>
  </si>
  <si>
    <t>234 V. Sevilla St., 7th Ave., West, Caloocan City</t>
  </si>
  <si>
    <t>castillooscar54@yahoo.com</t>
  </si>
  <si>
    <t>33-9364731-3</t>
  </si>
  <si>
    <t>70-050672293-2</t>
  </si>
  <si>
    <t>1211-7640-7510</t>
  </si>
  <si>
    <t>266-189-839</t>
  </si>
  <si>
    <t>Sally Pepito</t>
  </si>
  <si>
    <t>Girlfriend</t>
  </si>
  <si>
    <t>Noriega</t>
  </si>
  <si>
    <t>Cynthia</t>
  </si>
  <si>
    <t>Clemente</t>
  </si>
  <si>
    <t>000661558304</t>
  </si>
  <si>
    <t>10 Everlasting St. Maricaban, Pasay City</t>
  </si>
  <si>
    <t>cynthianoriega@gmail.com</t>
  </si>
  <si>
    <t>33-9149299-7</t>
  </si>
  <si>
    <t>01-050138252-9</t>
  </si>
  <si>
    <t>1040-0164-3079</t>
  </si>
  <si>
    <t>238-250-876</t>
  </si>
  <si>
    <t>Fernan Noriega</t>
  </si>
  <si>
    <t>Husband</t>
  </si>
  <si>
    <t>Espino</t>
  </si>
  <si>
    <t>Elmer</t>
  </si>
  <si>
    <t>Cruz</t>
  </si>
  <si>
    <t>FDA/Doorman</t>
  </si>
  <si>
    <t>000661558290</t>
  </si>
  <si>
    <t>#20 Everlasting St. Maricaban, Pasay City</t>
  </si>
  <si>
    <t>lenmer0812@gmail.com</t>
  </si>
  <si>
    <t>Asso. HRM</t>
  </si>
  <si>
    <t>34-3697436-7</t>
  </si>
  <si>
    <t>01-025667818-2</t>
  </si>
  <si>
    <t>1210-8313-5291</t>
  </si>
  <si>
    <t>500-835-649</t>
  </si>
  <si>
    <t>Arlene Espino</t>
  </si>
  <si>
    <t>Taupo</t>
  </si>
  <si>
    <t xml:space="preserve">Luis Leonard </t>
  </si>
  <si>
    <t>F&amp;B Waiter/Pool Attendant</t>
  </si>
  <si>
    <t>F&amp;B Department</t>
  </si>
  <si>
    <t>05/16/2022-06/09/2022</t>
  </si>
  <si>
    <t>6/10/2022-12/9/2022</t>
  </si>
  <si>
    <t>000661562387</t>
  </si>
  <si>
    <t>0045 F. Orchid St., Brgy. San Dionisio, Parañaque City</t>
  </si>
  <si>
    <t>luisleonardtaupo@gmail.com</t>
  </si>
  <si>
    <t xml:space="preserve">Associate Hotel and Restaurant Mngt. </t>
  </si>
  <si>
    <t>34-4424069-8</t>
  </si>
  <si>
    <t>0302-5576-6194</t>
  </si>
  <si>
    <t>1211-1417-6890</t>
  </si>
  <si>
    <t>318-326-135</t>
  </si>
  <si>
    <t>Gregoria Dela Peña</t>
  </si>
  <si>
    <t>Laure</t>
  </si>
  <si>
    <t>Mark Anthony</t>
  </si>
  <si>
    <t>Pool Attendant/Gardener</t>
  </si>
  <si>
    <t>000661558185</t>
  </si>
  <si>
    <t>Blk-32 Lot 7 Brgy. Nicolasa Vitara GMA, Cavite</t>
  </si>
  <si>
    <t>markanthonylaure@gmail.com</t>
  </si>
  <si>
    <t>Computer Science</t>
  </si>
  <si>
    <t>06-2386668-9</t>
  </si>
  <si>
    <t>02-050904202-1</t>
  </si>
  <si>
    <t>1210-5465-6237</t>
  </si>
  <si>
    <t>317-743-660</t>
  </si>
  <si>
    <t>Abegail Laure</t>
  </si>
  <si>
    <t>Castroverde</t>
  </si>
  <si>
    <t>Edwin</t>
  </si>
  <si>
    <t>Lariza</t>
  </si>
  <si>
    <t>Maintenance Man</t>
  </si>
  <si>
    <t>000661562034</t>
  </si>
  <si>
    <t>2851 Sto. Niño Punta, Sta. Ana, Manila</t>
  </si>
  <si>
    <t>Evecastroverde@gmail.com</t>
  </si>
  <si>
    <t>33-5847434-3</t>
  </si>
  <si>
    <t>02-200389740-4</t>
  </si>
  <si>
    <t>1211-9063-6652</t>
  </si>
  <si>
    <t>335-834-500</t>
  </si>
  <si>
    <t>Reba Castroverde</t>
  </si>
  <si>
    <t>Almira</t>
  </si>
  <si>
    <t xml:space="preserve">Kristine Joy </t>
  </si>
  <si>
    <t>Tolentino</t>
  </si>
  <si>
    <t>Assistant Leadwoman</t>
  </si>
  <si>
    <t>000661575373</t>
  </si>
  <si>
    <t>1806-B Sandejas St.,  Brgy 44, Pasay City</t>
  </si>
  <si>
    <t>joykristine94almira@yahoo.com</t>
  </si>
  <si>
    <t>BS Cruiseship Management</t>
  </si>
  <si>
    <t>07-3681238-4</t>
  </si>
  <si>
    <t>11-251400779-1</t>
  </si>
  <si>
    <t>1212-0312-3815</t>
  </si>
  <si>
    <t>752-961-628</t>
  </si>
  <si>
    <t>Glad Almira</t>
  </si>
  <si>
    <t>Aunt</t>
  </si>
  <si>
    <t>Dennis</t>
  </si>
  <si>
    <t>Matugas</t>
  </si>
  <si>
    <t>General Reliever</t>
  </si>
  <si>
    <t>000661567516</t>
  </si>
  <si>
    <t>P3C B14 L9 Tamban Street Dagat Dagatan, Caloocan City</t>
  </si>
  <si>
    <t>Naval, Biliran</t>
  </si>
  <si>
    <t>denskieblue18@gmail.com</t>
  </si>
  <si>
    <t>34-0039076-0</t>
  </si>
  <si>
    <t>03-050804835-8</t>
  </si>
  <si>
    <t>1080-0118-7185</t>
  </si>
  <si>
    <t>459-577-299</t>
  </si>
  <si>
    <t>Glaiza Garcia</t>
  </si>
  <si>
    <t>Calantoc</t>
  </si>
  <si>
    <t>Lymar King</t>
  </si>
  <si>
    <t>Cariaga</t>
  </si>
  <si>
    <t>Waiter</t>
  </si>
  <si>
    <t>06/26/2022-02/11/2024</t>
  </si>
  <si>
    <t>FDA Shogun to Waiter Urban</t>
  </si>
  <si>
    <t>02/11/2024-</t>
  </si>
  <si>
    <t>000661613321</t>
  </si>
  <si>
    <t>San Miguel St. Purok 20, New Lower Bicutan, Taguig City</t>
  </si>
  <si>
    <t>Nueva Ecija</t>
  </si>
  <si>
    <t>Lymarcalantoc1994@gmail.com</t>
  </si>
  <si>
    <t>34-5433717-7</t>
  </si>
  <si>
    <t>03-025856546-7</t>
  </si>
  <si>
    <t>1211-5636-8925</t>
  </si>
  <si>
    <t>330-868-820</t>
  </si>
  <si>
    <t>Merly Calantoc</t>
  </si>
  <si>
    <t>Ramirez</t>
  </si>
  <si>
    <t>Via Angela</t>
  </si>
  <si>
    <t>Mayorga</t>
  </si>
  <si>
    <t>13 R. Higins St. Brgy. 185, Pasay City</t>
  </si>
  <si>
    <t>mviaangela@gmail.com</t>
  </si>
  <si>
    <t>04-4041495-5</t>
  </si>
  <si>
    <t>09-025609641-1</t>
  </si>
  <si>
    <t>1212-2192-0694</t>
  </si>
  <si>
    <t>346-178-828</t>
  </si>
  <si>
    <t>Esteven Ramirez</t>
  </si>
  <si>
    <t>Mañago</t>
  </si>
  <si>
    <t>Eusebio</t>
  </si>
  <si>
    <t xml:space="preserve">Gueta </t>
  </si>
  <si>
    <t>Assistant Chief Cook</t>
  </si>
  <si>
    <t>000661640817</t>
  </si>
  <si>
    <t>64 Purok 3, Brgy. Mauway, Mandaluyong City</t>
  </si>
  <si>
    <t>Agricultural Technology</t>
  </si>
  <si>
    <t>05-0339649-9</t>
  </si>
  <si>
    <t>01-050612971-6</t>
  </si>
  <si>
    <t>1040-0168-3090</t>
  </si>
  <si>
    <t>176-359-236</t>
  </si>
  <si>
    <t>Kendy Paycawa</t>
  </si>
  <si>
    <t>Pagurayan</t>
  </si>
  <si>
    <t>Leander</t>
  </si>
  <si>
    <t>Malabayabas</t>
  </si>
  <si>
    <t>12/01/2022-09/15/2023</t>
  </si>
  <si>
    <t>09/15/2023-</t>
  </si>
  <si>
    <t>000661637530</t>
  </si>
  <si>
    <t>11 Dalanghita Street, Western Bicutan, Taguig City</t>
  </si>
  <si>
    <t>Siteo Balayung, Boac, Marinduque</t>
  </si>
  <si>
    <t>tatapagurayan@gmail.com</t>
  </si>
  <si>
    <t>34-6998233-9</t>
  </si>
  <si>
    <t>01-026184888-6</t>
  </si>
  <si>
    <t>1212-0884-2187</t>
  </si>
  <si>
    <t>341-111-478</t>
  </si>
  <si>
    <t>Shirley Pagurayan</t>
  </si>
  <si>
    <t>Brezuela</t>
  </si>
  <si>
    <t>Mark Vinz</t>
  </si>
  <si>
    <t>De Los Santos</t>
  </si>
  <si>
    <t>000661640825</t>
  </si>
  <si>
    <t>Purok 3, Brgy. Tejero, General Trias, Cavite</t>
  </si>
  <si>
    <t>Pantao, Libon, Albay</t>
  </si>
  <si>
    <t>brezuelamarkvinz3@gmail.com</t>
  </si>
  <si>
    <t>Livelihood and Home Economics</t>
  </si>
  <si>
    <t>05-1518787-4</t>
  </si>
  <si>
    <t>1025-0261-3755</t>
  </si>
  <si>
    <t>1212-4977-4018</t>
  </si>
  <si>
    <t>987-654-321</t>
  </si>
  <si>
    <t>Vicente Brezuela</t>
  </si>
  <si>
    <t>Lucido</t>
  </si>
  <si>
    <t>Jonalet</t>
  </si>
  <si>
    <t>Manalo</t>
  </si>
  <si>
    <t>000661640418</t>
  </si>
  <si>
    <t>1930 C. Arellano Street, Pureza Sta/ Mesa, Manila</t>
  </si>
  <si>
    <t>Pinamalayan, Oriental Mindoro</t>
  </si>
  <si>
    <t>ljonalet122@gmail.com</t>
  </si>
  <si>
    <t>BS International Tourism</t>
  </si>
  <si>
    <t>35-1381248-1</t>
  </si>
  <si>
    <t>09-253110938-6</t>
  </si>
  <si>
    <t>1212-9893-2752</t>
  </si>
  <si>
    <t>604-612-348</t>
  </si>
  <si>
    <t>Josephine M. Lucido</t>
  </si>
  <si>
    <t>Fernando</t>
  </si>
  <si>
    <t>Princess</t>
  </si>
  <si>
    <t>Juarez</t>
  </si>
  <si>
    <t>000661641236</t>
  </si>
  <si>
    <t xml:space="preserve">Blk 46, Lot 6 Dao Corner Acaca St. Ampara Subd. Brgy. 179, Caloocan City </t>
  </si>
  <si>
    <t>Kabankalan City, Negros Occidental</t>
  </si>
  <si>
    <t>princessjuarezfernando@gmail.com</t>
  </si>
  <si>
    <t>BS Hospitality</t>
  </si>
  <si>
    <t>07-3572821-7</t>
  </si>
  <si>
    <t>11-025548710-8</t>
  </si>
  <si>
    <t>1212-9910-6675</t>
  </si>
  <si>
    <t>399-196-497</t>
  </si>
  <si>
    <t>Meriam Fernando</t>
  </si>
  <si>
    <t>Urriza</t>
  </si>
  <si>
    <t>Leslie</t>
  </si>
  <si>
    <t>Gonzales</t>
  </si>
  <si>
    <t>Purok 5 Brgy. Taytay, Nagcarlan, laguna</t>
  </si>
  <si>
    <t>urrizaleslie16@gmail.com</t>
  </si>
  <si>
    <t>04-4543575-1</t>
  </si>
  <si>
    <t>08-255460181-9</t>
  </si>
  <si>
    <t>1213-2138-4053</t>
  </si>
  <si>
    <t>384-770-817</t>
  </si>
  <si>
    <t>Susana G. Urriza</t>
  </si>
  <si>
    <t>Beldad</t>
  </si>
  <si>
    <t>Roniela Mari</t>
  </si>
  <si>
    <t>2639 P. Villanueva St., Pasay City</t>
  </si>
  <si>
    <t>beldadroniela03@gmail.com</t>
  </si>
  <si>
    <t>35-2747112-2</t>
  </si>
  <si>
    <t>02-251562755-7</t>
  </si>
  <si>
    <t>1213-2733-4397</t>
  </si>
  <si>
    <t>508-674-061</t>
  </si>
  <si>
    <t>Roni Beldad</t>
  </si>
  <si>
    <t>Arches</t>
  </si>
  <si>
    <t>Mischelle</t>
  </si>
  <si>
    <t>Linihan</t>
  </si>
  <si>
    <r>
      <rPr>
        <rFont val="Arial"/>
        <color rgb="FF777777"/>
        <sz val="9.0"/>
      </rPr>
      <t> </t>
    </r>
    <r>
      <rPr>
        <rFont val="Century Gothic"/>
        <color rgb="FF000000"/>
        <sz val="9.0"/>
      </rPr>
      <t>Blk7 lot13 Saint Rita St. Brgy 178 Pasay City</t>
    </r>
  </si>
  <si>
    <t>Masagana, pandi, Bulacan</t>
  </si>
  <si>
    <t>archesche1@gmail.com</t>
  </si>
  <si>
    <t>02-5033891-7</t>
  </si>
  <si>
    <t>21-252078209-2</t>
  </si>
  <si>
    <t>1213-3142-9978</t>
  </si>
  <si>
    <t>638-212-259</t>
  </si>
  <si>
    <t>Roselyn Arches</t>
  </si>
  <si>
    <t>Bacood, Sta. Mesa, Manila</t>
  </si>
  <si>
    <t>Ranque</t>
  </si>
  <si>
    <t>Beverly</t>
  </si>
  <si>
    <t>Biton</t>
  </si>
  <si>
    <t>264 Vergel St., Pasay City NCR</t>
  </si>
  <si>
    <t>Maraya, Vicenzo Sagun, Zamboanga Del Sur</t>
  </si>
  <si>
    <t>beverlyranque49@gmail.com</t>
  </si>
  <si>
    <t>10-1342546-4</t>
  </si>
  <si>
    <t>14-250904287-9</t>
  </si>
  <si>
    <t>1212-5221-6362</t>
  </si>
  <si>
    <t>776-592-147</t>
  </si>
  <si>
    <t>Merlyn Ranque</t>
  </si>
  <si>
    <t>Valdez</t>
  </si>
  <si>
    <t>Aircon Technician/Maintenance Assistant</t>
  </si>
  <si>
    <t>Blk 4 Lot 2 Annex 46, BLS Don Bosco, Parañaque City</t>
  </si>
  <si>
    <t>ariel.valdez.ge2020@gmail.com</t>
  </si>
  <si>
    <t>Ref and Aircon Mechanic</t>
  </si>
  <si>
    <t>33-8780372-3</t>
  </si>
  <si>
    <t>01-050687011-4</t>
  </si>
  <si>
    <t>1211-2982-7159</t>
  </si>
  <si>
    <t>267-459-746</t>
  </si>
  <si>
    <t>Jenalyn Valdez</t>
  </si>
  <si>
    <t>More</t>
  </si>
  <si>
    <t>Shaira</t>
  </si>
  <si>
    <t>Mahinay</t>
  </si>
  <si>
    <t>Live-In Partner</t>
  </si>
  <si>
    <t xml:space="preserve"> P2 Amontay, San Francisco, Surigao del Norte</t>
  </si>
  <si>
    <t>shairamahinaymore22@gmail.com</t>
  </si>
  <si>
    <t>BS  HRM / Undergraduate</t>
  </si>
  <si>
    <t>34-7424974-0</t>
  </si>
  <si>
    <t>18-250744840-3</t>
  </si>
  <si>
    <t>1212-2140-8662</t>
  </si>
  <si>
    <t>346-284-683</t>
  </si>
  <si>
    <t>Cecilia More</t>
  </si>
  <si>
    <t>Cecilia M. More (FB)</t>
  </si>
  <si>
    <t>former employee</t>
  </si>
  <si>
    <t>Department/Position</t>
  </si>
  <si>
    <t>No. of Employees</t>
  </si>
  <si>
    <t>Vacant</t>
  </si>
  <si>
    <t>Admin</t>
  </si>
  <si>
    <t>Accounting Dept</t>
  </si>
  <si>
    <t>HR Dept</t>
  </si>
  <si>
    <t>Marketing Dept</t>
  </si>
  <si>
    <t>F&amp;B</t>
  </si>
  <si>
    <t>Kitchen</t>
  </si>
  <si>
    <t>Maintenance</t>
  </si>
  <si>
    <t>Room Inspector</t>
  </si>
  <si>
    <t>Room Attendant Male</t>
  </si>
  <si>
    <t>Room Attendant Female</t>
  </si>
  <si>
    <t>Custodian</t>
  </si>
  <si>
    <t>Daily-paid</t>
  </si>
  <si>
    <t>Reason of Leaving</t>
  </si>
  <si>
    <t>Date end</t>
  </si>
  <si>
    <t>Aranda</t>
  </si>
  <si>
    <t>Jay-belle</t>
  </si>
  <si>
    <t>Bosque</t>
  </si>
  <si>
    <t>000661577635</t>
  </si>
  <si>
    <t xml:space="preserve">522-H  M. De Jesus San Roque Pasay City </t>
  </si>
  <si>
    <t>arandajaybelle20@gmail.com</t>
  </si>
  <si>
    <t>BA Major in History</t>
  </si>
  <si>
    <t>04-2155263-2</t>
  </si>
  <si>
    <t>01-051203584-7</t>
  </si>
  <si>
    <t>1211-7962-5221</t>
  </si>
  <si>
    <t>417-985-045</t>
  </si>
  <si>
    <t>Jay-celle Bosque</t>
  </si>
  <si>
    <t>Resigned</t>
  </si>
  <si>
    <t>Will take care her child</t>
  </si>
  <si>
    <t>Bautista</t>
  </si>
  <si>
    <t>Warlito</t>
  </si>
  <si>
    <t>Ilagan</t>
  </si>
  <si>
    <t>Company Nurse/HR Staff</t>
  </si>
  <si>
    <t>Number St. Manuyo Dos Bf Martinville Las piñas City</t>
  </si>
  <si>
    <t>warlybautista12@gmail.com</t>
  </si>
  <si>
    <t>BS in Nursing</t>
  </si>
  <si>
    <t>34-1203916-1</t>
  </si>
  <si>
    <t>01-025248231-3</t>
  </si>
  <si>
    <t>1020-04170726</t>
  </si>
  <si>
    <t>002-417-577</t>
  </si>
  <si>
    <t>Jubeth Bautista</t>
  </si>
  <si>
    <t>End of Contract</t>
  </si>
  <si>
    <t>Cayao</t>
  </si>
  <si>
    <t>Kristine Ghay</t>
  </si>
  <si>
    <t>Crucena</t>
  </si>
  <si>
    <t>1291 Lt. Garcia St. Baclaran, Parañaque City</t>
  </si>
  <si>
    <t>362 Buna Cerca Indang, Cavite</t>
  </si>
  <si>
    <t>thinecayao@yahoo.com</t>
  </si>
  <si>
    <t>BS Information Technology</t>
  </si>
  <si>
    <t>34-2493620-7</t>
  </si>
  <si>
    <t>08-025537710-1</t>
  </si>
  <si>
    <t>1210-8080-2737</t>
  </si>
  <si>
    <t>426-510-520</t>
  </si>
  <si>
    <t>Grace Cayao</t>
  </si>
  <si>
    <t>Frias</t>
  </si>
  <si>
    <t>Farrah Lovely</t>
  </si>
  <si>
    <t>Sanchez</t>
  </si>
  <si>
    <t>000661631095</t>
  </si>
  <si>
    <t>3431 Golden Flover St., Anak Pawis Floodway Brgy. San Juan, Cainta, Rizal</t>
  </si>
  <si>
    <t>FarrahFrias1999@gmail.com</t>
  </si>
  <si>
    <t>BS Tourism Mngt.</t>
  </si>
  <si>
    <t>34-8301283-2</t>
  </si>
  <si>
    <t>03-026411954-1</t>
  </si>
  <si>
    <t>1212-4679-8598</t>
  </si>
  <si>
    <t>611-496-483</t>
  </si>
  <si>
    <t>Liberty S. Frias</t>
  </si>
  <si>
    <t>Pregnant</t>
  </si>
  <si>
    <t>Linart</t>
  </si>
  <si>
    <t>Kristine</t>
  </si>
  <si>
    <t>Ogalina</t>
  </si>
  <si>
    <t>O</t>
  </si>
  <si>
    <t>HR Assistant</t>
  </si>
  <si>
    <t>000661560538</t>
  </si>
  <si>
    <t>66 St. Augustine St., Maricaban, Pasay City</t>
  </si>
  <si>
    <t>tinelinart@gmail.com</t>
  </si>
  <si>
    <t>BA in Psychology</t>
  </si>
  <si>
    <t>348-119894-9</t>
  </si>
  <si>
    <t>01-251518450-1</t>
  </si>
  <si>
    <t>1212-3878-7865</t>
  </si>
  <si>
    <t>356-136-990</t>
  </si>
  <si>
    <t>Imelda Linart</t>
  </si>
  <si>
    <t>resigned</t>
  </si>
  <si>
    <t>Olmedo</t>
  </si>
  <si>
    <t>Dianne Gel</t>
  </si>
  <si>
    <t>Balintos</t>
  </si>
  <si>
    <t>Interior Designer</t>
  </si>
  <si>
    <t>VP/GM Office</t>
  </si>
  <si>
    <t>000661575268</t>
  </si>
  <si>
    <t>Blk 4 Lot 9 Villa Feliza Homes, Pamplona II, Las Piñas City</t>
  </si>
  <si>
    <t>diannegel.olmedo@gmail.com</t>
  </si>
  <si>
    <t>BS Interior Design</t>
  </si>
  <si>
    <t>34-8832055-8</t>
  </si>
  <si>
    <t>01-026531350-2</t>
  </si>
  <si>
    <t>1212-6008-6351</t>
  </si>
  <si>
    <t>753-652-942</t>
  </si>
  <si>
    <t>Grace Olmedo</t>
  </si>
  <si>
    <t>Abud</t>
  </si>
  <si>
    <t>Camille Joyce</t>
  </si>
  <si>
    <t>Olivar</t>
  </si>
  <si>
    <t>Admin Secretary/Purchaser</t>
  </si>
  <si>
    <t>#20 Gumamela St. Marulas, Valenzuela City</t>
  </si>
  <si>
    <t>abudcamille@gmail.com</t>
  </si>
  <si>
    <t>BS HRM</t>
  </si>
  <si>
    <t>34-9035358-4</t>
  </si>
  <si>
    <t>21-250415005-1</t>
  </si>
  <si>
    <t>1212-6519-4360</t>
  </si>
  <si>
    <t>362-959-414</t>
  </si>
  <si>
    <t>Xenrickson Tiongson</t>
  </si>
  <si>
    <t>Live-in Partner</t>
  </si>
  <si>
    <t>Not Cleared</t>
  </si>
  <si>
    <t>AWOL</t>
  </si>
  <si>
    <t>Fiecas</t>
  </si>
  <si>
    <t>Dan Kloyd</t>
  </si>
  <si>
    <t>Faigao</t>
  </si>
  <si>
    <t>000661630692</t>
  </si>
  <si>
    <t>194 A Guitierez St. Pasay City</t>
  </si>
  <si>
    <t>dankloyd@gmail.com</t>
  </si>
  <si>
    <t>AB Psychology</t>
  </si>
  <si>
    <t>35-2144889-2</t>
  </si>
  <si>
    <t>01-026802629-6</t>
  </si>
  <si>
    <t>1213-0348-5745</t>
  </si>
  <si>
    <t>611-964-456</t>
  </si>
  <si>
    <t>Analyn Fiecas</t>
  </si>
  <si>
    <t>De Guia</t>
  </si>
  <si>
    <t>Angelica</t>
  </si>
  <si>
    <t>Loro</t>
  </si>
  <si>
    <t>000661558061</t>
  </si>
  <si>
    <t>Blk 31 Lot 54 Apollos Cor. Mathias Street Annex 35 Bls., Parañaque</t>
  </si>
  <si>
    <t>angelica830deguia@gmail.com</t>
  </si>
  <si>
    <t>34-7988853-3</t>
  </si>
  <si>
    <t>13-251085464-4</t>
  </si>
  <si>
    <t>1212-3791-6449</t>
  </si>
  <si>
    <t>353-588-515</t>
  </si>
  <si>
    <t>Silva Dalisay</t>
  </si>
  <si>
    <t>Anector</t>
  </si>
  <si>
    <t>Christopher</t>
  </si>
  <si>
    <t>Ortiguesa</t>
  </si>
  <si>
    <t>000661640442</t>
  </si>
  <si>
    <t>2012 Leveriza, Pasay City</t>
  </si>
  <si>
    <t>Bato Borongan Eastern Samar</t>
  </si>
  <si>
    <t>anectorchrist@gmail.com</t>
  </si>
  <si>
    <t>Ship's Catering Services</t>
  </si>
  <si>
    <t>34-4789096-4</t>
  </si>
  <si>
    <t>0302-5673-1041</t>
  </si>
  <si>
    <t>1211-3222-0425</t>
  </si>
  <si>
    <t>946-128-441</t>
  </si>
  <si>
    <t>Evelyn Anector</t>
  </si>
  <si>
    <t>Lourenze</t>
  </si>
  <si>
    <t>De Leon</t>
  </si>
  <si>
    <t xml:space="preserve">FDA </t>
  </si>
  <si>
    <t>000661567478</t>
  </si>
  <si>
    <t>2541 Aurora St., Pasay City</t>
  </si>
  <si>
    <t>marasiganlourenze.d@gmail.com</t>
  </si>
  <si>
    <t>04-3839412-6</t>
  </si>
  <si>
    <t>01-026174644-7</t>
  </si>
  <si>
    <t>1211-8965-5295</t>
  </si>
  <si>
    <t>333-991-821</t>
  </si>
  <si>
    <t>Lovielyn Marasigan</t>
  </si>
  <si>
    <t>Delumen</t>
  </si>
  <si>
    <t>Helen</t>
  </si>
  <si>
    <t>Galvan</t>
  </si>
  <si>
    <t>HR Head</t>
  </si>
  <si>
    <t>000661560392</t>
  </si>
  <si>
    <t>B19 L6 Legian South Subd. Carsadang Bago, Imus, Cavite</t>
  </si>
  <si>
    <t>jijey_05@yahoo.com</t>
  </si>
  <si>
    <t>BA in English</t>
  </si>
  <si>
    <t>33-4408003-9</t>
  </si>
  <si>
    <t>01-051043766-2</t>
  </si>
  <si>
    <t>1210-1231-6950</t>
  </si>
  <si>
    <t>211-071-789</t>
  </si>
  <si>
    <t>Rannie Delumen</t>
  </si>
  <si>
    <t>Delos Reyes</t>
  </si>
  <si>
    <t>Jo Anne</t>
  </si>
  <si>
    <t>Pancito</t>
  </si>
  <si>
    <t>000661641589</t>
  </si>
  <si>
    <t>Blk 57, Lot 1 Phase 5 Beverly Homes, Prenza II, Marilao, Bulacan</t>
  </si>
  <si>
    <t>delosreyesjp02@gmail.com</t>
  </si>
  <si>
    <t>35-2422183-8</t>
  </si>
  <si>
    <t>21-025880003-0</t>
  </si>
  <si>
    <t>1213-1443-8438</t>
  </si>
  <si>
    <t>622-521-958</t>
  </si>
  <si>
    <t>Marcelina Fuentes</t>
  </si>
  <si>
    <t>Grandmother</t>
  </si>
  <si>
    <t>Santelices</t>
  </si>
  <si>
    <t>Leo</t>
  </si>
  <si>
    <t>Salar</t>
  </si>
  <si>
    <t>Aircon Technician</t>
  </si>
  <si>
    <t>000661613410</t>
  </si>
  <si>
    <t>13 4th Street North Signal Village Taguig City</t>
  </si>
  <si>
    <t>Camarines Sur</t>
  </si>
  <si>
    <t>09396051850/09993435308</t>
  </si>
  <si>
    <t>leosantelices47@yahoo.com</t>
  </si>
  <si>
    <t>Refrigerator and Airconditioning Servicing</t>
  </si>
  <si>
    <t>05-0686572-3</t>
  </si>
  <si>
    <t>10-50905609-4</t>
  </si>
  <si>
    <t>1210-2340-6746</t>
  </si>
  <si>
    <t>294-881-997</t>
  </si>
  <si>
    <t>Rosario Santelices</t>
  </si>
  <si>
    <t>Calma</t>
  </si>
  <si>
    <t>Trisha Marie</t>
  </si>
  <si>
    <t>Alotinto</t>
  </si>
  <si>
    <t>000661630641</t>
  </si>
  <si>
    <t>Blk 72 Lot 14 Kawal Purok II, Dagat-dagatan, Caloocan City</t>
  </si>
  <si>
    <t>alotintotrishacalma@gmail.com</t>
  </si>
  <si>
    <t>35-2126256-0</t>
  </si>
  <si>
    <t>02-027570480-7</t>
  </si>
  <si>
    <t>1213-0282-8732</t>
  </si>
  <si>
    <t>612-382-415</t>
  </si>
  <si>
    <t>Aileen A. Alotinto</t>
  </si>
  <si>
    <t>Pabilona</t>
  </si>
  <si>
    <t>Claire</t>
  </si>
  <si>
    <t>Roxas</t>
  </si>
  <si>
    <t>000661629821</t>
  </si>
  <si>
    <t>Bukid Area 2, Sun Valley, Parañaque City</t>
  </si>
  <si>
    <t>claireroxaspabilona@gmail.com</t>
  </si>
  <si>
    <t>35-2147442-6</t>
  </si>
  <si>
    <t>01-251968700-1</t>
  </si>
  <si>
    <t>1213-0361-6197</t>
  </si>
  <si>
    <t>515-135-315</t>
  </si>
  <si>
    <t>Zupimier O. Pabilona</t>
  </si>
  <si>
    <t>Transferred</t>
  </si>
  <si>
    <t>Transferred - SSH</t>
  </si>
  <si>
    <t>Firmeza</t>
  </si>
  <si>
    <t>Joesseph</t>
  </si>
  <si>
    <t>000661554414</t>
  </si>
  <si>
    <t>B7 L13 St. Rita St, Maricaban, Pasay City</t>
  </si>
  <si>
    <t>joessephjaudian@gmail.com</t>
  </si>
  <si>
    <t>34-7529521-4</t>
  </si>
  <si>
    <t>08-026066376-7</t>
  </si>
  <si>
    <t>1212-2428-0590</t>
  </si>
  <si>
    <t>347-685-669</t>
  </si>
  <si>
    <t>Jose N. Firmeza</t>
  </si>
  <si>
    <t>Limpin</t>
  </si>
  <si>
    <t>Mary Grace</t>
  </si>
  <si>
    <t>Delos Santos</t>
  </si>
  <si>
    <t>Sales &amp; Marketing Head</t>
  </si>
  <si>
    <t>000661560384</t>
  </si>
  <si>
    <t>Celiridad St. Tramo, Pasay City</t>
  </si>
  <si>
    <t>gracelimpin@urbantravellershotel.com</t>
  </si>
  <si>
    <t>BS in Tourism</t>
  </si>
  <si>
    <t>33-5064186-0</t>
  </si>
  <si>
    <t>01-051807788-6</t>
  </si>
  <si>
    <t>1211-8072-4688</t>
  </si>
  <si>
    <t>248-285-083</t>
  </si>
  <si>
    <t>Consejo Limpin</t>
  </si>
  <si>
    <t>(054) 4755715/4788645</t>
  </si>
  <si>
    <t>Villano</t>
  </si>
  <si>
    <t>Judith</t>
  </si>
  <si>
    <t>Tenerife</t>
  </si>
  <si>
    <t>000661629880</t>
  </si>
  <si>
    <t>Anabu-IIA, Imus, Cavite</t>
  </si>
  <si>
    <t>Buracaw Sagnay, Cam. Sur</t>
  </si>
  <si>
    <t>Setyembrekatorse0@gmail.com</t>
  </si>
  <si>
    <t>34-8312569-3</t>
  </si>
  <si>
    <t>10-251501022-7</t>
  </si>
  <si>
    <t>1212-4740-9335</t>
  </si>
  <si>
    <t>768-172-810</t>
  </si>
  <si>
    <t>Theresa Villano</t>
  </si>
  <si>
    <t>resigned/Personal Reasons</t>
  </si>
  <si>
    <t>Olpindo</t>
  </si>
  <si>
    <t>Magdalena</t>
  </si>
  <si>
    <t>Marquez</t>
  </si>
  <si>
    <t>Cashier Head</t>
  </si>
  <si>
    <t>000661558134</t>
  </si>
  <si>
    <t>Separated</t>
  </si>
  <si>
    <t>Blk 9, Lot 1 Casa Amaya South, Tanza, Cavite</t>
  </si>
  <si>
    <t>9228667445/ 823-9510</t>
  </si>
  <si>
    <t>magdalenaolpindo@yahoo.com</t>
  </si>
  <si>
    <t>33-0334026-0</t>
  </si>
  <si>
    <t>01-050138248-0</t>
  </si>
  <si>
    <t>1040-0164-3056</t>
  </si>
  <si>
    <t>141-156-452</t>
  </si>
  <si>
    <t>Mark Edison Olpindo</t>
  </si>
  <si>
    <t>Son</t>
  </si>
  <si>
    <t>Retirement</t>
  </si>
  <si>
    <t>Salazar</t>
  </si>
  <si>
    <t>Buenaagua</t>
  </si>
  <si>
    <t>Maintenance Assistant</t>
  </si>
  <si>
    <t>000661560473</t>
  </si>
  <si>
    <t>069 B James St., Taguig City</t>
  </si>
  <si>
    <t>09385765588-19555194422</t>
  </si>
  <si>
    <t>arnelsalazar814@gmail.com</t>
  </si>
  <si>
    <t>Marine Electronics-Technician</t>
  </si>
  <si>
    <t>33-0163847-9</t>
  </si>
  <si>
    <t>03-050077450-5</t>
  </si>
  <si>
    <t>1212-1642-7224</t>
  </si>
  <si>
    <t>141-948-602</t>
  </si>
  <si>
    <t>Divina Salazar</t>
  </si>
  <si>
    <t>resigned due to health</t>
  </si>
  <si>
    <t>Asperilla</t>
  </si>
  <si>
    <t>Maria Dorothy</t>
  </si>
  <si>
    <t>Alvarez</t>
  </si>
  <si>
    <t>05/27/2022-06/09/2022</t>
  </si>
  <si>
    <t>000661602206</t>
  </si>
  <si>
    <t>1638 Sanchez St. Baclaran, Parañaque City</t>
  </si>
  <si>
    <t>Bulacan</t>
  </si>
  <si>
    <t>mdasperilla02@gmail.com</t>
  </si>
  <si>
    <t>35-1983549-1</t>
  </si>
  <si>
    <t>01-250856694-6</t>
  </si>
  <si>
    <t>1212-9838-6331</t>
  </si>
  <si>
    <t>609-678-220</t>
  </si>
  <si>
    <t>Dolores Asperilla</t>
  </si>
  <si>
    <t>Transferred  to SSH</t>
  </si>
  <si>
    <t>Daza</t>
  </si>
  <si>
    <t>Amie</t>
  </si>
  <si>
    <t>Gabriel</t>
  </si>
  <si>
    <t>15 R. Layug Brgy. 2, Pasay City</t>
  </si>
  <si>
    <t>Esparar, Barbara, Antique</t>
  </si>
  <si>
    <t>amiedaza33@gmail.com</t>
  </si>
  <si>
    <t>BS  HRM</t>
  </si>
  <si>
    <t>07-2986918-2</t>
  </si>
  <si>
    <t>12-051360709-7</t>
  </si>
  <si>
    <t>1211-2250-6896</t>
  </si>
  <si>
    <t>318-732-465</t>
  </si>
  <si>
    <t>Rex Esteban</t>
  </si>
  <si>
    <t>Live-In -Partner</t>
  </si>
  <si>
    <t>former employee/Resigned</t>
  </si>
  <si>
    <t>Probationary evaluation failed</t>
  </si>
  <si>
    <t>Abordo</t>
  </si>
  <si>
    <t>Valdez, Ariel F.</t>
  </si>
  <si>
    <t>Ariel F. Valdez</t>
  </si>
  <si>
    <t>Valdez, Ariel Abordo</t>
  </si>
  <si>
    <t>Aircon Tech</t>
  </si>
  <si>
    <t>Noriega, Cynthia C.</t>
  </si>
  <si>
    <t>Cynthia C. Noriega</t>
  </si>
  <si>
    <t>Noriega, Cynthia Clemente</t>
  </si>
  <si>
    <t>02/15/2025</t>
  </si>
  <si>
    <t>Garcia, Dennis M.</t>
  </si>
  <si>
    <t>Dennis M. Garcia</t>
  </si>
  <si>
    <t>Garcia, Dennis Matugas</t>
  </si>
  <si>
    <t>Arches, Mischelle L.</t>
  </si>
  <si>
    <t>Mischelle L. Arches</t>
  </si>
  <si>
    <t>Arches, Mischelle Linihan</t>
  </si>
  <si>
    <t> Blk7 lot13 Saint Rita St. Brgy 178 Pasay City</t>
  </si>
  <si>
    <t>Piñgol, Raymond S.</t>
  </si>
  <si>
    <t>Raymond S. Piñgol</t>
  </si>
  <si>
    <t>Piñgol, Raymond Sevilla</t>
  </si>
  <si>
    <t>06/28/2025</t>
  </si>
  <si>
    <t xml:space="preserve"> 226 C H. Domingo &amp; F. Sanchez, Brgy 80 Zone 10, Pasay City</t>
  </si>
  <si>
    <t>Resigned / Land Based</t>
  </si>
  <si>
    <t>10/20/2025</t>
  </si>
  <si>
    <t>Regalado</t>
  </si>
  <si>
    <t>Roderick</t>
  </si>
  <si>
    <t>Gaite</t>
  </si>
  <si>
    <t>04/22/2024</t>
  </si>
  <si>
    <t>559 M. De Jesus St. Brgy. 114 Zone 14, Pasay City</t>
  </si>
  <si>
    <t>dekregalado@gmail.com</t>
  </si>
  <si>
    <t>33-4343768-3</t>
  </si>
  <si>
    <t>03-050030698-6</t>
  </si>
  <si>
    <t>1211-1390-5771</t>
  </si>
  <si>
    <t>215-589-577</t>
  </si>
  <si>
    <t>10/30/2025</t>
  </si>
  <si>
    <t>F&amp;B Waiter</t>
  </si>
  <si>
    <t>SSH-UTH</t>
  </si>
  <si>
    <t>Resigned / Cruise ship</t>
  </si>
  <si>
    <t>11/15/2025</t>
  </si>
  <si>
    <t>Bayon-on</t>
  </si>
  <si>
    <t>Ma. Rechelle</t>
  </si>
  <si>
    <t>Dejac</t>
  </si>
  <si>
    <t>05/22/2025</t>
  </si>
  <si>
    <t>11/22/2025</t>
  </si>
  <si>
    <t>264 Cabrera St. Vergel, Brgy 119, Pasay City</t>
  </si>
  <si>
    <t>rechellebayonon@gmail.com</t>
  </si>
  <si>
    <t>05-1311258-2</t>
  </si>
  <si>
    <t>08-026342975-7</t>
  </si>
  <si>
    <t>1211-7103-9908</t>
  </si>
  <si>
    <t>479-766-506</t>
  </si>
  <si>
    <t>Grace Bayon-on</t>
  </si>
  <si>
    <t>EOC</t>
  </si>
  <si>
    <t>11/19/2025</t>
  </si>
  <si>
    <t>01/21/2026</t>
  </si>
  <si>
    <t>Rosales</t>
  </si>
  <si>
    <t>Romilyn</t>
  </si>
  <si>
    <t>Benosa</t>
  </si>
  <si>
    <t>Irish Street, Purok 2, Barangay Ichican Silang, Cavite</t>
  </si>
  <si>
    <t>Purok 13 Sitio Pag asa, Alabang City of Muntinlupa</t>
  </si>
  <si>
    <t>rommiekim89@gmail.com</t>
  </si>
  <si>
    <t>Associates in Hospitality management</t>
  </si>
  <si>
    <t>35-2068452-1</t>
  </si>
  <si>
    <t>08-253016760-3</t>
  </si>
  <si>
    <t>1213-5025-8725</t>
  </si>
  <si>
    <t>672-299-823</t>
  </si>
  <si>
    <t>Michelle Rosales</t>
  </si>
  <si>
    <t>Gerol Nelle</t>
  </si>
  <si>
    <t>Jetajobe</t>
  </si>
  <si>
    <t>10/17/2025</t>
  </si>
  <si>
    <t>04/16/2026</t>
  </si>
  <si>
    <t>283 Tuazon St. Brgy 41 Tondo Manila</t>
  </si>
  <si>
    <t>GG P. Reyes St. Paco, Obando Bulacan</t>
  </si>
  <si>
    <t>mrqzgerolnelle@gmail.com</t>
  </si>
  <si>
    <t>35-2766225-8</t>
  </si>
  <si>
    <t>02-027718646-3</t>
  </si>
  <si>
    <t>1213-2930-3379</t>
  </si>
  <si>
    <t>685-927-972</t>
  </si>
  <si>
    <t>Geil Marquez</t>
  </si>
  <si>
    <t>Bandibas</t>
  </si>
  <si>
    <t>Jesrel</t>
  </si>
  <si>
    <t>Llemit</t>
  </si>
  <si>
    <t>09 Yanga Street Tinajeros, Malabon City</t>
  </si>
  <si>
    <t>Padre Inocentes St. Naval Biliran, Leyte</t>
  </si>
  <si>
    <t>jbandibas2017@gmail.com</t>
  </si>
  <si>
    <t>34-1568522-4</t>
  </si>
  <si>
    <t>22-000131432-7</t>
  </si>
  <si>
    <t>1212-3375-1875</t>
  </si>
  <si>
    <t>353-551-790</t>
  </si>
  <si>
    <t>Jessa Mae Sabonsolin</t>
  </si>
  <si>
    <t>Dipad</t>
  </si>
  <si>
    <t xml:space="preserve">Roi John </t>
  </si>
  <si>
    <t>Ciriaco</t>
  </si>
  <si>
    <t>000661624056</t>
  </si>
  <si>
    <t>Sto. Niño PH 3D, Perez, Meycuayan City, Bulacan</t>
  </si>
  <si>
    <t>San Leonardo, Nueva Ecija</t>
  </si>
  <si>
    <t>roijohn58@gmail.com</t>
  </si>
  <si>
    <t>34-5249550-3</t>
  </si>
  <si>
    <t>02-027418010-3</t>
  </si>
  <si>
    <t>1212-8305-1171</t>
  </si>
  <si>
    <t>394-649-009</t>
  </si>
  <si>
    <t>Jocylin Gavino</t>
  </si>
  <si>
    <t>Auntie</t>
  </si>
  <si>
    <t>Zamora</t>
  </si>
  <si>
    <t>Jedrec</t>
  </si>
  <si>
    <t>Gate 2, Pabola, Manila</t>
  </si>
  <si>
    <t>Bañadero, Ozamiz City</t>
  </si>
  <si>
    <t>jedreczamora50@gmail.com</t>
  </si>
  <si>
    <t xml:space="preserve">08-1935779-5 </t>
  </si>
  <si>
    <t>12-051106127-5</t>
  </si>
  <si>
    <t>1210-2696-6892</t>
  </si>
  <si>
    <t>734-710-439</t>
  </si>
  <si>
    <t>May Zamora</t>
  </si>
  <si>
    <t>Will board  a ship</t>
  </si>
  <si>
    <t>Tangco</t>
  </si>
  <si>
    <t>Lara</t>
  </si>
  <si>
    <t>Cook Trainee</t>
  </si>
  <si>
    <t>226 Tenement Bldg. Posadas St., Brgy. 901, Punta Sta. Ana, Manila</t>
  </si>
  <si>
    <t>Sibuyan, Romblon</t>
  </si>
  <si>
    <t>tangcomark@gmail.com</t>
  </si>
  <si>
    <t>34-7598544-3</t>
  </si>
  <si>
    <t>02-027085709-5</t>
  </si>
  <si>
    <t>1212-2645-3613</t>
  </si>
  <si>
    <t>371-598-363</t>
  </si>
  <si>
    <t>Ronald Tangco</t>
  </si>
  <si>
    <t>Lirio</t>
  </si>
  <si>
    <t>Ronan</t>
  </si>
  <si>
    <t>Villanueva</t>
  </si>
  <si>
    <t>Lianas Apartment, Decena St., Pasay City</t>
  </si>
  <si>
    <t>Zone 1 San Roque, Bombon, Camarines Sur</t>
  </si>
  <si>
    <t>ronanlirio23@gmail.com</t>
  </si>
  <si>
    <t>34-6499232-4</t>
  </si>
  <si>
    <t>02-026847570-3</t>
  </si>
  <si>
    <t>1211-9101-8461</t>
  </si>
  <si>
    <t>337-470-411</t>
  </si>
  <si>
    <t>Gerlie Lirio</t>
  </si>
  <si>
    <t>Kelvin</t>
  </si>
  <si>
    <t>Calimag</t>
  </si>
  <si>
    <t>4002 Malvar St., Brgy. Bangkal, Makati City</t>
  </si>
  <si>
    <t>Cagayan Valley</t>
  </si>
  <si>
    <t>kelvintolentino11@gmail.com</t>
  </si>
  <si>
    <t>BS Hospitality Industry Management</t>
  </si>
  <si>
    <t>01-2317082-0</t>
  </si>
  <si>
    <t>06-025354407-7</t>
  </si>
  <si>
    <t>1212-3574-8376</t>
  </si>
  <si>
    <t>713-044-068</t>
  </si>
  <si>
    <t>Lalaine Tolentino</t>
  </si>
  <si>
    <t>Not Cleared, Wanted</t>
  </si>
  <si>
    <t>Erandio</t>
  </si>
  <si>
    <t>James</t>
  </si>
  <si>
    <t>Pelayo</t>
  </si>
  <si>
    <t>000661631028</t>
  </si>
  <si>
    <t>126. Senatorial St. Batasan Hills, QC</t>
  </si>
  <si>
    <t>jameserandio99@gmail.com</t>
  </si>
  <si>
    <t>35-2161799-5</t>
  </si>
  <si>
    <t>03-026820874-3</t>
  </si>
  <si>
    <t>1213-0465-6140</t>
  </si>
  <si>
    <t>614-198-094</t>
  </si>
  <si>
    <t>Jaime Erandio</t>
  </si>
  <si>
    <t>Palazo</t>
  </si>
  <si>
    <t>Elizabeth</t>
  </si>
  <si>
    <t>Onia</t>
  </si>
  <si>
    <t>000661602087</t>
  </si>
  <si>
    <t>172 St. Claire St., Maricaban, Brgy. 186, Pasay City</t>
  </si>
  <si>
    <t>Landoc Alaminos City, Pangasinan</t>
  </si>
  <si>
    <t>ellahpalazomendoza@gmail.com</t>
  </si>
  <si>
    <t>BSED major in English</t>
  </si>
  <si>
    <t>02-4196739-7</t>
  </si>
  <si>
    <t>05-050289632-3</t>
  </si>
  <si>
    <t>1211-2825-1844</t>
  </si>
  <si>
    <t>337-875-903</t>
  </si>
  <si>
    <t>Elmer Palazo</t>
  </si>
  <si>
    <t>Abriol</t>
  </si>
  <si>
    <t>Jefferson</t>
  </si>
  <si>
    <t>SJ.</t>
  </si>
  <si>
    <t>000661602842</t>
  </si>
  <si>
    <t>162 A. Arnaiz Avenue, Brgy. 66, Pasay City</t>
  </si>
  <si>
    <t>None</t>
  </si>
  <si>
    <t>abrioljefferson@gmai.com</t>
  </si>
  <si>
    <t>Undergraduate-1st year, 1st sem College</t>
  </si>
  <si>
    <t>33-8559472-0</t>
  </si>
  <si>
    <t>19-090397466-8</t>
  </si>
  <si>
    <t>1210-6248-7717</t>
  </si>
  <si>
    <t>229-872-305</t>
  </si>
  <si>
    <t>Carmen Abriol</t>
  </si>
  <si>
    <t>Araman</t>
  </si>
  <si>
    <t>Harvey</t>
  </si>
  <si>
    <t>Juanson</t>
  </si>
  <si>
    <t>San Dionisio, Parañaque City</t>
  </si>
  <si>
    <t>Bato, Palauig, Zambales</t>
  </si>
  <si>
    <t>harveyaraman@gmail.com</t>
  </si>
  <si>
    <t>02-4210826-5</t>
  </si>
  <si>
    <t>07-251846816-3</t>
  </si>
  <si>
    <t>1212-5694-7543</t>
  </si>
  <si>
    <t>361-292-475</t>
  </si>
  <si>
    <t>Renejoy Rebota</t>
  </si>
  <si>
    <t>Partner live In</t>
  </si>
  <si>
    <t>Banate</t>
  </si>
  <si>
    <t>Carl</t>
  </si>
  <si>
    <t>000661637550</t>
  </si>
  <si>
    <t>Blk 5 Lot 9, Villa Paraiso Sun Valley, Parañaque</t>
  </si>
  <si>
    <t>Balete, Aklan</t>
  </si>
  <si>
    <t>ompalingbanate08@gmail.com</t>
  </si>
  <si>
    <t>BS Tourism Mngt</t>
  </si>
  <si>
    <t>35-1653419-3</t>
  </si>
  <si>
    <t>01-254201289-5</t>
  </si>
  <si>
    <t>1212-9326-1706</t>
  </si>
  <si>
    <t>515-196-239</t>
  </si>
  <si>
    <t xml:space="preserve">Rose Mariel Omparing </t>
  </si>
  <si>
    <t>Jambaro</t>
  </si>
  <si>
    <t>Teodoro</t>
  </si>
  <si>
    <t>Guiamo</t>
  </si>
  <si>
    <t>000661603067</t>
  </si>
  <si>
    <t>249 Medicion 2B  Imus City, Cavite</t>
  </si>
  <si>
    <t>Imus, Cavite</t>
  </si>
  <si>
    <t>jr_jambaro@yahoo.com</t>
  </si>
  <si>
    <t>Senior Highschool</t>
  </si>
  <si>
    <t>34-6654351-9</t>
  </si>
  <si>
    <t>08-026253216-3</t>
  </si>
  <si>
    <t>1211-9588-0887</t>
  </si>
  <si>
    <t>337-143-021</t>
  </si>
  <si>
    <t>Renaly Jambaro</t>
  </si>
  <si>
    <t>Yutuc</t>
  </si>
  <si>
    <t>Almojuela</t>
  </si>
  <si>
    <t>Blk 11 Lot 2, Gumamela St., Villa Felicia Subd. Bayanan, Bacoor City, Cavite</t>
  </si>
  <si>
    <t>09638825100/09948347186</t>
  </si>
  <si>
    <t>markanthonyytc25@gmail.com</t>
  </si>
  <si>
    <t>Genral Academic Strand</t>
  </si>
  <si>
    <t>35-2542142-0</t>
  </si>
  <si>
    <t>08-250161079-4</t>
  </si>
  <si>
    <t>1213-2835-0151</t>
  </si>
  <si>
    <t>633-740-376</t>
  </si>
  <si>
    <t>Michael Joe Paeste</t>
  </si>
  <si>
    <t>Italy Schooling-Petition</t>
  </si>
  <si>
    <t>Calora</t>
  </si>
  <si>
    <t>John Michael</t>
  </si>
  <si>
    <t>Echavez</t>
  </si>
  <si>
    <t>E</t>
  </si>
  <si>
    <t>9/142023</t>
  </si>
  <si>
    <t>402 Geronimo St., Malibay, Pasay City</t>
  </si>
  <si>
    <t>09668799615/09218253308</t>
  </si>
  <si>
    <t>johnmichaelcalora3@gmail.com</t>
  </si>
  <si>
    <t>BS IT</t>
  </si>
  <si>
    <t>35-2751830-2</t>
  </si>
  <si>
    <t>01-251515203-0</t>
  </si>
  <si>
    <t>1213-2743-6739</t>
  </si>
  <si>
    <t>632-902-676</t>
  </si>
  <si>
    <t>Jenny Calora</t>
  </si>
  <si>
    <t>Schooling Continues</t>
  </si>
  <si>
    <t>Pabelonia</t>
  </si>
  <si>
    <t>Jesus</t>
  </si>
  <si>
    <t>Odivilas</t>
  </si>
  <si>
    <t>Ibarra St. Pasay City</t>
  </si>
  <si>
    <t>General Macarthur Eastern Samar</t>
  </si>
  <si>
    <t>jhen.pabelonia@gmail.com</t>
  </si>
  <si>
    <t>34-9175064-9</t>
  </si>
  <si>
    <t>01-026570337-8</t>
  </si>
  <si>
    <t>1212-6393-3377</t>
  </si>
  <si>
    <t>614-404-568</t>
  </si>
  <si>
    <t>Gemma Pabelonia</t>
  </si>
  <si>
    <t>08/17/2022-09/15/2023</t>
  </si>
  <si>
    <t>Cashier</t>
  </si>
  <si>
    <t>09/15/2023-06/30/2024</t>
  </si>
  <si>
    <t>Transferred to UTH</t>
  </si>
  <si>
    <t>Delote</t>
  </si>
  <si>
    <t>Rico Jay</t>
  </si>
  <si>
    <t>154 Lakandula St., Pasay City</t>
  </si>
  <si>
    <t>Purol 8 Glamang Polomolok, South Cotabato</t>
  </si>
  <si>
    <t>ricojaydelote32@gmail.com</t>
  </si>
  <si>
    <t>Vocational Course</t>
  </si>
  <si>
    <t>Culinary 10 months</t>
  </si>
  <si>
    <t>09-4233710-3</t>
  </si>
  <si>
    <t>17-251113781-6</t>
  </si>
  <si>
    <t>1211-9723-0277</t>
  </si>
  <si>
    <t>700-151-219</t>
  </si>
  <si>
    <t>Lorena Delote</t>
  </si>
  <si>
    <t>former employee / AWOL</t>
  </si>
  <si>
    <t>Caimoy</t>
  </si>
  <si>
    <t>Hendrix</t>
  </si>
  <si>
    <t>Mazo</t>
  </si>
  <si>
    <t>Kulambuan St., Aniban 2 Bacoor City, Cavite</t>
  </si>
  <si>
    <t>Brgy. Tabu, Dulag, Leyte</t>
  </si>
  <si>
    <t>hendrixcaimoy98@gmail.com</t>
  </si>
  <si>
    <t>35-2352221-1</t>
  </si>
  <si>
    <t>13-252161425-4</t>
  </si>
  <si>
    <t>1213-1874-2442</t>
  </si>
  <si>
    <t>633-205-045</t>
  </si>
  <si>
    <t>Conchita Mazo</t>
  </si>
  <si>
    <t>wife pregnancy</t>
  </si>
  <si>
    <t>Colina</t>
  </si>
  <si>
    <t>Jade Alvin Patrick</t>
  </si>
  <si>
    <t>319 Taylo St., Pasay City</t>
  </si>
  <si>
    <t>Novallas, Tanjay City, Negos Oriental</t>
  </si>
  <si>
    <t>jadealvinpatrickcolina@gmail.com</t>
  </si>
  <si>
    <t>BSBA-FM</t>
  </si>
  <si>
    <t>07-4106255-6</t>
  </si>
  <si>
    <t>02-251396703-2</t>
  </si>
  <si>
    <t>1213-2885-1879</t>
  </si>
  <si>
    <t>648-037-264</t>
  </si>
  <si>
    <t>Jovenciano Colina</t>
  </si>
  <si>
    <t>attend parents 2 province</t>
  </si>
  <si>
    <t>Cashier/TO</t>
  </si>
  <si>
    <t>Transferred fr UTH 07/01/2024/resigned</t>
  </si>
  <si>
    <t>Calora , John Michael E.</t>
  </si>
  <si>
    <t xml:space="preserve">John Michael E. Calora </t>
  </si>
  <si>
    <t>Calora , John Michael Echavez</t>
  </si>
  <si>
    <t>rehired / resigned</t>
  </si>
  <si>
    <t>12/29/2024</t>
  </si>
  <si>
    <t>Montallana</t>
  </si>
  <si>
    <t>Randy</t>
  </si>
  <si>
    <t>Logon</t>
  </si>
  <si>
    <t>000661641570</t>
  </si>
  <si>
    <t>Caliwag Lusong St. Brgy. Pinagbuhatan Pasig City</t>
  </si>
  <si>
    <t>San Eduardo, Oras Eastern Samar</t>
  </si>
  <si>
    <t>randymontallana33@gmail.com</t>
  </si>
  <si>
    <t>35-2404273-2</t>
  </si>
  <si>
    <t>13-202794140-4</t>
  </si>
  <si>
    <t>1213-1380-6204</t>
  </si>
  <si>
    <t>622-615-461</t>
  </si>
  <si>
    <t>Rodalyn Montallana</t>
  </si>
  <si>
    <t>03/29/2025</t>
  </si>
  <si>
    <t>Rillorta</t>
  </si>
  <si>
    <t>Dann Joshua</t>
  </si>
  <si>
    <t>Ricalde</t>
  </si>
  <si>
    <t>B5 L21 Salinas 1, Bacoor, Cavite</t>
  </si>
  <si>
    <t>dannjoshuarillorta@gmail.com</t>
  </si>
  <si>
    <t>BS Hotel &amp; Restaurant Service &amp; Technology</t>
  </si>
  <si>
    <t>34-8508627-7</t>
  </si>
  <si>
    <t>08-026609195-1</t>
  </si>
  <si>
    <t>1212-5270-9627</t>
  </si>
  <si>
    <t>745-879-909</t>
  </si>
  <si>
    <t>Joselyn Rillorta</t>
  </si>
  <si>
    <t>rehired / EOC</t>
  </si>
  <si>
    <t>Gasalatan</t>
  </si>
  <si>
    <t>Gregorio</t>
  </si>
  <si>
    <t>Cabando</t>
  </si>
  <si>
    <t>Gasalatan Jr., Gregorio C.</t>
  </si>
  <si>
    <t>Gregorio C. Gasalatan Jr.</t>
  </si>
  <si>
    <t>Gasalatan Jr., Gregorio Cabando</t>
  </si>
  <si>
    <t>01/20/2025</t>
  </si>
  <si>
    <t>01/19/2025</t>
  </si>
  <si>
    <t>07/19/2025</t>
  </si>
  <si>
    <t>07/20/1998</t>
  </si>
  <si>
    <t>J. Gabriel St. Airport Road Baclaran</t>
  </si>
  <si>
    <t>#6629 Gatchalian 1 Sub. Segundo St. Brgy. San Dioniso Sucat Parañaque City</t>
  </si>
  <si>
    <t>greggasalatan53@gmail.com</t>
  </si>
  <si>
    <t>34-7252204-5</t>
  </si>
  <si>
    <t>02-051212004-1</t>
  </si>
  <si>
    <t>1212-1920-3042</t>
  </si>
  <si>
    <t>737-999-736</t>
  </si>
  <si>
    <t>Rayman Menes</t>
  </si>
  <si>
    <t>Boardmate</t>
  </si>
  <si>
    <t>06/15/2025</t>
  </si>
  <si>
    <t>Concordo</t>
  </si>
  <si>
    <t>Nelson</t>
  </si>
  <si>
    <t>Rodrigo</t>
  </si>
  <si>
    <t>Concordo Jr., Nelson R.</t>
  </si>
  <si>
    <t>Nelson R. Concordo Jr.</t>
  </si>
  <si>
    <t>Concordo Jr., Nelson Rodrigo</t>
  </si>
  <si>
    <t>03/13/2025</t>
  </si>
  <si>
    <t>02/25/2025</t>
  </si>
  <si>
    <t>07/29/2000</t>
  </si>
  <si>
    <t>Brgy 181 Bayanihan, Maricaban, Pasay City</t>
  </si>
  <si>
    <t>San Antonio Macarthur Leyte</t>
  </si>
  <si>
    <t>concordonelson@gmail.com</t>
  </si>
  <si>
    <t>BS HM</t>
  </si>
  <si>
    <t>06-4655943-6</t>
  </si>
  <si>
    <t>13-250645333-3</t>
  </si>
  <si>
    <t>1213-3411-0861</t>
  </si>
  <si>
    <t>641-884-380</t>
  </si>
  <si>
    <t>Nelmar Concordo</t>
  </si>
  <si>
    <t>Moises</t>
  </si>
  <si>
    <t>Godwin Clyde</t>
  </si>
  <si>
    <t>Magpali</t>
  </si>
  <si>
    <t>Moises, Godwin Clyde M.</t>
  </si>
  <si>
    <t>Godwin Clyde M. Moises</t>
  </si>
  <si>
    <t>Moises, Godwin Clyde Magpali</t>
  </si>
  <si>
    <t>Blk 124 Lot 7 Phase 7 Punta 1 Carissa Homes Tanza, Cavite</t>
  </si>
  <si>
    <t>niwdogClyde@gmail.com</t>
  </si>
  <si>
    <t>352-162941-7</t>
  </si>
  <si>
    <t>08-026817779-9</t>
  </si>
  <si>
    <t>1213-0415-0185</t>
  </si>
  <si>
    <t>515-447-361</t>
  </si>
  <si>
    <t>German P. Moises</t>
  </si>
  <si>
    <t>Garabato</t>
  </si>
  <si>
    <t>Milbert</t>
  </si>
  <si>
    <t>Gildo</t>
  </si>
  <si>
    <t>07/02/2022-12/19/2022</t>
  </si>
  <si>
    <t>FDA Trainee</t>
  </si>
  <si>
    <t>12/20/2022-06/19/2023</t>
  </si>
  <si>
    <t>000661630684</t>
  </si>
  <si>
    <t>4631 Plaza St. San Francisco Floodway, Brgy. San Juan, Cainta Rizal</t>
  </si>
  <si>
    <t>Cainta, Rizal</t>
  </si>
  <si>
    <t>milbertgarabato24@gmail.com</t>
  </si>
  <si>
    <t>34-4146146-7</t>
  </si>
  <si>
    <t>03-250397151-7</t>
  </si>
  <si>
    <t>1211-0261-7901</t>
  </si>
  <si>
    <t>377-648-707</t>
  </si>
  <si>
    <t>Manuelito Garabato</t>
  </si>
  <si>
    <t>07/24/2025</t>
  </si>
  <si>
    <t>cruise ship</t>
  </si>
  <si>
    <t>Capulla</t>
  </si>
  <si>
    <t>Emaneuel</t>
  </si>
  <si>
    <t>Capulla, Emaneuel G.</t>
  </si>
  <si>
    <t>Emaneuel G. Capulla</t>
  </si>
  <si>
    <t>Capulla, Emaneuel Grimaldo</t>
  </si>
  <si>
    <t>07/2/2022 - 11/30/2022</t>
  </si>
  <si>
    <t>000661629619</t>
  </si>
  <si>
    <t>97-F West Riverside Street San Francisco Delmonte Quezon City</t>
  </si>
  <si>
    <t>emancapulla791@gmail.com</t>
  </si>
  <si>
    <t>34-8351082-6</t>
  </si>
  <si>
    <t>03-026422209-1</t>
  </si>
  <si>
    <t>1212-4848-9044</t>
  </si>
  <si>
    <t>743-698-604</t>
  </si>
  <si>
    <t>Shery Capulla</t>
  </si>
  <si>
    <t>Relatives</t>
  </si>
  <si>
    <t>Bag-o</t>
  </si>
  <si>
    <t>Mark Elezar</t>
  </si>
  <si>
    <t>Dorato</t>
  </si>
  <si>
    <t>07/16/2025</t>
  </si>
  <si>
    <t>07/31/2025</t>
  </si>
  <si>
    <t>01/31/2026</t>
  </si>
  <si>
    <t>Villanueva Compound, M. De Jesus, Pasay City</t>
  </si>
  <si>
    <t>Manggahan Balulang, Cagayan De Oro City</t>
  </si>
  <si>
    <t>markelezar.bago96@gmail.com</t>
  </si>
  <si>
    <t>NCII Passer - Installation and Maintenance</t>
  </si>
  <si>
    <t>08-3475133-4</t>
  </si>
  <si>
    <t>15-252225938-6</t>
  </si>
  <si>
    <t>1213-6199-1929</t>
  </si>
  <si>
    <t>Arcile Cagalanan</t>
  </si>
  <si>
    <t>Mother-in-law</t>
  </si>
  <si>
    <t>apply for the air force</t>
  </si>
  <si>
    <t>08/31/2025</t>
  </si>
  <si>
    <t>Asuncion</t>
  </si>
  <si>
    <t>Jose</t>
  </si>
  <si>
    <t>Pinlac</t>
  </si>
  <si>
    <t>02/28/2025</t>
  </si>
  <si>
    <t>03/15/2025</t>
  </si>
  <si>
    <t>09/15/2025</t>
  </si>
  <si>
    <t>#242 Saint Joan St. Lower Maricaban, Pasay City</t>
  </si>
  <si>
    <t>joseasuncion1218@gmail.com</t>
  </si>
  <si>
    <t>Associate in Hotel &amp; Restau Mngt.</t>
  </si>
  <si>
    <t>Associate in Hotel and Rastaurant Management.</t>
  </si>
  <si>
    <t>34-5069579-0</t>
  </si>
  <si>
    <t>01-025790278-7</t>
  </si>
  <si>
    <t>1211-4574-1670</t>
  </si>
  <si>
    <t>470-027-263</t>
  </si>
  <si>
    <t>Tibayan</t>
  </si>
  <si>
    <t>Neil Amiel</t>
  </si>
  <si>
    <t>Emocling</t>
  </si>
  <si>
    <t>Type B NBP Reservation Poblacion, Muntinlupa City</t>
  </si>
  <si>
    <t>Sinaliw Malaki, Alfonso Cavite</t>
  </si>
  <si>
    <t>neilamiel23@gmail.com</t>
  </si>
  <si>
    <t>34-8526510-8</t>
  </si>
  <si>
    <t>01-250490052-3</t>
  </si>
  <si>
    <t>1212-4569-7107</t>
  </si>
  <si>
    <t>356-045-637</t>
  </si>
  <si>
    <t>Paz E. Tibayan</t>
  </si>
  <si>
    <t>09/22/2025</t>
  </si>
  <si>
    <t>Rivarez</t>
  </si>
  <si>
    <t>Ciara Pearl</t>
  </si>
  <si>
    <t>Sajonia</t>
  </si>
  <si>
    <t>UTH-SSH</t>
  </si>
  <si>
    <t>2132 Breton Rd. P. Burgoz St. Brgy. 50 Zone 7, Pasay City</t>
  </si>
  <si>
    <t>Purok 1, Brgy. Basud, Camarines Norte</t>
  </si>
  <si>
    <t>ciarapearlrivarez12@gmail.com</t>
  </si>
  <si>
    <t>BS  Criminology</t>
  </si>
  <si>
    <t>35-3270299-6</t>
  </si>
  <si>
    <t>01-026978719-3</t>
  </si>
  <si>
    <t>1213-4530-8415</t>
  </si>
  <si>
    <t>667-402-832</t>
  </si>
  <si>
    <t>Camille Faye S. Rivarez</t>
  </si>
  <si>
    <t>Sister/Twin</t>
  </si>
  <si>
    <t>Ageas</t>
  </si>
  <si>
    <t>Jim</t>
  </si>
  <si>
    <t>04/21/2024</t>
  </si>
  <si>
    <t>0627 De Leon Compound, Barangay San Dionisio, Parañaque City</t>
  </si>
  <si>
    <t>P 9 Lapinigan San Francisco, Agusan Del Sur</t>
  </si>
  <si>
    <t>jimageas@gmail.com</t>
  </si>
  <si>
    <t>08-3351097-4</t>
  </si>
  <si>
    <t>1-8250491314-8</t>
  </si>
  <si>
    <t>1213-5981-4617</t>
  </si>
  <si>
    <t>689-479-045</t>
  </si>
  <si>
    <t>land based</t>
  </si>
  <si>
    <t>Ymas</t>
  </si>
  <si>
    <t>Melquiades</t>
  </si>
  <si>
    <t>Sarcol</t>
  </si>
  <si>
    <t>Maintenance Man (Sewer)</t>
  </si>
  <si>
    <t>000661562115</t>
  </si>
  <si>
    <t>5156-Nikon St. IBP Rd. Commonwealth, Quezon City</t>
  </si>
  <si>
    <t>melquiadesymas@yahoo.com</t>
  </si>
  <si>
    <t>Graduate</t>
  </si>
  <si>
    <t>33-5231158-3</t>
  </si>
  <si>
    <t>03-050134112-2</t>
  </si>
  <si>
    <t>1210-1659-0668</t>
  </si>
  <si>
    <t>908-084-351</t>
  </si>
  <si>
    <t>Clarita Malto</t>
  </si>
  <si>
    <t>0918-3565728</t>
  </si>
  <si>
    <t>deceased</t>
  </si>
  <si>
    <t>10/18/2025</t>
  </si>
  <si>
    <t>Santiago</t>
  </si>
  <si>
    <t>John Victor</t>
  </si>
  <si>
    <t>Gutierrez</t>
  </si>
  <si>
    <t>09/26/2025</t>
  </si>
  <si>
    <t xml:space="preserve">Brgy. 81 Park Avenue Mansion, Pasay City </t>
  </si>
  <si>
    <t>94 Gutierrez St. Brgy. Talolong Lopez Quezon</t>
  </si>
  <si>
    <t>santiagojayvee02@gmail.com</t>
  </si>
  <si>
    <t>04-4661407-6</t>
  </si>
  <si>
    <t>08-026868717-7</t>
  </si>
  <si>
    <t>1212-8173-6169</t>
  </si>
  <si>
    <t>508-093-528</t>
  </si>
  <si>
    <t>Marivic Santiago</t>
  </si>
  <si>
    <t>12/22/2025</t>
  </si>
  <si>
    <t>Escorido</t>
  </si>
  <si>
    <t>Marnel</t>
  </si>
  <si>
    <t>06/18/2025</t>
  </si>
  <si>
    <t>TUA Magallanes Cavite</t>
  </si>
  <si>
    <t>marnelasuncion900@gmail.com</t>
  </si>
  <si>
    <t>34-9632009-0</t>
  </si>
  <si>
    <t>08-250688421-3</t>
  </si>
  <si>
    <t>1212-7389-7286</t>
  </si>
  <si>
    <t>379-594-312</t>
  </si>
  <si>
    <t>Maribel Umila</t>
  </si>
  <si>
    <t>Mark Christian</t>
  </si>
  <si>
    <t>000661562182</t>
  </si>
  <si>
    <t>15424 E. Rodriguez Avenue, Moonwalk, Parañaque City</t>
  </si>
  <si>
    <t>09086265149/09672175141</t>
  </si>
  <si>
    <t>Santoschristianmark@gmail.com</t>
  </si>
  <si>
    <t>34-5239729-0</t>
  </si>
  <si>
    <t>0102-5804-1440</t>
  </si>
  <si>
    <t>1211-4997-9636</t>
  </si>
  <si>
    <t>500-844-578</t>
  </si>
  <si>
    <t>Jennifer Santos</t>
  </si>
  <si>
    <t>01/14/2026</t>
  </si>
  <si>
    <t>Sunguad</t>
  </si>
  <si>
    <t>Ronel</t>
  </si>
  <si>
    <t>Vito</t>
  </si>
  <si>
    <t>07/15/2025</t>
  </si>
  <si>
    <t>07/30/2025</t>
  </si>
  <si>
    <t>01/30/2026</t>
  </si>
  <si>
    <t>320 Genesis Park Plaza, Pasay City</t>
  </si>
  <si>
    <t>Purok 4 Pamilacan Bohol</t>
  </si>
  <si>
    <t>ronelvaleroso3@gmail.com</t>
  </si>
  <si>
    <t>34-8572944-0</t>
  </si>
  <si>
    <t>01-026494798-2</t>
  </si>
  <si>
    <t>1212-5423-1837</t>
  </si>
  <si>
    <t>Ronald Valeroso</t>
  </si>
  <si>
    <t>Marlon</t>
  </si>
  <si>
    <t>08/23/2025</t>
  </si>
  <si>
    <t>02/23/2026</t>
  </si>
  <si>
    <t xml:space="preserve">4th Floor 2719 Georos Bldg. Taft Ave. Brgy 84, Pasay City </t>
  </si>
  <si>
    <t>Sandil Street, Masagana Pandi Bulacan</t>
  </si>
  <si>
    <t>archesmarlon21@gmail.com</t>
  </si>
  <si>
    <t>34-8584532-4</t>
  </si>
  <si>
    <t>21-025662644-0</t>
  </si>
  <si>
    <t>1212-5462-7912</t>
  </si>
  <si>
    <t>397-243-512</t>
  </si>
  <si>
    <t>Jaboya</t>
  </si>
  <si>
    <t>Jiselle</t>
  </si>
  <si>
    <t>Ebin</t>
  </si>
  <si>
    <t>Room Attendant(UTH)</t>
  </si>
  <si>
    <t>06/11/2022-07/2/2022</t>
  </si>
  <si>
    <t>000661622517</t>
  </si>
  <si>
    <t>105 R. De Jesus St. Ma. Socorro Subd. Abangan Norte Marilao Bulacan</t>
  </si>
  <si>
    <t>jaboyajiselle@gmail.com</t>
  </si>
  <si>
    <t>34-9257145-8</t>
  </si>
  <si>
    <t>03-026543781-4</t>
  </si>
  <si>
    <t>1212-6802-2130</t>
  </si>
  <si>
    <t>362-903-351</t>
  </si>
  <si>
    <t>Ceejay Jaboya</t>
  </si>
  <si>
    <t>Transferred from UTH</t>
  </si>
  <si>
    <t>Legaspi</t>
  </si>
  <si>
    <t>Karl</t>
  </si>
  <si>
    <t>Paclibar</t>
  </si>
  <si>
    <t>02/28/2026</t>
  </si>
  <si>
    <t>St. Luke Blk 11 Lot 26 PH1 Maryhomes Molino 4, Bacoor Cavite</t>
  </si>
  <si>
    <t>Cadiz, Negros Occidental</t>
  </si>
  <si>
    <t>legaspikarl04@gmail.com</t>
  </si>
  <si>
    <t>3 yrs Diploma</t>
  </si>
  <si>
    <t>Food Service and Hospitality Management</t>
  </si>
  <si>
    <t>35-3884626-7</t>
  </si>
  <si>
    <t>01-027061600-9</t>
  </si>
  <si>
    <t>1213-7497-5519</t>
  </si>
  <si>
    <t>766-653-518</t>
  </si>
  <si>
    <t>Jose Eslem Legaspi</t>
  </si>
  <si>
    <t>Oliverio</t>
  </si>
  <si>
    <t>Romnick</t>
  </si>
  <si>
    <t>Borrinaga</t>
  </si>
  <si>
    <t>Bldg 6 Unit 317 Cuidad De Strike Molino 1, Bacoor Cavite</t>
  </si>
  <si>
    <t>romnickoliverio025@gmail.com</t>
  </si>
  <si>
    <t>34-6611682-3</t>
  </si>
  <si>
    <t>01-250194223-3</t>
  </si>
  <si>
    <t>1212-0282-0083</t>
  </si>
  <si>
    <t>357-246-725</t>
  </si>
  <si>
    <t>Rochelle Tabinas</t>
  </si>
  <si>
    <t>NO.</t>
  </si>
  <si>
    <t>NAME OF EMPLOYEE</t>
  </si>
  <si>
    <t>POSITION</t>
  </si>
  <si>
    <t>DEPARTMENT</t>
  </si>
  <si>
    <t xml:space="preserve">EMPLOYMENT STATUS </t>
  </si>
  <si>
    <t>EMP. NUMBER</t>
  </si>
  <si>
    <t>EMPLOYMENT HISTORY</t>
  </si>
  <si>
    <t>DATE OF REGULARIZATION</t>
  </si>
  <si>
    <t>PERSONAL FILE</t>
  </si>
  <si>
    <t>REASON OF LEAVING</t>
  </si>
  <si>
    <t>DATE END</t>
  </si>
  <si>
    <t>DATE HIRED</t>
  </si>
  <si>
    <t>TRAINING PERIOD</t>
  </si>
  <si>
    <t>CONRACTUAL</t>
  </si>
  <si>
    <t>FIXED TERM</t>
  </si>
  <si>
    <t>PROBATIONARY</t>
  </si>
  <si>
    <t>CIVIL STATUS</t>
  </si>
  <si>
    <t>DATE OF BIRTH</t>
  </si>
  <si>
    <t>PRESENT ADDRESS</t>
  </si>
  <si>
    <t>PROVINCIAL ADDRESS</t>
  </si>
  <si>
    <t>Contact Number</t>
  </si>
  <si>
    <t>Email</t>
  </si>
  <si>
    <t>Educational Attainment</t>
  </si>
  <si>
    <t>SSS no.</t>
  </si>
  <si>
    <t>Philhealth no.</t>
  </si>
  <si>
    <t>Pag-Ibig no.</t>
  </si>
  <si>
    <t>TIN no.</t>
  </si>
  <si>
    <t>NO. OF DEPENDENTS</t>
  </si>
  <si>
    <t>NAME &amp; DATE OF BIRTH OF DEPENDENTS</t>
  </si>
  <si>
    <t>CONTACT PERSON IN CASE OF EMERGENCY</t>
  </si>
  <si>
    <t>1ST</t>
  </si>
  <si>
    <t>2ND</t>
  </si>
  <si>
    <t>3RD</t>
  </si>
  <si>
    <t>FROM</t>
  </si>
  <si>
    <t>TO</t>
  </si>
  <si>
    <t>Abalos</t>
  </si>
  <si>
    <t>Jason John</t>
  </si>
  <si>
    <t>Amado</t>
  </si>
  <si>
    <t>#221 2nd St., Pildera Mia Pasay City</t>
  </si>
  <si>
    <t>Bacolod City</t>
  </si>
  <si>
    <t>34-3927628-2</t>
  </si>
  <si>
    <t>443-762-098</t>
  </si>
  <si>
    <t>*915065128815</t>
  </si>
  <si>
    <t>0102-5747-6591</t>
  </si>
  <si>
    <t>Agao</t>
  </si>
  <si>
    <t>Teejay</t>
  </si>
  <si>
    <t>Pastores</t>
  </si>
  <si>
    <t>Room Inspector/Waiter</t>
  </si>
  <si>
    <t>Fixed Term</t>
  </si>
  <si>
    <t>Blk 7 Lot 21 Las Palmas Subd., Sta. Maria Bulacan</t>
  </si>
  <si>
    <t>High School Grad</t>
  </si>
  <si>
    <t>33-7369944-6</t>
  </si>
  <si>
    <t>254-894-745-000</t>
  </si>
  <si>
    <t>0040-3987-6709</t>
  </si>
  <si>
    <t>01-051360110-2</t>
  </si>
  <si>
    <t>Maria Althea C. Agao</t>
  </si>
  <si>
    <t>RESIGN</t>
  </si>
  <si>
    <t>Alconcher</t>
  </si>
  <si>
    <t>Michael</t>
  </si>
  <si>
    <t>Briones</t>
  </si>
  <si>
    <t xml:space="preserve">January 26 to February </t>
  </si>
  <si>
    <t>Bldg. 38-033 B.L.C., Western Bicutan, Taguig City</t>
  </si>
  <si>
    <t>Borobor, Sto. Domingo, Ilocos Sur</t>
  </si>
  <si>
    <t>BSHRM</t>
  </si>
  <si>
    <t>34-3302319-8</t>
  </si>
  <si>
    <t>417-397-183</t>
  </si>
  <si>
    <t>1210-4291-5088</t>
  </si>
  <si>
    <t>02-050912908-9</t>
  </si>
  <si>
    <t>Alfaro</t>
  </si>
  <si>
    <t>Charl</t>
  </si>
  <si>
    <t>Mercado</t>
  </si>
  <si>
    <t>Contractual</t>
  </si>
  <si>
    <t>7 years x 8,257.5</t>
  </si>
  <si>
    <t>881 Geronimo St. Sampaloc Manila</t>
  </si>
  <si>
    <t>34-4476159-1</t>
  </si>
  <si>
    <t>01-025685070-8</t>
  </si>
  <si>
    <t>Seras Victoria C. Alfaro</t>
  </si>
  <si>
    <t>Amen-Amen</t>
  </si>
  <si>
    <t>En</t>
  </si>
  <si>
    <t>Oliveros</t>
  </si>
  <si>
    <t>177 Capt. Cruz St., Parada Valenzuela City</t>
  </si>
  <si>
    <t>Seaferers Rating Course (SRC) Grad</t>
  </si>
  <si>
    <t>33-9196950-1</t>
  </si>
  <si>
    <t>233-073-326</t>
  </si>
  <si>
    <t>*912206126972</t>
  </si>
  <si>
    <t>02-025387822-4</t>
  </si>
  <si>
    <t>Amen-Amen, Yuanne Matthew Tonquin - 7/24/2013</t>
  </si>
  <si>
    <t>Angga</t>
  </si>
  <si>
    <t>Francis</t>
  </si>
  <si>
    <t>Brgy. Sta. Cecilia, Tagkawayan, Quezon</t>
  </si>
  <si>
    <t>BSHRM/Bachelor's Degree</t>
  </si>
  <si>
    <t>04-2934329-6</t>
  </si>
  <si>
    <t>*914166013586</t>
  </si>
  <si>
    <t>0902-5417-1874</t>
  </si>
  <si>
    <t>Asadon</t>
  </si>
  <si>
    <t>Erlinda</t>
  </si>
  <si>
    <t>Guira</t>
  </si>
  <si>
    <t>Chambermaid</t>
  </si>
  <si>
    <t>#5132 Inocencio St. Pasay City</t>
  </si>
  <si>
    <t>llorlente, Eastern Samar</t>
  </si>
  <si>
    <t>HRS Grad</t>
  </si>
  <si>
    <t>34-5073301-8</t>
  </si>
  <si>
    <t>1211-4182-8009</t>
  </si>
  <si>
    <t>13-201680405-7</t>
  </si>
  <si>
    <t>Avena</t>
  </si>
  <si>
    <t>Eddienel</t>
  </si>
  <si>
    <t>Alubog</t>
  </si>
  <si>
    <t>40 Premium St., GSIS Village, Proj. 8, Quezon City</t>
  </si>
  <si>
    <t>Brgy. Liwanag, Odiongan, Romblon</t>
  </si>
  <si>
    <t>BS Comp. Operation Programming</t>
  </si>
  <si>
    <t>34-5183113-9</t>
  </si>
  <si>
    <t>*915212961188</t>
  </si>
  <si>
    <t>0202-6510-7312</t>
  </si>
  <si>
    <t>Bajado</t>
  </si>
  <si>
    <t>Teofilo</t>
  </si>
  <si>
    <t>Brgy. 98 220E, Vergel St. Pasay City</t>
  </si>
  <si>
    <t>Brgy 04 Roxas St. Maydolong E. Samar</t>
  </si>
  <si>
    <t>BS Industrial Technology</t>
  </si>
  <si>
    <t>34-5112013-8</t>
  </si>
  <si>
    <t>437-297-016</t>
  </si>
  <si>
    <t>*915125606872</t>
  </si>
  <si>
    <t>13-202096983-4</t>
  </si>
  <si>
    <t>Balsomo</t>
  </si>
  <si>
    <t>Geraldine</t>
  </si>
  <si>
    <t>Baculing</t>
  </si>
  <si>
    <t>Duraville II, Mahabang Parang Angono Rizal</t>
  </si>
  <si>
    <t>34-4449410-1</t>
  </si>
  <si>
    <t>*914126108037</t>
  </si>
  <si>
    <t>0102-5614-9252</t>
  </si>
  <si>
    <t>Baraero</t>
  </si>
  <si>
    <t>Sherwin</t>
  </si>
  <si>
    <t>Flor</t>
  </si>
  <si>
    <t>Brgy. 751 81 District V, A. Aquino St. Malate, Manila</t>
  </si>
  <si>
    <t>San Francisco, Baao Camarines Sur</t>
  </si>
  <si>
    <t>02-2695329-0</t>
  </si>
  <si>
    <t>10-050135668-3</t>
  </si>
  <si>
    <t>Bingayen</t>
  </si>
  <si>
    <t>Jenalyn</t>
  </si>
  <si>
    <t>Villaga</t>
  </si>
  <si>
    <t>#8 Barangay san jose Tinagan St.Quezon City</t>
  </si>
  <si>
    <t>01-2275109-1</t>
  </si>
  <si>
    <t>*913134088351</t>
  </si>
  <si>
    <t>06-050160290-9</t>
  </si>
  <si>
    <t>Burgos</t>
  </si>
  <si>
    <t>Alyssa</t>
  </si>
  <si>
    <t>Gabito</t>
  </si>
  <si>
    <t>Washington St. Brgy. Pio del Pilar, Makati City</t>
  </si>
  <si>
    <t>Irosin, Sorsogon City</t>
  </si>
  <si>
    <t>BT-FSM/Bachelor's Degree</t>
  </si>
  <si>
    <t>34-3404981-2</t>
  </si>
  <si>
    <t>447-846-637</t>
  </si>
  <si>
    <t>1210-5901-0993</t>
  </si>
  <si>
    <t>02-025816600-1</t>
  </si>
  <si>
    <t>Cadatal</t>
  </si>
  <si>
    <t>Catiloc</t>
  </si>
  <si>
    <t>268 Tenement Punta Sta. Ana, Manila/Bagong Bayan Taguig City</t>
  </si>
  <si>
    <t>Tampilasan, Zamboanga Del Norte</t>
  </si>
  <si>
    <t>HRS/Associate Degree</t>
  </si>
  <si>
    <t>34-4044723-3</t>
  </si>
  <si>
    <t>439-717-772</t>
  </si>
  <si>
    <t>1210-9729-9756</t>
  </si>
  <si>
    <t>01-051771512-9</t>
  </si>
  <si>
    <t>Matchie</t>
  </si>
  <si>
    <t>Carag</t>
  </si>
  <si>
    <t>318 Calvez Bldg., Libertad, Pasay City</t>
  </si>
  <si>
    <t>Magalang Enrile Cagayan Valley</t>
  </si>
  <si>
    <t>BSHIM/Bachelor's Degree</t>
  </si>
  <si>
    <t>34-4066045-0</t>
  </si>
  <si>
    <t>449-392-422</t>
  </si>
  <si>
    <t>*913260735742</t>
  </si>
  <si>
    <t>0102-5580-7736</t>
  </si>
  <si>
    <t>Melanie Calimag</t>
  </si>
  <si>
    <t>Canga</t>
  </si>
  <si>
    <t>Jhon</t>
  </si>
  <si>
    <t>Lagaran</t>
  </si>
  <si>
    <t>40 Blk. 3 Lot 5 Sandville Subd., Sucat, Parañaque City</t>
  </si>
  <si>
    <t>Tacloban, Hindiong Leyte</t>
  </si>
  <si>
    <t>HRM/Associate Grad</t>
  </si>
  <si>
    <t>34-3364846-3</t>
  </si>
  <si>
    <t>312-216-385</t>
  </si>
  <si>
    <t>*914008113924</t>
  </si>
  <si>
    <t>01-051545340-2</t>
  </si>
  <si>
    <t>Caparas</t>
  </si>
  <si>
    <t>Rogelio</t>
  </si>
  <si>
    <t>Adion</t>
  </si>
  <si>
    <t>26 # 3 P. Burgos 10th Ave. P.N.R. Cott. Caloocan City</t>
  </si>
  <si>
    <t>Malolos, Bulacan</t>
  </si>
  <si>
    <t>33-3594279-1</t>
  </si>
  <si>
    <t>*913339086196</t>
  </si>
  <si>
    <t>19-201237778-5</t>
  </si>
  <si>
    <t>2851 Sto. Niño St., Punta Manila</t>
  </si>
  <si>
    <t>O'Donnell, Capas Tarlac</t>
  </si>
  <si>
    <t>Cerezo</t>
  </si>
  <si>
    <t>Alfredo</t>
  </si>
  <si>
    <t>Bañez</t>
  </si>
  <si>
    <t>F. Santos Malibay Pasay City</t>
  </si>
  <si>
    <t>123 Basing Binmaley Pangasinan</t>
  </si>
  <si>
    <t>34-0916452-8</t>
  </si>
  <si>
    <t>453-045-724</t>
  </si>
  <si>
    <t>*913060138101</t>
  </si>
  <si>
    <t>02-050418481-2</t>
  </si>
  <si>
    <t>Al Denniel Lorenzo Cerezo - 11/21/2013</t>
  </si>
  <si>
    <t>Clado</t>
  </si>
  <si>
    <t>Lea</t>
  </si>
  <si>
    <t>57th South Daang Hari, Purok 10, Taguig City</t>
  </si>
  <si>
    <t>Agro. Bagumbayan, Tiwi, Albay</t>
  </si>
  <si>
    <t>34-5278143-7</t>
  </si>
  <si>
    <t>286-642-578</t>
  </si>
  <si>
    <t>1211-4948-0865</t>
  </si>
  <si>
    <t>03-025202744-7</t>
  </si>
  <si>
    <t>eoc</t>
  </si>
  <si>
    <t>Dalmacio</t>
  </si>
  <si>
    <t>Lorence</t>
  </si>
  <si>
    <t>Asilom</t>
  </si>
  <si>
    <t>199 Binang 1st Bocaue Bulacan</t>
  </si>
  <si>
    <t>33-9175101-0</t>
  </si>
  <si>
    <t>253-857-308</t>
  </si>
  <si>
    <t>*912020040037</t>
  </si>
  <si>
    <t>01-050856151-8</t>
  </si>
  <si>
    <t>Hance Oscar De Guzman Dalmacio - 3/21/2012</t>
  </si>
  <si>
    <t>Rodolfo</t>
  </si>
  <si>
    <t>Brgy. Sto. Niño, Sucat, Sucat Parañaque City</t>
  </si>
  <si>
    <t>Blk 79 Lot 9 Bella Vista Subd. Brgy. Santiago General Trias Cavite</t>
  </si>
  <si>
    <t>09274404500/09168420516</t>
  </si>
  <si>
    <t>34-4790542-2</t>
  </si>
  <si>
    <t>1211-3359-3188</t>
  </si>
  <si>
    <t>0202-6386-7689</t>
  </si>
  <si>
    <t>Ma. Junalyn Villarta/Friend/09168420516</t>
  </si>
  <si>
    <t>Tabor</t>
  </si>
  <si>
    <t>#338 S. Veloso St. Salapan, San Juan City</t>
  </si>
  <si>
    <t>Lubong, Occ. Mindoro</t>
  </si>
  <si>
    <t>34-4483430-5</t>
  </si>
  <si>
    <t>415-303-941-000</t>
  </si>
  <si>
    <t>*914122048214</t>
  </si>
  <si>
    <t>0920-1587-1891</t>
  </si>
  <si>
    <t>Ro</t>
  </si>
  <si>
    <t>Lakandula St., Tondo Manila</t>
  </si>
  <si>
    <t>BSHRM Maj. In Culiray Arts</t>
  </si>
  <si>
    <t>04-3602460-5</t>
  </si>
  <si>
    <t>*915155545167</t>
  </si>
  <si>
    <t>2125-0819-3502</t>
  </si>
  <si>
    <t>Diaz</t>
  </si>
  <si>
    <t>Jayvee</t>
  </si>
  <si>
    <t>Mamerto</t>
  </si>
  <si>
    <t>Dispatcher</t>
  </si>
  <si>
    <t>1059 B Tomas Mapua St., Sta. Cruz, Manila</t>
  </si>
  <si>
    <t>Comp. Engr. Tech/Graduate</t>
  </si>
  <si>
    <t>33-5135699-2</t>
  </si>
  <si>
    <t>236-706-311</t>
  </si>
  <si>
    <t>*004033232802</t>
  </si>
  <si>
    <t>02-050877618-8</t>
  </si>
  <si>
    <t>Dominguez</t>
  </si>
  <si>
    <t>Kristian</t>
  </si>
  <si>
    <t>Zabala</t>
  </si>
  <si>
    <t># 129 Antipolo Street Manuela IV-E, Las Piñas City</t>
  </si>
  <si>
    <t>Salvacion Rizal, Occidental Mindoro</t>
  </si>
  <si>
    <t>34-3928409-6</t>
  </si>
  <si>
    <t>1210-9529-6303</t>
  </si>
  <si>
    <t>0102-5544-5508</t>
  </si>
  <si>
    <t>Ma. Kristina Dominguez/Sister/09469353703</t>
  </si>
  <si>
    <t>Eleria</t>
  </si>
  <si>
    <t>Marco</t>
  </si>
  <si>
    <t>Atienza</t>
  </si>
  <si>
    <t>Steward</t>
  </si>
  <si>
    <t>4121A 13th St., Sto. Niño, Parañaque City</t>
  </si>
  <si>
    <t>Calabanga, Camarines Sur</t>
  </si>
  <si>
    <t>34-5294109-9</t>
  </si>
  <si>
    <t>*915204897911</t>
  </si>
  <si>
    <t>0102-5819-8315</t>
  </si>
  <si>
    <t>Falible</t>
  </si>
  <si>
    <t>Jovielyn</t>
  </si>
  <si>
    <t>Gallardo</t>
  </si>
  <si>
    <t>Accounting Assistant Head</t>
  </si>
  <si>
    <t># 400 S. Roldan St. Tangos Navotas City</t>
  </si>
  <si>
    <t>709-9081</t>
  </si>
  <si>
    <t>33-9932691-3</t>
  </si>
  <si>
    <t>254-533-651</t>
  </si>
  <si>
    <t>1040-0168-1024</t>
  </si>
  <si>
    <t>01-050612974-0</t>
  </si>
  <si>
    <t>Carla Venice G. Falible - 9/15/2004</t>
  </si>
  <si>
    <t>Francisco</t>
  </si>
  <si>
    <t>Arjie</t>
  </si>
  <si>
    <t>Gamoso</t>
  </si>
  <si>
    <t>Interior 3 P. Mayuga Street, Corner Naia RD., Tambo Parañaque City</t>
  </si>
  <si>
    <t>Carangian, Tarlac</t>
  </si>
  <si>
    <t>09153102325/09126290981</t>
  </si>
  <si>
    <t>Bachelor of Arts in English/Undergrad</t>
  </si>
  <si>
    <t>02-2961052-7</t>
  </si>
  <si>
    <t>*913189118300</t>
  </si>
  <si>
    <t>07-201553860-1</t>
  </si>
  <si>
    <t>Galamiton</t>
  </si>
  <si>
    <t>Henry</t>
  </si>
  <si>
    <t>62 Scotland Compound Brgy. San Isidro, Parañaque City</t>
  </si>
  <si>
    <t>Tinago St. Ozamiz City Mizamis Occidental, Mindoro</t>
  </si>
  <si>
    <t>Vocational, HK NC II Grad</t>
  </si>
  <si>
    <t>34-0440093-1</t>
  </si>
  <si>
    <t>410-743-325</t>
  </si>
  <si>
    <t>*914182363611</t>
  </si>
  <si>
    <t>01-051101009-3</t>
  </si>
  <si>
    <t>Nolilyn Armenta/girlfriend/09308399989</t>
  </si>
  <si>
    <t>Ralph</t>
  </si>
  <si>
    <t>Pacia</t>
  </si>
  <si>
    <t>147 Magdalena St. Baesa Rd. Sta. Quiteria, Caloocn City</t>
  </si>
  <si>
    <t>34-4836087-5</t>
  </si>
  <si>
    <t>*914310412368</t>
  </si>
  <si>
    <t>0202-6360-3134</t>
  </si>
  <si>
    <t>Rose</t>
  </si>
  <si>
    <t>Roscales</t>
  </si>
  <si>
    <t>B5 Lot 03 NBL Subd. Molino I, Bacoor Cavite</t>
  </si>
  <si>
    <t>BSHRM/Undergrad</t>
  </si>
  <si>
    <t>34-2806946-8</t>
  </si>
  <si>
    <t>411-689-460</t>
  </si>
  <si>
    <t>*915147532445</t>
  </si>
  <si>
    <t>0802-5847-4132</t>
  </si>
  <si>
    <t>Gatbuton</t>
  </si>
  <si>
    <t>Bonie</t>
  </si>
  <si>
    <t>Carlos</t>
  </si>
  <si>
    <t>130 Santan St. Blk. 6 Tondo, Manila</t>
  </si>
  <si>
    <t>34-3868714-4</t>
  </si>
  <si>
    <t>317-762-718</t>
  </si>
  <si>
    <t>1210-9735-2711</t>
  </si>
  <si>
    <t>01-051771511-0</t>
  </si>
  <si>
    <t>Geralbio</t>
  </si>
  <si>
    <t>Baguinon</t>
  </si>
  <si>
    <t>2126 Blk. 10 Welfare Compound Brgy. Addition Hills Mandaluyong City</t>
  </si>
  <si>
    <t>Brgy. Salug Guiuan Eastern Samar</t>
  </si>
  <si>
    <t>HRRM/Bachelor's Degree</t>
  </si>
  <si>
    <t>34-3906281-0</t>
  </si>
  <si>
    <t>452-888-726</t>
  </si>
  <si>
    <t>1210-9750-7673</t>
  </si>
  <si>
    <t>13-201546458-9</t>
  </si>
  <si>
    <t>Guevarra</t>
  </si>
  <si>
    <t>Manilyn</t>
  </si>
  <si>
    <t>Laxa</t>
  </si>
  <si>
    <t>2624 Dimasalang St. Pasay City</t>
  </si>
  <si>
    <t>Sto. Rosario Palihan, Orani, Bataan</t>
  </si>
  <si>
    <t>HRM/Bachelor's Degree</t>
  </si>
  <si>
    <t>02-2869596-7</t>
  </si>
  <si>
    <t>454-414-628</t>
  </si>
  <si>
    <t>1210-8319-5650</t>
  </si>
  <si>
    <t>07-050714140-2</t>
  </si>
  <si>
    <t>Gumban</t>
  </si>
  <si>
    <t>Jhyrwin</t>
  </si>
  <si>
    <t>Fermisa</t>
  </si>
  <si>
    <t>#52 Donesa St. Canumay West, Valenzuela City</t>
  </si>
  <si>
    <t>Dingle, Ilo-ilo City</t>
  </si>
  <si>
    <t>07-2864638-0</t>
  </si>
  <si>
    <t>437-130-838</t>
  </si>
  <si>
    <t>*914048063141</t>
  </si>
  <si>
    <t>11-050612385-2</t>
  </si>
  <si>
    <t>Sally Frumista/Aunt/09178358449</t>
  </si>
  <si>
    <t>Guzarin</t>
  </si>
  <si>
    <t>Christian</t>
  </si>
  <si>
    <t>Rosario</t>
  </si>
  <si>
    <t>116 Ninoy Aquino Sto. Niño, Parañaque City</t>
  </si>
  <si>
    <t>34-4469899-4</t>
  </si>
  <si>
    <t>451-232-594</t>
  </si>
  <si>
    <t>1211-1620-1053</t>
  </si>
  <si>
    <t>01-051923412-4</t>
  </si>
  <si>
    <t>Neil</t>
  </si>
  <si>
    <t>Jaromay</t>
  </si>
  <si>
    <t>213 Saint Ann St. Maricaban Pasay City</t>
  </si>
  <si>
    <t>Cartes, Ilo-ilo</t>
  </si>
  <si>
    <t>Fitter Machinist/Under Grad</t>
  </si>
  <si>
    <t>34-3237931-9</t>
  </si>
  <si>
    <t>448-744-759-000</t>
  </si>
  <si>
    <t>*913265531099</t>
  </si>
  <si>
    <t>03-025531911-2</t>
  </si>
  <si>
    <t>Icasiano</t>
  </si>
  <si>
    <t>Von</t>
  </si>
  <si>
    <t>4th St. Brgy. 10 Caloocan City</t>
  </si>
  <si>
    <t>34-5043628-9</t>
  </si>
  <si>
    <t>*915204801838</t>
  </si>
  <si>
    <t>0202-6548-1990</t>
  </si>
  <si>
    <t>Layam</t>
  </si>
  <si>
    <t>Irine</t>
  </si>
  <si>
    <t>Pagunsan</t>
  </si>
  <si>
    <t>F-09 Kapitbahayan, Navotas City</t>
  </si>
  <si>
    <t>BSHM Maj. In Cruise Line Operations in Hotel Service</t>
  </si>
  <si>
    <t>34-4651706-0</t>
  </si>
  <si>
    <t>*914194872588</t>
  </si>
  <si>
    <t>0202-6274-11452</t>
  </si>
  <si>
    <t>Leal</t>
  </si>
  <si>
    <t>Shirley</t>
  </si>
  <si>
    <t>Laxamana</t>
  </si>
  <si>
    <t>#16, Pres. Laure , Signal Village, Taguig City</t>
  </si>
  <si>
    <t>Tayug, Pangasinan</t>
  </si>
  <si>
    <t>AHRM</t>
  </si>
  <si>
    <t>34-2949300-4</t>
  </si>
  <si>
    <t>*914170060299</t>
  </si>
  <si>
    <t>08-051424009-8</t>
  </si>
  <si>
    <t>Enrique Medrano/Cousin/09489900993</t>
  </si>
  <si>
    <t>Lozada</t>
  </si>
  <si>
    <t>Nato</t>
  </si>
  <si>
    <t>B13 Lot 1-A Talisay St. Narra Homes Pag-asa 1, Imus, Cavite</t>
  </si>
  <si>
    <t>34-5219589-0</t>
  </si>
  <si>
    <t>*915162381590</t>
  </si>
  <si>
    <t>0202-6522-6184</t>
  </si>
  <si>
    <t>Luna</t>
  </si>
  <si>
    <t>Jomari</t>
  </si>
  <si>
    <t>#029 Frances, Calumpit, Bulacan</t>
  </si>
  <si>
    <t>HRS grad</t>
  </si>
  <si>
    <t>34-5211089-1</t>
  </si>
  <si>
    <t>*915159858658</t>
  </si>
  <si>
    <t>2102-5322-0915</t>
  </si>
  <si>
    <t>Lyn Gregorio/Auntie/09202253026</t>
  </si>
  <si>
    <t>Madrilejos</t>
  </si>
  <si>
    <t>Buen</t>
  </si>
  <si>
    <t>Lucban St. Pasay City/Felipe St. Brgy. Bagbag, Novaliches Quezon City</t>
  </si>
  <si>
    <t>Tiwi, Albay</t>
  </si>
  <si>
    <t>9309692183/09104166555</t>
  </si>
  <si>
    <t>HRS/Associate Grad</t>
  </si>
  <si>
    <t>34-3606598-8</t>
  </si>
  <si>
    <t>316-725-112</t>
  </si>
  <si>
    <t>*913189128547</t>
  </si>
  <si>
    <t>02-050948270-6</t>
  </si>
  <si>
    <t>Malit</t>
  </si>
  <si>
    <t>Glenn</t>
  </si>
  <si>
    <t>001 Mabical Florida Blanca Pampanga</t>
  </si>
  <si>
    <t>HRM/Undergrad(2nd Year)</t>
  </si>
  <si>
    <t>02-3673484-9</t>
  </si>
  <si>
    <t>*914149003996</t>
  </si>
  <si>
    <t>0702-5678-8169</t>
  </si>
  <si>
    <t>Kris</t>
  </si>
  <si>
    <t>Raymundo</t>
  </si>
  <si>
    <t>#31 Verbena St. Rivera Village Naia</t>
  </si>
  <si>
    <t>Calicanto, San Juan, Batangas</t>
  </si>
  <si>
    <t>09056961830/0104370351</t>
  </si>
  <si>
    <t>34-5069248-9</t>
  </si>
  <si>
    <t>1211-4171-0440</t>
  </si>
  <si>
    <t>01-025762515-5</t>
  </si>
  <si>
    <t>Mandane</t>
  </si>
  <si>
    <t>Margie</t>
  </si>
  <si>
    <t>Morales</t>
  </si>
  <si>
    <t>2264 Harrison St. Pasay City</t>
  </si>
  <si>
    <t>Gogon, Donsol, Sorsogon</t>
  </si>
  <si>
    <t>34-4432552-6</t>
  </si>
  <si>
    <t>458-783-886</t>
  </si>
  <si>
    <t>1211-1484-4725</t>
  </si>
  <si>
    <t>0202-6213-9833</t>
  </si>
  <si>
    <t>Resign</t>
  </si>
  <si>
    <t>Martinez</t>
  </si>
  <si>
    <t>Ronnie</t>
  </si>
  <si>
    <t>Navarro</t>
  </si>
  <si>
    <t>76 Lozada Compound Pulang Lupa II, Las Piñas City</t>
  </si>
  <si>
    <t>HRM/Under Grad/House Keeping</t>
  </si>
  <si>
    <t>34-3046232-5</t>
  </si>
  <si>
    <t>*913189132168</t>
  </si>
  <si>
    <t>01-051421928-7</t>
  </si>
  <si>
    <t>Mendoza</t>
  </si>
  <si>
    <t>Jila</t>
  </si>
  <si>
    <t>Bacat</t>
  </si>
  <si>
    <t>16 Jade St. Severina Diamond Subdivision Parañaque City</t>
  </si>
  <si>
    <t>BS Tourism</t>
  </si>
  <si>
    <t>34-1091717-5</t>
  </si>
  <si>
    <t>260-477-859</t>
  </si>
  <si>
    <t>*914034007189</t>
  </si>
  <si>
    <t>01-051822446-3</t>
  </si>
  <si>
    <t>Miales</t>
  </si>
  <si>
    <t>Marinay</t>
  </si>
  <si>
    <t>#20 Durian St. North Signal Village, Taguig City</t>
  </si>
  <si>
    <t>Brgy. Manghanoy La, Castellna</t>
  </si>
  <si>
    <t>317-696-547</t>
  </si>
  <si>
    <t>*914137009479</t>
  </si>
  <si>
    <t>02-025988167-7</t>
  </si>
  <si>
    <t>Melanie</t>
  </si>
  <si>
    <t>P.</t>
  </si>
  <si>
    <t>awol</t>
  </si>
  <si>
    <t>Nacion</t>
  </si>
  <si>
    <t>Jefrey</t>
  </si>
  <si>
    <t>Vibar</t>
  </si>
  <si>
    <t>San Antonio, Makati City/Zamora St. Pasay City</t>
  </si>
  <si>
    <t>Ilawod, Camalig Albay</t>
  </si>
  <si>
    <t>9487878569/09096883475</t>
  </si>
  <si>
    <t>BSHM</t>
  </si>
  <si>
    <t>34-3300028-9</t>
  </si>
  <si>
    <t>323-122-089</t>
  </si>
  <si>
    <t>*913014100622</t>
  </si>
  <si>
    <t>01-025456599-2</t>
  </si>
  <si>
    <t>Obrique</t>
  </si>
  <si>
    <t>Wilmar</t>
  </si>
  <si>
    <t>Ballera</t>
  </si>
  <si>
    <t>153 Heroes De, 96, Caloocan City</t>
  </si>
  <si>
    <t>Langue Gigante Norte, Carles Iloilo</t>
  </si>
  <si>
    <t>High School/Under Grad</t>
  </si>
  <si>
    <t>33-0185492-3</t>
  </si>
  <si>
    <t>051-000-306-477</t>
  </si>
  <si>
    <t>*004056346107</t>
  </si>
  <si>
    <t>19-050716375-4</t>
  </si>
  <si>
    <t>Daniella Gallo Obrique - 4/24/2002</t>
  </si>
  <si>
    <t>Padilla</t>
  </si>
  <si>
    <t>Donna</t>
  </si>
  <si>
    <t>Cunanan</t>
  </si>
  <si>
    <t>Unit 226 Vito Cruz Tower II, P. Ocampo St. Malate, Manila</t>
  </si>
  <si>
    <t>Cabanatuan, Nueva Ecija</t>
  </si>
  <si>
    <t>34-5092302-2</t>
  </si>
  <si>
    <t>1211-4218-6166</t>
  </si>
  <si>
    <t>21-200334475-1</t>
  </si>
  <si>
    <t>Pasco</t>
  </si>
  <si>
    <t>Alejandro</t>
  </si>
  <si>
    <t>Labado</t>
  </si>
  <si>
    <t>lot 11 Blk 27, Molino, Bacoor Cavite</t>
  </si>
  <si>
    <t>34-4862315-6</t>
  </si>
  <si>
    <t>1211-1234-5885</t>
  </si>
  <si>
    <t>0102-5703-2391</t>
  </si>
  <si>
    <t>Paulino</t>
  </si>
  <si>
    <t>9D Appartment, Baclaran, Pasay City</t>
  </si>
  <si>
    <t>125 Galas St. Maasim, San Rafael Bulacan 3008</t>
  </si>
  <si>
    <t>BSIT/Under Grad/Vocational Housekeeping &amp; Bartending</t>
  </si>
  <si>
    <t>34-3918205-9</t>
  </si>
  <si>
    <t>439-908-578</t>
  </si>
  <si>
    <t>1210-9239-5474</t>
  </si>
  <si>
    <t>01-051693148-0</t>
  </si>
  <si>
    <t>Pelaez</t>
  </si>
  <si>
    <t>Albert</t>
  </si>
  <si>
    <t>09/31/2012</t>
  </si>
  <si>
    <t>2173 F.B. Harrison Pasay City</t>
  </si>
  <si>
    <t>Buyuin, Socorro, Oriental Mindoro</t>
  </si>
  <si>
    <t>04-1593325-4</t>
  </si>
  <si>
    <t>313-803-996</t>
  </si>
  <si>
    <t>*912314010929</t>
  </si>
  <si>
    <t>03-050671502-0</t>
  </si>
  <si>
    <t>Perado</t>
  </si>
  <si>
    <t>Lhiezelma</t>
  </si>
  <si>
    <t>Querol</t>
  </si>
  <si>
    <t>54 SGT Santos Ext Street Bagong Ilog, Pasig City</t>
  </si>
  <si>
    <t>Bonuan Binloc Dagupan City, Pangasinan</t>
  </si>
  <si>
    <t>9128180659/09278052360</t>
  </si>
  <si>
    <t>Bachelor's Degree</t>
  </si>
  <si>
    <t>02-2656341-5</t>
  </si>
  <si>
    <t>449-490-015</t>
  </si>
  <si>
    <t>1210-4325-5090</t>
  </si>
  <si>
    <t>05-050203797-5</t>
  </si>
  <si>
    <t>Jovelyn Perado/09994216382</t>
  </si>
  <si>
    <t xml:space="preserve">Resigned </t>
  </si>
  <si>
    <t>Ramos</t>
  </si>
  <si>
    <t>Darell</t>
  </si>
  <si>
    <t>Tinampay</t>
  </si>
  <si>
    <t>211 Vergel St. Pasay City</t>
  </si>
  <si>
    <t>Vocational Grad NCII Housekeeping</t>
  </si>
  <si>
    <t>34-4206819-9</t>
  </si>
  <si>
    <t>1211-1562-4228</t>
  </si>
  <si>
    <t>02-051065496-0</t>
  </si>
  <si>
    <t>Danilo C. Ramos/Father/8363719</t>
  </si>
  <si>
    <t>Maricar</t>
  </si>
  <si>
    <t>1853 Cuyegkeng St. Pasay City</t>
  </si>
  <si>
    <t>Paruddun Norte, Appari, Cagayan</t>
  </si>
  <si>
    <t>01-2300222-8</t>
  </si>
  <si>
    <t>454-437-327-000</t>
  </si>
  <si>
    <t>1210-9748-3518</t>
  </si>
  <si>
    <t>01-025584118-7</t>
  </si>
  <si>
    <t>Repelente</t>
  </si>
  <si>
    <t>Jerome</t>
  </si>
  <si>
    <t>Taduyo</t>
  </si>
  <si>
    <t>#15113 Sta. Theresa St. San Agustin Village, Moonwalk, Parañaque City</t>
  </si>
  <si>
    <t>Calbayog, Western Samar</t>
  </si>
  <si>
    <t>Asso. HRS</t>
  </si>
  <si>
    <t>34-3365825-9</t>
  </si>
  <si>
    <t>*914282714704</t>
  </si>
  <si>
    <t>0105-1463-7585</t>
  </si>
  <si>
    <t>Rivera</t>
  </si>
  <si>
    <t>Melvin</t>
  </si>
  <si>
    <t>Gumintong</t>
  </si>
  <si>
    <t>Sapang Maligaya Sun Valley, Parañaque City</t>
  </si>
  <si>
    <t>HRM undergrad</t>
  </si>
  <si>
    <t>34-1096373-7</t>
  </si>
  <si>
    <t>264-357-741</t>
  </si>
  <si>
    <t>*914061009750</t>
  </si>
  <si>
    <t>01-025594642-6</t>
  </si>
  <si>
    <t>Veronica Rivera/Mother/09982359035</t>
  </si>
  <si>
    <t>Ronquillo</t>
  </si>
  <si>
    <t>Kate</t>
  </si>
  <si>
    <t>Javier</t>
  </si>
  <si>
    <t>B8 L42 Ph42 Onyx St., CHRU, Dasmariñas, Cavite</t>
  </si>
  <si>
    <t>34-2298477-2</t>
  </si>
  <si>
    <t>298-430-038</t>
  </si>
  <si>
    <t>1210-8510-4695</t>
  </si>
  <si>
    <t>0802-5587-2021</t>
  </si>
  <si>
    <t>Lucila J. Ronquillo/Mother/09235972569</t>
  </si>
  <si>
    <t>Roque</t>
  </si>
  <si>
    <t>Arjel</t>
  </si>
  <si>
    <t>#234 V. Sevilla St., 7th Avenue West, Caloocan City</t>
  </si>
  <si>
    <t>Carranglan, Nueva Ecija</t>
  </si>
  <si>
    <t>Vocational Computer Prog.</t>
  </si>
  <si>
    <t>34-4414602-2</t>
  </si>
  <si>
    <t>*915014087770</t>
  </si>
  <si>
    <t>0202-6403-2629</t>
  </si>
  <si>
    <t>Rumbaoa</t>
  </si>
  <si>
    <t>Alba</t>
  </si>
  <si>
    <t>Area 4a Sitio Libjo Brgy. Sto. Niño, Parañaque City</t>
  </si>
  <si>
    <t>Diploma in HRMT</t>
  </si>
  <si>
    <t>34-5300193-8</t>
  </si>
  <si>
    <t>1211-4743-1428</t>
  </si>
  <si>
    <t>0125-0800-8196</t>
  </si>
  <si>
    <t>Saad</t>
  </si>
  <si>
    <t>Luci</t>
  </si>
  <si>
    <t>767 Banal St. Gagalangin, Tondo, Manila</t>
  </si>
  <si>
    <t>34-4181998-3</t>
  </si>
  <si>
    <t>01-025572576-4</t>
  </si>
  <si>
    <t>Salaya</t>
  </si>
  <si>
    <t>Roselie</t>
  </si>
  <si>
    <t>Saligumba</t>
  </si>
  <si>
    <t>3628 Sta. Monica St. Brgy. Don Galo, Parañaque City.</t>
  </si>
  <si>
    <t>San Florentino, San Rafael, Iloilo</t>
  </si>
  <si>
    <t>BSHRT/Bachelor's Degree</t>
  </si>
  <si>
    <t>34-3814949-1</t>
  </si>
  <si>
    <t>316-708-771</t>
  </si>
  <si>
    <t>*913123104807</t>
  </si>
  <si>
    <t>02-025939701-5</t>
  </si>
  <si>
    <t>eOC</t>
  </si>
  <si>
    <t>Charlito</t>
  </si>
  <si>
    <t>5678 Lopez Jaena St. Sam Dionisio, Parañaque City</t>
  </si>
  <si>
    <t>34-3772442-2</t>
  </si>
  <si>
    <t>934-860-961</t>
  </si>
  <si>
    <t>*915180611638</t>
  </si>
  <si>
    <t>01-051772630-9</t>
  </si>
  <si>
    <t>Ma. Luisa R. Salazar/Mother/09482060309</t>
  </si>
  <si>
    <t>Panuncio</t>
  </si>
  <si>
    <t>Blk. 5 Lt. 6 Casimiro TH., Tramo St., Daniel Fajardo, Las Piñas City</t>
  </si>
  <si>
    <t>09358891013/09107559334</t>
  </si>
  <si>
    <t>34-3512976-0</t>
  </si>
  <si>
    <t>428-751-843-000</t>
  </si>
  <si>
    <t>*912298018199</t>
  </si>
  <si>
    <t>08-025513553-1</t>
  </si>
  <si>
    <t>Nicole</t>
  </si>
  <si>
    <t>Beatriz</t>
  </si>
  <si>
    <t>Saus</t>
  </si>
  <si>
    <t>Dalisay</t>
  </si>
  <si>
    <t>PTC Calsadang Bago, Imus City, Cavite</t>
  </si>
  <si>
    <t>Ibajay, Aklan</t>
  </si>
  <si>
    <t>College Undergrad/Computer Tech.</t>
  </si>
  <si>
    <t>34-5164725-5</t>
  </si>
  <si>
    <t>1211-3491-9489</t>
  </si>
  <si>
    <t>11-201825314-6</t>
  </si>
  <si>
    <t>Serrano</t>
  </si>
  <si>
    <t>Emiekka</t>
  </si>
  <si>
    <t>Saberon</t>
  </si>
  <si>
    <t>86 Pook Dela Paz Old Balara, Diliman Quezon City</t>
  </si>
  <si>
    <t>Poblacion, Almeria Biliran</t>
  </si>
  <si>
    <t>BSHRTM</t>
  </si>
  <si>
    <t>34-2300080-4</t>
  </si>
  <si>
    <t>311-748-277</t>
  </si>
  <si>
    <t>*913014103706</t>
  </si>
  <si>
    <t>01-051482476-8</t>
  </si>
  <si>
    <t>Silvestre</t>
  </si>
  <si>
    <t>Guardian</t>
  </si>
  <si>
    <t>8200 Dahlia Street, Sto Niño Parañaque City</t>
  </si>
  <si>
    <t>Looc, Romblom</t>
  </si>
  <si>
    <t>Elec.Tech./Associate Grad</t>
  </si>
  <si>
    <t>34-0978986-4</t>
  </si>
  <si>
    <t>303-519-587</t>
  </si>
  <si>
    <t>*912311119867</t>
  </si>
  <si>
    <t>01-025385836-8</t>
  </si>
  <si>
    <t>Lebron Gabriel Adalla Silvestre - 1/26/2012</t>
  </si>
  <si>
    <t>Sta. Juana</t>
  </si>
  <si>
    <t>Charelston</t>
  </si>
  <si>
    <t>#130 Cityhome D110 San Francisco St. Plainview Mandaluyong City</t>
  </si>
  <si>
    <t>San Antonio, Nueva Ecija</t>
  </si>
  <si>
    <t>Asso. Electronic Communications Engr. Tech.</t>
  </si>
  <si>
    <t xml:space="preserve">34-4045340-5 </t>
  </si>
  <si>
    <t>Tamondong</t>
  </si>
  <si>
    <t>Andrei</t>
  </si>
  <si>
    <t>Galzote</t>
  </si>
  <si>
    <t>7426 Infanta St. Olympia Makati City</t>
  </si>
  <si>
    <t>HRM/Under Grad</t>
  </si>
  <si>
    <t>34-1183273-8</t>
  </si>
  <si>
    <t>265-687-037</t>
  </si>
  <si>
    <t>1210-2886-9720</t>
  </si>
  <si>
    <t>01-025237651-3</t>
  </si>
  <si>
    <t>Ryan</t>
  </si>
  <si>
    <t>105 Grandeza St. 2nd Ave. Caloocan City</t>
  </si>
  <si>
    <t>33-7922266-8</t>
  </si>
  <si>
    <t>305-848-576</t>
  </si>
  <si>
    <t>*914007074771</t>
  </si>
  <si>
    <t>02-026115371-9</t>
  </si>
  <si>
    <t>Tapales</t>
  </si>
  <si>
    <t>Giovani</t>
  </si>
  <si>
    <t>Bonghanoy</t>
  </si>
  <si>
    <t>9/31/2012</t>
  </si>
  <si>
    <t>420 BRGY. SUN SUN VALLEY PARAÑAQUE CITY</t>
  </si>
  <si>
    <t>Palompon Leyte</t>
  </si>
  <si>
    <t>09058539154/09059201546/09499795195</t>
  </si>
  <si>
    <t>Trade Tech. Educ/Vocational/Associate</t>
  </si>
  <si>
    <t>34-0705185-3</t>
  </si>
  <si>
    <t>453-045-716</t>
  </si>
  <si>
    <t>*912236091367</t>
  </si>
  <si>
    <t>01-050944944-4</t>
  </si>
  <si>
    <t>Trazona</t>
  </si>
  <si>
    <t>Jay</t>
  </si>
  <si>
    <t>Espiritu</t>
  </si>
  <si>
    <t>San Agustin, Carranglan, Nueva Ecija</t>
  </si>
  <si>
    <t>34-2179468-8</t>
  </si>
  <si>
    <t>442-904-717</t>
  </si>
  <si>
    <t>1210-7224-1144</t>
  </si>
  <si>
    <t>2200-0044-6513</t>
  </si>
  <si>
    <t>Tuazon</t>
  </si>
  <si>
    <t>Blk 38 Welfareville Copm. Brgy. Addition Hills, Mandaluyong City</t>
  </si>
  <si>
    <t>Lingayen, Pangasinan</t>
  </si>
  <si>
    <t>02-3754323-8</t>
  </si>
  <si>
    <t>*914316020112</t>
  </si>
  <si>
    <t>0202-6367-6905</t>
  </si>
  <si>
    <t>Villapando</t>
  </si>
  <si>
    <t>#13M2, Sto Niño St., Brgy. San Antonio, San Francisco Del Monte, Quezon City</t>
  </si>
  <si>
    <t>Poblacion, Torrijos, Marinduque</t>
  </si>
  <si>
    <t>34-4764283-7</t>
  </si>
  <si>
    <t>1211-3225-5673</t>
  </si>
  <si>
    <t>0302-5696-1748</t>
  </si>
  <si>
    <t>Yepes</t>
  </si>
  <si>
    <t>Garbo</t>
  </si>
  <si>
    <t>21B San Pablo St. Brgy. Kapitolyo Pasig City</t>
  </si>
  <si>
    <t>St. Martin St. Parkdale 2 Perpetual Village 7, Bacoor Cavite</t>
  </si>
  <si>
    <t>34-4472367-8</t>
  </si>
  <si>
    <t>458-783-624</t>
  </si>
  <si>
    <t>*914115124094</t>
  </si>
  <si>
    <t>0202-6207-8958</t>
  </si>
  <si>
    <t>Adoracion Ramirez/09166443680</t>
  </si>
  <si>
    <t>Orsos</t>
  </si>
  <si>
    <t>Feola</t>
  </si>
  <si>
    <t>Juenese</t>
  </si>
  <si>
    <t>Interior Designer (Proj. EMP.)</t>
  </si>
  <si>
    <t>1834 A. Sampaguita St. Kahilom #1 Pandacan, Manila</t>
  </si>
  <si>
    <t>Interior Designer/College Grad</t>
  </si>
  <si>
    <t>Pakig</t>
  </si>
  <si>
    <t>Jan</t>
  </si>
  <si>
    <t>Sionosa</t>
  </si>
  <si>
    <t>Blk 3 Bagong Silang, Bacoor, Cavute</t>
  </si>
  <si>
    <t>Ilo-Ilo</t>
  </si>
  <si>
    <t>0907-60554678</t>
  </si>
  <si>
    <t>34-5599933-6</t>
  </si>
  <si>
    <t>*916007771419</t>
  </si>
  <si>
    <t>Artemio Pakig-Father    0920-7388568</t>
  </si>
  <si>
    <t>Freddie</t>
  </si>
  <si>
    <t>Torres</t>
  </si>
  <si>
    <t>CPN Tarlac City/331-D Acacia St. Marvex Balintawak Q.C.</t>
  </si>
  <si>
    <t>34-2387324-8</t>
  </si>
  <si>
    <t>1210-2624-3936</t>
  </si>
  <si>
    <t>03-050788109-9</t>
  </si>
  <si>
    <t>Terminated</t>
  </si>
  <si>
    <t>Baui</t>
  </si>
  <si>
    <t>Krystel</t>
  </si>
  <si>
    <t>204 Compound Kapanalig Street Caloocan City</t>
  </si>
  <si>
    <t>Davao City</t>
  </si>
  <si>
    <t>HRM/Undergrad(3rd year)</t>
  </si>
  <si>
    <t>34-4555075-6</t>
  </si>
  <si>
    <t>*914153123346</t>
  </si>
  <si>
    <t>0202-6230-9038</t>
  </si>
  <si>
    <t>Adrian V. Baui/09168206051</t>
  </si>
  <si>
    <t>Zingapan</t>
  </si>
  <si>
    <t>Cesar</t>
  </si>
  <si>
    <t>Balod</t>
  </si>
  <si>
    <t>#500 P. Binay St. Bangkal, Makati City</t>
  </si>
  <si>
    <t>#111 Bacud St. Gosi Sur Tuguegarao City</t>
  </si>
  <si>
    <t>01-2492510-0</t>
  </si>
  <si>
    <t>*915162388682</t>
  </si>
  <si>
    <t>06-250428621-0</t>
  </si>
  <si>
    <t>Anne Z. Balubal/Cousin/09278303165</t>
  </si>
  <si>
    <t>Esteban</t>
  </si>
  <si>
    <t>Al</t>
  </si>
  <si>
    <t>Quindica</t>
  </si>
  <si>
    <t>Waitress</t>
  </si>
  <si>
    <t>1146 Tramo St. Pulang Lupa, Las Piñas City</t>
  </si>
  <si>
    <t>DSHRS</t>
  </si>
  <si>
    <t>34-5331694-0</t>
  </si>
  <si>
    <t>325-362-483</t>
  </si>
  <si>
    <t>1211-5221-7135</t>
  </si>
  <si>
    <t>102-5863-9443</t>
  </si>
  <si>
    <t>Edward Esteban(Father)-0962987746</t>
  </si>
  <si>
    <t>Malia</t>
  </si>
  <si>
    <t>Jaynald</t>
  </si>
  <si>
    <t># 467 Mt. Isarog, St. Palar Village, Makati City</t>
  </si>
  <si>
    <t>Cacadiran, Cabugao, Ilocos Sur</t>
  </si>
  <si>
    <t>BSHRAd</t>
  </si>
  <si>
    <t>01-2491241-4</t>
  </si>
  <si>
    <t>*915240463005</t>
  </si>
  <si>
    <t>0102-5824-1806</t>
  </si>
  <si>
    <t>Ghenevieve Baptista/Cousin/09261847577</t>
  </si>
  <si>
    <t>Linggayo</t>
  </si>
  <si>
    <t>Cyra</t>
  </si>
  <si>
    <t>Castro</t>
  </si>
  <si>
    <t>#7 San Diego St., Grace Park, Brgy. 88, Zone 8, District II, Caloocan City</t>
  </si>
  <si>
    <t>Calanan, Tabuk City, Kalinga</t>
  </si>
  <si>
    <t>BSHTM</t>
  </si>
  <si>
    <t>34-5370948-9</t>
  </si>
  <si>
    <t>326-119-337</t>
  </si>
  <si>
    <t>1211-5356-1424</t>
  </si>
  <si>
    <t>0202-6573-4376</t>
  </si>
  <si>
    <t>Winston Linggayo/Father/09496703124</t>
  </si>
  <si>
    <t>Nervar</t>
  </si>
  <si>
    <t>Arlene</t>
  </si>
  <si>
    <t>Inosanto</t>
  </si>
  <si>
    <t>Blk 13 Lot 7 Lopez Compound Las Piñas City</t>
  </si>
  <si>
    <t>Magugba, Libacao Aklan</t>
  </si>
  <si>
    <t>BSHRT</t>
  </si>
  <si>
    <t>34-5134307-0</t>
  </si>
  <si>
    <t>326-118-299</t>
  </si>
  <si>
    <t>1211-5357-7332</t>
  </si>
  <si>
    <t>0102-5778-0606</t>
  </si>
  <si>
    <t>Felicitas Nala/Auntie/09078843482</t>
  </si>
  <si>
    <t>Quitel</t>
  </si>
  <si>
    <t>Interior 91 Mendiola Otis, Paco Manila</t>
  </si>
  <si>
    <t>Electronic Tech/2 year Grad</t>
  </si>
  <si>
    <t>09-2355288-4</t>
  </si>
  <si>
    <t>942-523-849</t>
  </si>
  <si>
    <t>1210-8233-6124</t>
  </si>
  <si>
    <t>16-050230478-7</t>
  </si>
  <si>
    <t>Mary Ann Gonzales-</t>
  </si>
  <si>
    <t>Albay</t>
  </si>
  <si>
    <t>Gaerlan</t>
  </si>
  <si>
    <t>#29 Firemens Row, Sun Valley Naia , Pasay City</t>
  </si>
  <si>
    <t>34-5358563-2</t>
  </si>
  <si>
    <t>326-123-391</t>
  </si>
  <si>
    <t>*915284367899</t>
  </si>
  <si>
    <t>01-025834845-7</t>
  </si>
  <si>
    <t>MARIA VERINICA ALBAY 29 Firemen's row, Sun valley NAIA,Pasay City/09057701813</t>
  </si>
  <si>
    <t>Dasco</t>
  </si>
  <si>
    <t>Abelgas</t>
  </si>
  <si>
    <t>E. Rodriguez St. Cubao, Quezon City</t>
  </si>
  <si>
    <t>Eastern Samar</t>
  </si>
  <si>
    <t>BSSHRRM/Bachelor's Grad</t>
  </si>
  <si>
    <t>34-4979400-0</t>
  </si>
  <si>
    <t>463-200-613</t>
  </si>
  <si>
    <t>1211-3842-0349</t>
  </si>
  <si>
    <t>0302-5731-7583</t>
  </si>
  <si>
    <t>Emelita Abelgas/01977604567</t>
  </si>
  <si>
    <t>Lacerna</t>
  </si>
  <si>
    <t>Jovelyn</t>
  </si>
  <si>
    <t>Llegue</t>
  </si>
  <si>
    <t>J. Alonzo St. Daanghari Navotas City</t>
  </si>
  <si>
    <t>33-6367086-0</t>
  </si>
  <si>
    <t>273-256-763</t>
  </si>
  <si>
    <t>*004099449309</t>
  </si>
  <si>
    <t>01-050981358-8</t>
  </si>
  <si>
    <t>Cristian llegue-0909-9628303</t>
  </si>
  <si>
    <t>Arañez</t>
  </si>
  <si>
    <t>Raynell</t>
  </si>
  <si>
    <t>1152-1158 Dos Castillas St., Sampaloc Manila</t>
  </si>
  <si>
    <t>34-4878988-3</t>
  </si>
  <si>
    <t>325-706-499</t>
  </si>
  <si>
    <t>1211-3315-6471</t>
  </si>
  <si>
    <t>0925-1842-0854</t>
  </si>
  <si>
    <t>Rachelle Arañez/Sister-0916-2178412</t>
  </si>
  <si>
    <t>Anenias</t>
  </si>
  <si>
    <t>Justin</t>
  </si>
  <si>
    <t>2559 Zamora St., Pasay City</t>
  </si>
  <si>
    <t>0926-9057654</t>
  </si>
  <si>
    <t>Two (2) Yr. Course -HRS</t>
  </si>
  <si>
    <t>34-4791630-1</t>
  </si>
  <si>
    <t>1211-2944-2854</t>
  </si>
  <si>
    <t>01-025684751-0</t>
  </si>
  <si>
    <t>Jessica Anenias-Mother   0927-8747042</t>
  </si>
  <si>
    <t>Cervancia</t>
  </si>
  <si>
    <t>Alili</t>
  </si>
  <si>
    <t>B3 L22, Green Town Vill. Ext. Bacoor, Cavite</t>
  </si>
  <si>
    <t>04-2917834-8</t>
  </si>
  <si>
    <t>319-996-603</t>
  </si>
  <si>
    <t>*914206150577</t>
  </si>
  <si>
    <t>09-025414287-4</t>
  </si>
  <si>
    <t>Gasang</t>
  </si>
  <si>
    <t>Jannafer</t>
  </si>
  <si>
    <t>Estabillo</t>
  </si>
  <si>
    <t>Light Residences Madison St., Corner EDSA, Madaluyong</t>
  </si>
  <si>
    <t>kidapawan City, North Cotabato</t>
  </si>
  <si>
    <t>0910-8514008</t>
  </si>
  <si>
    <t>34-5697223-9</t>
  </si>
  <si>
    <t>*916060322393</t>
  </si>
  <si>
    <t>1725-0134-2659</t>
  </si>
  <si>
    <t>Riza C. Mara-at/Cousin-0920-9788681</t>
  </si>
  <si>
    <t>Licerio</t>
  </si>
  <si>
    <t>Belliza</t>
  </si>
  <si>
    <t>10th cor. 7th St. Brgy Villamor Pasay City</t>
  </si>
  <si>
    <t>BSIHM-CLOHS</t>
  </si>
  <si>
    <t>34-4670998-8</t>
  </si>
  <si>
    <t>461-59</t>
  </si>
  <si>
    <t>1221-3424-8122</t>
  </si>
  <si>
    <t>0202-6393-7970</t>
  </si>
  <si>
    <t>Cecilia D. Belleza/Mother-0917-8301358</t>
  </si>
  <si>
    <t>Tarronas</t>
  </si>
  <si>
    <t>Franklin</t>
  </si>
  <si>
    <t>Bondal</t>
  </si>
  <si>
    <t>Blk 7 Lt 13 Acacia, Meadwood Executive Vill. Bacoor Cavite</t>
  </si>
  <si>
    <t>Asso HRM</t>
  </si>
  <si>
    <t>34-5245351-6</t>
  </si>
  <si>
    <t>326-538-078</t>
  </si>
  <si>
    <t>1211-4220-6600</t>
  </si>
  <si>
    <t>08-025976484-3</t>
  </si>
  <si>
    <t>Reycie</t>
  </si>
  <si>
    <t>Sumbillo</t>
  </si>
  <si>
    <t># 23 B Chico Rd. Potrero, Malabon City</t>
  </si>
  <si>
    <t>Lubao, San Fernando, Pampanga</t>
  </si>
  <si>
    <t>34-5124438-6</t>
  </si>
  <si>
    <t>468-176-541</t>
  </si>
  <si>
    <t>1211-4280-5808</t>
  </si>
  <si>
    <t>0202-6480-6462</t>
  </si>
  <si>
    <t>Mercy Sumbillo/Mother/09063671369</t>
  </si>
  <si>
    <t>Honrubia</t>
  </si>
  <si>
    <t>Janola</t>
  </si>
  <si>
    <t>154 M. Domingo St. Tangos Navotas City</t>
  </si>
  <si>
    <t>34-5168347-1</t>
  </si>
  <si>
    <t>500-115-869</t>
  </si>
  <si>
    <t>1211-4524-5079</t>
  </si>
  <si>
    <t>0202-6500-6877</t>
  </si>
  <si>
    <t>Monaliza Honrubia/Mother/09460850838</t>
  </si>
  <si>
    <t>Moreno</t>
  </si>
  <si>
    <t>Zairil</t>
  </si>
  <si>
    <t>Rodelas</t>
  </si>
  <si>
    <t>117 Sitio Mendez, Baesa Quezon City</t>
  </si>
  <si>
    <t>Comp. Sec. /HK Vocational MIHCA</t>
  </si>
  <si>
    <t>34-3896560-4</t>
  </si>
  <si>
    <t>326-439-005</t>
  </si>
  <si>
    <t>1211-5008-0512</t>
  </si>
  <si>
    <t>03-025814225-6</t>
  </si>
  <si>
    <t>Elizabeth B. Moreno/Mother/09354433799</t>
  </si>
  <si>
    <t>Pablio</t>
  </si>
  <si>
    <t>Renalyn</t>
  </si>
  <si>
    <t>1216 F. Pres. Quirino Ave. Malate Manila</t>
  </si>
  <si>
    <t>Sagay City, Negros Occidental</t>
  </si>
  <si>
    <t>07-3441028-3</t>
  </si>
  <si>
    <t>326-561-284</t>
  </si>
  <si>
    <t>1211-5046-2087</t>
  </si>
  <si>
    <t>1125-2352-8719</t>
  </si>
  <si>
    <t>Rosalie Portunes/Tita/09393660310</t>
  </si>
  <si>
    <t>Richmond</t>
  </si>
  <si>
    <t>2554 P. Villanueva St. Pasay City</t>
  </si>
  <si>
    <t>Comp. Progammer 2 year course</t>
  </si>
  <si>
    <t>02-3500409-1</t>
  </si>
  <si>
    <t>326-440-492</t>
  </si>
  <si>
    <t>*915296721133</t>
  </si>
  <si>
    <t>07-025623601-8</t>
  </si>
  <si>
    <t>09081430457/parent</t>
  </si>
  <si>
    <t>Espinosa</t>
  </si>
  <si>
    <t>Jasper</t>
  </si>
  <si>
    <t>Patinio</t>
  </si>
  <si>
    <t>22 Mt. Samat St., Caloocan City</t>
  </si>
  <si>
    <t>Vocational Grad NCII Housekeeping MIHCA</t>
  </si>
  <si>
    <t>34-4012106-7</t>
  </si>
  <si>
    <t>326-657-019</t>
  </si>
  <si>
    <t>*915316833179</t>
  </si>
  <si>
    <t>0225-0639-8693</t>
  </si>
  <si>
    <t>Ojie Patinio/tito-360-5139</t>
  </si>
  <si>
    <t>Remata</t>
  </si>
  <si>
    <t>Edabel</t>
  </si>
  <si>
    <t>Nicolas</t>
  </si>
  <si>
    <t>1216 F. Pres. Quirino Ave., Malate Manila</t>
  </si>
  <si>
    <t>07-3441035-1</t>
  </si>
  <si>
    <t>327-881-928</t>
  </si>
  <si>
    <t>1211-5057-1937</t>
  </si>
  <si>
    <t>1125-2340-7182</t>
  </si>
  <si>
    <t>Chenie Jean Simbahon/Auntie</t>
  </si>
  <si>
    <t>Alob</t>
  </si>
  <si>
    <t>Alvin</t>
  </si>
  <si>
    <t>2530  GP Villanueva St., Pasay City</t>
  </si>
  <si>
    <t>Carigara, Leyte</t>
  </si>
  <si>
    <t>0947-4348823</t>
  </si>
  <si>
    <t>College Grad.-Aircraft Mechanic</t>
  </si>
  <si>
    <t>34-4607278-3</t>
  </si>
  <si>
    <t>1211-2570-9840</t>
  </si>
  <si>
    <t>01-0256485627</t>
  </si>
  <si>
    <t>Allan Alob/father-0920-8645164</t>
  </si>
  <si>
    <t>Luague</t>
  </si>
  <si>
    <t>Nedy</t>
  </si>
  <si>
    <t>Librano</t>
  </si>
  <si>
    <t>2501 Zamora St. Pasay City</t>
  </si>
  <si>
    <t>Lamberto St. Miag-ao, Ilo-ilo</t>
  </si>
  <si>
    <t>09461433126/09154237296</t>
  </si>
  <si>
    <t>HRT/Associate Grad</t>
  </si>
  <si>
    <t>34-1521281-7</t>
  </si>
  <si>
    <t>405-871-928</t>
  </si>
  <si>
    <t>02-025696078-9</t>
  </si>
  <si>
    <t>Arnel Selda/09073753554</t>
  </si>
  <si>
    <t>Tungol</t>
  </si>
  <si>
    <t>Jeberson</t>
  </si>
  <si>
    <t>Abareta</t>
  </si>
  <si>
    <t>P. Villa Nueva St. Pasay City</t>
  </si>
  <si>
    <t>Matamo, Arayat Pampanga</t>
  </si>
  <si>
    <t>BS Home Economic Mgnt/Undergrad</t>
  </si>
  <si>
    <t>02-2146174-5</t>
  </si>
  <si>
    <t>228-626-984</t>
  </si>
  <si>
    <t>1060-0017-7380</t>
  </si>
  <si>
    <t>02-050773797-9</t>
  </si>
  <si>
    <t xml:space="preserve">1. Jarell Louie Puyat Tungol - 1/28/2012, 2. Herbie Lou Puyat Tungol </t>
  </si>
  <si>
    <t>362 Valencia St. Sta. Mesa Manila</t>
  </si>
  <si>
    <t>*914178934709</t>
  </si>
  <si>
    <t>0202-6251-0337</t>
  </si>
  <si>
    <t>Ramonito Piñol/Father-0935-3369764</t>
  </si>
  <si>
    <t>Gole Cruz</t>
  </si>
  <si>
    <t>Sa</t>
  </si>
  <si>
    <t>Jane</t>
  </si>
  <si>
    <t>1314 Tibagan Cay pombo, Sta. Maria, Bulacan</t>
  </si>
  <si>
    <t>0917-6622693</t>
  </si>
  <si>
    <t>34-4082298-4</t>
  </si>
  <si>
    <t>326-837-342</t>
  </si>
  <si>
    <t>*915328023665</t>
  </si>
  <si>
    <t>2102-5177-0926</t>
  </si>
  <si>
    <t>Juliet B. Gole Cruz/Mother - 0921-4975413</t>
  </si>
  <si>
    <t>Kathrina</t>
  </si>
  <si>
    <t>Guzman</t>
  </si>
  <si>
    <t>Blk 6 Lot 11 Dahlia St., Nomar subd., San Bartolome, Q.C.</t>
  </si>
  <si>
    <t>0935-5740208</t>
  </si>
  <si>
    <t>College Grad.-HRM</t>
  </si>
  <si>
    <t>34-5060447-7</t>
  </si>
  <si>
    <t>326-157-927</t>
  </si>
  <si>
    <t>*915343273891</t>
  </si>
  <si>
    <t>03-2002724226</t>
  </si>
  <si>
    <t>Rondio D. Espinosa II -8802523/0935-5740208</t>
  </si>
  <si>
    <t>Abasola</t>
  </si>
  <si>
    <t>Jhoenel</t>
  </si>
  <si>
    <t>Mago</t>
  </si>
  <si>
    <t>HR Assistant/Nurse</t>
  </si>
  <si>
    <t>16 Santan St. Payatas A. Quezon City</t>
  </si>
  <si>
    <t>Mercedes, Camarines Norte</t>
  </si>
  <si>
    <t>09238486396/09362551828</t>
  </si>
  <si>
    <t>BS Nursing</t>
  </si>
  <si>
    <t>34-2239970-7</t>
  </si>
  <si>
    <t>313-549-759-000</t>
  </si>
  <si>
    <t>1210-6940-4066</t>
  </si>
  <si>
    <t>2200-0063-1310</t>
  </si>
  <si>
    <t>Nelli Abasola/mother-0909-7177563</t>
  </si>
  <si>
    <t>Giner</t>
  </si>
  <si>
    <t>DR.</t>
  </si>
  <si>
    <t>Laborer</t>
  </si>
  <si>
    <t>594 Astorga St., Brgy. 37, Caloocan City</t>
  </si>
  <si>
    <t>0949-4721119/0916-6001617</t>
  </si>
  <si>
    <t>Sigalat</t>
  </si>
  <si>
    <t>Fredie</t>
  </si>
  <si>
    <t>Odo</t>
  </si>
  <si>
    <t>Sumakwel St., Upper Bicutan, Taguig City</t>
  </si>
  <si>
    <t>Libon, Albay</t>
  </si>
  <si>
    <t>0949-4422397</t>
  </si>
  <si>
    <t>College Grad./HRM</t>
  </si>
  <si>
    <t>34-4500580-3</t>
  </si>
  <si>
    <t>455-682-710</t>
  </si>
  <si>
    <t>*915126754588</t>
  </si>
  <si>
    <t>01-051975050-9</t>
  </si>
  <si>
    <t>Jennifer Sigalat/Sister    0919-4747678</t>
  </si>
  <si>
    <t>Lizardo</t>
  </si>
  <si>
    <t>Kirby</t>
  </si>
  <si>
    <t>Panaligan</t>
  </si>
  <si>
    <t>6903 Romera St., San Dionisio, Parañaque</t>
  </si>
  <si>
    <t>Tanauan, Batangas</t>
  </si>
  <si>
    <t>0975-2905019</t>
  </si>
  <si>
    <t>Vopcational Grad.-Grad./Housekeeping</t>
  </si>
  <si>
    <t>04-2299594-2</t>
  </si>
  <si>
    <t>261-462-802</t>
  </si>
  <si>
    <t>1211-1546-7007</t>
  </si>
  <si>
    <t>01-051659707-6</t>
  </si>
  <si>
    <t>Julian Lizardo/Father-0949-9059925</t>
  </si>
  <si>
    <t>Pablo</t>
  </si>
  <si>
    <t>Vivian</t>
  </si>
  <si>
    <t>Roca</t>
  </si>
  <si>
    <t>SMH Del Pilar St., South Signal, Taguig</t>
  </si>
  <si>
    <t>Solana, Cagayan Valley</t>
  </si>
  <si>
    <t>0975-3671535</t>
  </si>
  <si>
    <t>College Grad.- BSHRM</t>
  </si>
  <si>
    <t>34-4583058-6</t>
  </si>
  <si>
    <t>324-262-738</t>
  </si>
  <si>
    <t>1211-2201-5337</t>
  </si>
  <si>
    <t>01-025642231-5</t>
  </si>
  <si>
    <t>Edmund Pablo/</t>
  </si>
  <si>
    <t>Cabrillos</t>
  </si>
  <si>
    <t>Limuel</t>
  </si>
  <si>
    <t>Guerrero</t>
  </si>
  <si>
    <t>15352 Sta. ana 1  S.A.V. Moonwalk, Parañaque City</t>
  </si>
  <si>
    <t>0935-6504162</t>
  </si>
  <si>
    <t>College Grad.-BS Tourism Management</t>
  </si>
  <si>
    <t>34-5409195-0</t>
  </si>
  <si>
    <t>327-891-306</t>
  </si>
  <si>
    <t>1211-6132-5928</t>
  </si>
  <si>
    <t>0102-5897-1219</t>
  </si>
  <si>
    <t>Carolina Cabrillos/mother-0935-6504162</t>
  </si>
  <si>
    <t>Digman</t>
  </si>
  <si>
    <t>Lavaniego</t>
  </si>
  <si>
    <t>Chief Cook</t>
  </si>
  <si>
    <t>1017 INT 1 Mendiola Ext Otis Paco Manila</t>
  </si>
  <si>
    <t>33-1377764-5</t>
  </si>
  <si>
    <t>118-288-790</t>
  </si>
  <si>
    <t>*004016962501</t>
  </si>
  <si>
    <t>19-050637859-5</t>
  </si>
  <si>
    <t>Adelina Digman - 0946-1230950</t>
  </si>
  <si>
    <t>06 25 +AC125:AS1272016</t>
  </si>
  <si>
    <t>Desalisa</t>
  </si>
  <si>
    <t>Tiñana</t>
  </si>
  <si>
    <t xml:space="preserve">8179 Sgt. F. Yabut St., Guadalupe Nuevo, Makati City </t>
  </si>
  <si>
    <t>0912-9068841/0915-4546099</t>
  </si>
  <si>
    <t>College Grad. - BS Food Servise management</t>
  </si>
  <si>
    <t>05-1276461-4</t>
  </si>
  <si>
    <t>*1211-5593-1378</t>
  </si>
  <si>
    <t>1002-5189-9256</t>
  </si>
  <si>
    <t>Wilfredo Desalisa/Father-0912-6242857</t>
  </si>
  <si>
    <t>Bardelosa</t>
  </si>
  <si>
    <t>Eliseo</t>
  </si>
  <si>
    <t>Evangelista</t>
  </si>
  <si>
    <t>Blk 45 Lot 25 Phase 3 E-2 longos, Malabon City</t>
  </si>
  <si>
    <t>Brgy. Guinalaran, Silay City Negros Occidental</t>
  </si>
  <si>
    <t>0949-3155484</t>
  </si>
  <si>
    <t>College Grad./BSHRM</t>
  </si>
  <si>
    <t>34-3864627-9</t>
  </si>
  <si>
    <t>437-113-222</t>
  </si>
  <si>
    <t>1210-9154-9614</t>
  </si>
  <si>
    <t>22-000173292-7</t>
  </si>
  <si>
    <t>Aida Bardeloza/Mother-0949-3155484</t>
  </si>
  <si>
    <t>Tordecilla</t>
  </si>
  <si>
    <t>Mael</t>
  </si>
  <si>
    <t>Nietes</t>
  </si>
  <si>
    <t>087 @Vhonai Area 1 St., Ccupang, Antipolo City</t>
  </si>
  <si>
    <t>Sampaloc, Tanay, Rizal</t>
  </si>
  <si>
    <t>0929-2991449/0906-6317778</t>
  </si>
  <si>
    <t>College 4th year level-BSHRM</t>
  </si>
  <si>
    <t>34-5626027-1</t>
  </si>
  <si>
    <t>328-124-605</t>
  </si>
  <si>
    <t>1211-6192-26770</t>
  </si>
  <si>
    <t>0102-5895-6961</t>
  </si>
  <si>
    <t>Lovy Mae Tordecilla/Sister-0929-2991449</t>
  </si>
  <si>
    <t>Vargas</t>
  </si>
  <si>
    <t>Janice</t>
  </si>
  <si>
    <t>Lalaguna</t>
  </si>
  <si>
    <t>#9 Navy Road Zone 4, Signal Village, Taguig</t>
  </si>
  <si>
    <t>0915-6418800</t>
  </si>
  <si>
    <t>College Graduate/BSHRM</t>
  </si>
  <si>
    <t>34-5450328-6</t>
  </si>
  <si>
    <t>*916010019438</t>
  </si>
  <si>
    <t>0102-5861-3622</t>
  </si>
  <si>
    <t>Falmar L. Vargas/Sister-0917-5842878</t>
  </si>
  <si>
    <t>Granada</t>
  </si>
  <si>
    <t>Ermo</t>
  </si>
  <si>
    <t>Blk 22 Lot 49 Phase 2 EP haousing Brgy. Pinagsama, Taguig City</t>
  </si>
  <si>
    <t>0927-5007128</t>
  </si>
  <si>
    <t>College Graduate-HRM</t>
  </si>
  <si>
    <t>34-2916566-2</t>
  </si>
  <si>
    <t>328-126-510</t>
  </si>
  <si>
    <t>*916031534466</t>
  </si>
  <si>
    <t>0125-0956-0372</t>
  </si>
  <si>
    <t>Sofia Amor M.  Granada/Mother-0915-2156211</t>
  </si>
  <si>
    <t>Hodreal</t>
  </si>
  <si>
    <t>Emmanuael</t>
  </si>
  <si>
    <t>Rodriguez</t>
  </si>
  <si>
    <t>W/ Live in</t>
  </si>
  <si>
    <t>49 A Kasoy St. Verdant Acres Subdivision, Las Piñas City</t>
  </si>
  <si>
    <t>Brgy. Calios RD 1, Atdraman Vill. Sta. Rosa, Laguna</t>
  </si>
  <si>
    <t>34-0055530-1</t>
  </si>
  <si>
    <t>261-204-511</t>
  </si>
  <si>
    <t>1210-3671-3812</t>
  </si>
  <si>
    <t>0102-5392-9486</t>
  </si>
  <si>
    <t>1. Rone Brielle Hodreal 1/10/2010, 2. Isabella Victoria Sevilla 2/4/2015</t>
  </si>
  <si>
    <t>Magallones</t>
  </si>
  <si>
    <t>Wywinna</t>
  </si>
  <si>
    <t>Ramones</t>
  </si>
  <si>
    <t>Sitio Libjo Area 1. Brgy. Moonwalk, Parañaque City</t>
  </si>
  <si>
    <t>Minon, Jones, Isabela</t>
  </si>
  <si>
    <t>34-4643621-9</t>
  </si>
  <si>
    <t>328-171-715</t>
  </si>
  <si>
    <t>*914190457302</t>
  </si>
  <si>
    <t>0102-5643-3155</t>
  </si>
  <si>
    <t>Rogsiel C. Ramones/09999184061</t>
  </si>
  <si>
    <t xml:space="preserve">RESIGN </t>
  </si>
  <si>
    <t>Medina</t>
  </si>
  <si>
    <t>Rolan</t>
  </si>
  <si>
    <t>Roi</t>
  </si>
  <si>
    <t>Muzon, Naic, Cavite</t>
  </si>
  <si>
    <t>0935-3926107</t>
  </si>
  <si>
    <t>Asso./HRM</t>
  </si>
  <si>
    <t>34-4679980-4</t>
  </si>
  <si>
    <t>457-257-910</t>
  </si>
  <si>
    <t>1211-2638-1831</t>
  </si>
  <si>
    <t>0802-5809-1411</t>
  </si>
  <si>
    <t>Evelyn angeles/Auntie-0921-4607760</t>
  </si>
  <si>
    <t>resign</t>
  </si>
  <si>
    <t>Serato</t>
  </si>
  <si>
    <t>Elmard</t>
  </si>
  <si>
    <t>Mesiola</t>
  </si>
  <si>
    <t>Lot 3 Block 28 Narra St. Sto. Niño, Pasay City</t>
  </si>
  <si>
    <t>San Antonio, Sapa Pilar, Sorsogon</t>
  </si>
  <si>
    <t>0907-7949616</t>
  </si>
  <si>
    <t>2 yr. Course-AHRM</t>
  </si>
  <si>
    <t>34-4661901-0</t>
  </si>
  <si>
    <t>328-773-509</t>
  </si>
  <si>
    <t>1211-4966-3593</t>
  </si>
  <si>
    <t>Radan</t>
  </si>
  <si>
    <t>Jayson</t>
  </si>
  <si>
    <t>Blk 13 Lot 15 Villa Balderama, Nagpayong, pinagbuhatan, Pasig City</t>
  </si>
  <si>
    <t>0975-58809508</t>
  </si>
  <si>
    <t>34-3493211-0</t>
  </si>
  <si>
    <t>427-882-368</t>
  </si>
  <si>
    <t>*91284047742</t>
  </si>
  <si>
    <t>*2200-0055-7366</t>
  </si>
  <si>
    <t>Linda Ocenar/Mother-0948-8289920</t>
  </si>
  <si>
    <t>Leriza</t>
  </si>
  <si>
    <t>Herrera</t>
  </si>
  <si>
    <t>5050 Independence St., Gen T. De Leon, Valenzuela city</t>
  </si>
  <si>
    <t>San Miguel , Bulacan</t>
  </si>
  <si>
    <t>0939-5071176</t>
  </si>
  <si>
    <t>34-2732114-9</t>
  </si>
  <si>
    <t>315-477-438</t>
  </si>
  <si>
    <t>1210-2654-8011</t>
  </si>
  <si>
    <t>0305-0954-3751</t>
  </si>
  <si>
    <t>Lucena H. Santos/Mother-0939-5071176</t>
  </si>
  <si>
    <t>Ruel</t>
  </si>
  <si>
    <t>Jamil</t>
  </si>
  <si>
    <t>239 Namie St. Caloocan City</t>
  </si>
  <si>
    <t>Jonathan</t>
  </si>
  <si>
    <t>HR Dept. Head/Officer</t>
  </si>
  <si>
    <t>w/live-in</t>
  </si>
  <si>
    <t>1080-0169-4329</t>
  </si>
  <si>
    <t xml:space="preserve">Jonalyn Bordallo/Wife </t>
  </si>
  <si>
    <t>Faustino</t>
  </si>
  <si>
    <t>Jeremy</t>
  </si>
  <si>
    <t>#14B 3rd Planas Site, Brgy. Kaunlaran, Cubao, Quezon City</t>
  </si>
  <si>
    <t>Angadanan, Isabela</t>
  </si>
  <si>
    <t>0975-9384873</t>
  </si>
  <si>
    <t>Isabela State University-BSHRM</t>
  </si>
  <si>
    <t>01-2263381-8</t>
  </si>
  <si>
    <t>320-092-433</t>
  </si>
  <si>
    <t>1211-2506-5662</t>
  </si>
  <si>
    <t>01-051717810-7</t>
  </si>
  <si>
    <t>Banog</t>
  </si>
  <si>
    <t>Raphael</t>
  </si>
  <si>
    <t>Miranda</t>
  </si>
  <si>
    <t>256 Dr. Pilapil St. San Miguel Pasig City</t>
  </si>
  <si>
    <t>San Juan Batangas</t>
  </si>
  <si>
    <t>09071604313/6503034</t>
  </si>
  <si>
    <t>34-2330314-5</t>
  </si>
  <si>
    <t>400-917-581</t>
  </si>
  <si>
    <t>1210-9776-6046</t>
  </si>
  <si>
    <t>01-051204066-2</t>
  </si>
  <si>
    <t>Rhose Banog/09299594532</t>
  </si>
  <si>
    <t>Naling</t>
  </si>
  <si>
    <t>Mortel</t>
  </si>
  <si>
    <t>56 Bernie St. Pasay City</t>
  </si>
  <si>
    <t>Dahayagan, Bongngabong, Oriental Mindoro</t>
  </si>
  <si>
    <t>0905-3971681/888-0180</t>
  </si>
  <si>
    <t>Vocational Graduate/Housekeeping</t>
  </si>
  <si>
    <t>34-5750124-3</t>
  </si>
  <si>
    <t>328-132-123</t>
  </si>
  <si>
    <t>1211-6550-2305</t>
  </si>
  <si>
    <t>*010259242067</t>
  </si>
  <si>
    <t>lilibeth M. Suelto/Autie-56 Bernie St., Pasay City</t>
  </si>
  <si>
    <t>Gines</t>
  </si>
  <si>
    <t>193 C-29th avenue East Rembo, Makati City</t>
  </si>
  <si>
    <t>General tinio, Nueva Ecija</t>
  </si>
  <si>
    <t>0995-5343034</t>
  </si>
  <si>
    <t>34-5813835-6</t>
  </si>
  <si>
    <t>328-172-589</t>
  </si>
  <si>
    <t>1211-6740-5735</t>
  </si>
  <si>
    <t>2125-1966-8340</t>
  </si>
  <si>
    <t>Ditalo</t>
  </si>
  <si>
    <t>Reshel</t>
  </si>
  <si>
    <t>Bano</t>
  </si>
  <si>
    <t>4/10/1016</t>
  </si>
  <si>
    <t>#34  delta village, Tandong Sora, QC</t>
  </si>
  <si>
    <t>0935-8232396</t>
  </si>
  <si>
    <t>34-5150886-0</t>
  </si>
  <si>
    <t>328-134-885</t>
  </si>
  <si>
    <t>1211-6586-5245</t>
  </si>
  <si>
    <t>*030259248252</t>
  </si>
  <si>
    <t>Arvin</t>
  </si>
  <si>
    <t>Giray</t>
  </si>
  <si>
    <t>2/11-28/2016</t>
  </si>
  <si>
    <t>4/19-9/19/16</t>
  </si>
  <si>
    <t>SAV 2, San Isidro, Parañaque City</t>
  </si>
  <si>
    <t>Maragondon, Cavite</t>
  </si>
  <si>
    <t>092-1293228</t>
  </si>
  <si>
    <t>Office Management</t>
  </si>
  <si>
    <t>34-5644950-0</t>
  </si>
  <si>
    <t>500-825-655</t>
  </si>
  <si>
    <t>1211-6238-3091</t>
  </si>
  <si>
    <t>0102-5897-8051</t>
  </si>
  <si>
    <t>Caren</t>
  </si>
  <si>
    <t>Borile</t>
  </si>
  <si>
    <t>060 Rose St., Sulivan, Baliwag, Bulacan</t>
  </si>
  <si>
    <t>0927-6464831</t>
  </si>
  <si>
    <t>BSFood Tech.</t>
  </si>
  <si>
    <t>34-5332223-5</t>
  </si>
  <si>
    <t>328-000-571</t>
  </si>
  <si>
    <t>1211-5447-1172</t>
  </si>
  <si>
    <t>2102-5371801-8</t>
  </si>
  <si>
    <t>Zulueta</t>
  </si>
  <si>
    <t>Flordeliza</t>
  </si>
  <si>
    <t>Oyardo</t>
  </si>
  <si>
    <t>Blk 41 Balagtas Village Pamplona 1 Zapote, Las Piñas City</t>
  </si>
  <si>
    <t>0906-4813871</t>
  </si>
  <si>
    <t>HRS/Vocational Grad.</t>
  </si>
  <si>
    <t>34-5849046-3</t>
  </si>
  <si>
    <t>328-000-732</t>
  </si>
  <si>
    <t>1211-6872-7632</t>
  </si>
  <si>
    <t>01-025939737-0</t>
  </si>
  <si>
    <t>Floralde</t>
  </si>
  <si>
    <t>William</t>
  </si>
  <si>
    <t>Agapito</t>
  </si>
  <si>
    <t>63 Santos Compd. Brgy. Don Bosco, Parañaque City</t>
  </si>
  <si>
    <t>0926-3393579</t>
  </si>
  <si>
    <t>34-3487604-3</t>
  </si>
  <si>
    <t>427-602-075</t>
  </si>
  <si>
    <t>1210-9540-6516</t>
  </si>
  <si>
    <t>0302-5445-9158</t>
  </si>
  <si>
    <t>Abaratigue</t>
  </si>
  <si>
    <t>Jun</t>
  </si>
  <si>
    <t>Miguel</t>
  </si>
  <si>
    <t>alley 87 Blk 3 Lakas Tao West Bank, San Andres, Cainta</t>
  </si>
  <si>
    <t>0948-7990455</t>
  </si>
  <si>
    <t>Undergrad. BS Criminology</t>
  </si>
  <si>
    <t>34-1410561-1</t>
  </si>
  <si>
    <t>269-612-654</t>
  </si>
  <si>
    <t>1210-7088-5468</t>
  </si>
  <si>
    <t>01-051354483-4</t>
  </si>
  <si>
    <t>Zerrudo</t>
  </si>
  <si>
    <t>11/2/2015</t>
  </si>
  <si>
    <t>A-29 Chest Clinic Tramo St. Pasay City</t>
  </si>
  <si>
    <t>Binuluangan Carles, Iloilo</t>
  </si>
  <si>
    <t>34-3602709-4</t>
  </si>
  <si>
    <t>452-889-574</t>
  </si>
  <si>
    <t>1210-7761-1365</t>
  </si>
  <si>
    <t>02-050948201-3</t>
  </si>
  <si>
    <t>Danilo</t>
  </si>
  <si>
    <t>Adriano</t>
  </si>
  <si>
    <t>Maintenance Leadman</t>
  </si>
  <si>
    <t>91 JB Santon St. Wawa Navotas City</t>
  </si>
  <si>
    <t>Bo. Rizal, Kananga Leyte</t>
  </si>
  <si>
    <t>RefrigeratoR &amp; Aircon Tech./Vacational 2 years</t>
  </si>
  <si>
    <t>33-3781136-7</t>
  </si>
  <si>
    <t>174-932-165</t>
  </si>
  <si>
    <t>1040-0167-5397</t>
  </si>
  <si>
    <t>01-050138244-8</t>
  </si>
  <si>
    <t>1. Daniel - 12/29/1995, 2. Dave - 8/9/1997, 3. Danica - 5/16/1999,  4. Davon - 3/19/2001, 5. Patricia - 8/13/2003, 6. Paulene - 10/28/2005, 7. Cylie Claire - 7/10/2010</t>
  </si>
  <si>
    <t>Price</t>
  </si>
  <si>
    <t>Angel</t>
  </si>
  <si>
    <t>Conza</t>
  </si>
  <si>
    <t>Blk 2 Lot 24 John maryville Las Piñas City</t>
  </si>
  <si>
    <t>09272600763/09074077852</t>
  </si>
  <si>
    <t>Vocational/Housekeeping</t>
  </si>
  <si>
    <t>34-3033162-1</t>
  </si>
  <si>
    <t>310-672-520</t>
  </si>
  <si>
    <t>1210-9474-6308</t>
  </si>
  <si>
    <t>02-051002241-7</t>
  </si>
  <si>
    <t>Andaleon</t>
  </si>
  <si>
    <t>88 p. Santiago St., Paso De Blas, Valenzuela City</t>
  </si>
  <si>
    <t>0915-5833632</t>
  </si>
  <si>
    <t>34-5181066-8</t>
  </si>
  <si>
    <t>329-835-508</t>
  </si>
  <si>
    <t>1211-7135-5813</t>
  </si>
  <si>
    <t>02-026507157-1</t>
  </si>
  <si>
    <t>Encina</t>
  </si>
  <si>
    <t>Edquid</t>
  </si>
  <si>
    <t>45 E pices St., Tandang Sora, Quezon City</t>
  </si>
  <si>
    <t>Dampay, Candelaria, Zambales</t>
  </si>
  <si>
    <t>0998-2245841</t>
  </si>
  <si>
    <t>34-5962106-6</t>
  </si>
  <si>
    <t>329-834-832</t>
  </si>
  <si>
    <t>1211-7157-4567</t>
  </si>
  <si>
    <t>03-025966151-6</t>
  </si>
  <si>
    <t>TERMINATED</t>
  </si>
  <si>
    <t>Cotamora</t>
  </si>
  <si>
    <t>Hencil</t>
  </si>
  <si>
    <t>Bukid Area 3 Brgy. Sun Valley, Parañaque City</t>
  </si>
  <si>
    <t>San Isidro, Davao Oriental</t>
  </si>
  <si>
    <t>0917-3778055</t>
  </si>
  <si>
    <t>Voc. Grad.-HRS</t>
  </si>
  <si>
    <t>34-4979011-4</t>
  </si>
  <si>
    <t>330-382-634</t>
  </si>
  <si>
    <t>1211-7219-4054</t>
  </si>
  <si>
    <t>0102-5963-4992</t>
  </si>
  <si>
    <t>Del Rosario</t>
  </si>
  <si>
    <t>Robert</t>
  </si>
  <si>
    <t>DECEASED</t>
  </si>
  <si>
    <t>Checa</t>
  </si>
  <si>
    <t xml:space="preserve"> Kenneth</t>
  </si>
  <si>
    <t>A.</t>
  </si>
  <si>
    <t>P 11-04 5th St. Villamor Air Base, Pasay City</t>
  </si>
  <si>
    <t>34-5053941-6</t>
  </si>
  <si>
    <t>325-488-965</t>
  </si>
  <si>
    <t>1211-65297031</t>
  </si>
  <si>
    <t>01-2515032795</t>
  </si>
  <si>
    <t>Besante</t>
  </si>
  <si>
    <t>Mary</t>
  </si>
  <si>
    <t>Tumlos</t>
  </si>
  <si>
    <t>s</t>
  </si>
  <si>
    <t>38 Cherry Blossom St. Las Piñas City</t>
  </si>
  <si>
    <t>Pontexedra, Capiz</t>
  </si>
  <si>
    <t>34-4720869-5</t>
  </si>
  <si>
    <t>331-074-462</t>
  </si>
  <si>
    <t>1211-6930-4481</t>
  </si>
  <si>
    <t>01-025942210-3</t>
  </si>
  <si>
    <t>Solis</t>
  </si>
  <si>
    <t>Jessica</t>
  </si>
  <si>
    <t>Hipolito</t>
  </si>
  <si>
    <t>Lower Bragy.SAV-I Parañaque City</t>
  </si>
  <si>
    <t>34-5960324-6</t>
  </si>
  <si>
    <t>331-102-356</t>
  </si>
  <si>
    <t>1211-7192-2595</t>
  </si>
  <si>
    <t>1025-2196-0709</t>
  </si>
  <si>
    <t>De Pablo</t>
  </si>
  <si>
    <t>Rol</t>
  </si>
  <si>
    <t>Amorte</t>
  </si>
  <si>
    <t>Gen. Capinpin St., Evangelista Makati City</t>
  </si>
  <si>
    <t>Zone 3 Calumpang Molo Ilo-ilo City/G. Marcelo St. Maysan, Valenzuela City</t>
  </si>
  <si>
    <t>07-2130058-4</t>
  </si>
  <si>
    <t>925-248-687</t>
  </si>
  <si>
    <t>1210-4510-0647</t>
  </si>
  <si>
    <t>11-050179181-4</t>
  </si>
  <si>
    <t>Eunysse Reign De Pablo</t>
  </si>
  <si>
    <t>Dalida</t>
  </si>
  <si>
    <t>Abby</t>
  </si>
  <si>
    <t>Agullo</t>
  </si>
  <si>
    <t>B-3 L-3 Agape Homes Saniware St. Camarin Caloocan City</t>
  </si>
  <si>
    <t>Biñan Laguna</t>
  </si>
  <si>
    <t>34-4416919-3</t>
  </si>
  <si>
    <t>474-963-602</t>
  </si>
  <si>
    <t>1211-5295-1204</t>
  </si>
  <si>
    <t>0225-0674-4559</t>
  </si>
  <si>
    <t>Sapungan</t>
  </si>
  <si>
    <t>Gloribeth</t>
  </si>
  <si>
    <t>Godino</t>
  </si>
  <si>
    <t>J. Estrada II Brgy. BF, Sucat Parañaque City</t>
  </si>
  <si>
    <t>San Julian, Eastern Samar</t>
  </si>
  <si>
    <t>BSTourism Mngt./Grad</t>
  </si>
  <si>
    <t>34-4552101-5</t>
  </si>
  <si>
    <t>452-682-449-000</t>
  </si>
  <si>
    <t>1211-1891-7715</t>
  </si>
  <si>
    <t>0202-6230-8996</t>
  </si>
  <si>
    <t>Dela Fuente</t>
  </si>
  <si>
    <t>Almino</t>
  </si>
  <si>
    <t>571 C Ventanilla St. Pasay City</t>
  </si>
  <si>
    <t>Baybay, Malinao, Albay</t>
  </si>
  <si>
    <t>34-3671909-8</t>
  </si>
  <si>
    <t>449-137-830</t>
  </si>
  <si>
    <t>1211-0043-0899</t>
  </si>
  <si>
    <t>0105-1663-5679</t>
  </si>
  <si>
    <t>Columbino</t>
  </si>
  <si>
    <t>Jhudea</t>
  </si>
  <si>
    <t>Baldo</t>
  </si>
  <si>
    <t>Makabuhay St. NBP Res. Muntinlupa City</t>
  </si>
  <si>
    <t>Maturanoc Guimba Nueva Ecija</t>
  </si>
  <si>
    <t>BS TM</t>
  </si>
  <si>
    <t>34-5670382-2</t>
  </si>
  <si>
    <t>332-409-874</t>
  </si>
  <si>
    <t>121178760637</t>
  </si>
  <si>
    <t>01-025997442-4</t>
  </si>
  <si>
    <t>Catapang</t>
  </si>
  <si>
    <t>Codizal</t>
  </si>
  <si>
    <t>1100416332</t>
  </si>
  <si>
    <t>Brgy. Dilao Balayan, Batangas</t>
  </si>
  <si>
    <t>Brgy. Dilao Balayan Batangas</t>
  </si>
  <si>
    <t>BSHM HRA</t>
  </si>
  <si>
    <t>34-6240459-7</t>
  </si>
  <si>
    <t>492-355-993</t>
  </si>
  <si>
    <t>1211-8313-5459</t>
  </si>
  <si>
    <t>09-025527244-5</t>
  </si>
  <si>
    <t>Elacion</t>
  </si>
  <si>
    <t>Jonel</t>
  </si>
  <si>
    <t>Ogsimer</t>
  </si>
  <si>
    <t>B18 Lot16 GPL 2 Malgasang II B, Imus Cavite</t>
  </si>
  <si>
    <t>34-4919765-2</t>
  </si>
  <si>
    <t>333-912-868</t>
  </si>
  <si>
    <t>1211-3602-7958</t>
  </si>
  <si>
    <t>Luminario</t>
  </si>
  <si>
    <t>Joy</t>
  </si>
  <si>
    <t>Nota</t>
  </si>
  <si>
    <t>Sitio Ruby, Fairview Quezon City</t>
  </si>
  <si>
    <t>Sitio Junction Tagbac Brgy. San Jose Antipolo City</t>
  </si>
  <si>
    <t xml:space="preserve"> BS Tourism</t>
  </si>
  <si>
    <t>34-6281071-2</t>
  </si>
  <si>
    <t>332-413-225</t>
  </si>
  <si>
    <t>1211-7508-9412</t>
  </si>
  <si>
    <t>0102-5979-4418</t>
  </si>
  <si>
    <t>Endo</t>
  </si>
  <si>
    <t>Zosimo</t>
  </si>
  <si>
    <t>95 Doña Juana Subd. Dampalit, Malabon city</t>
  </si>
  <si>
    <t>0942-3592979</t>
  </si>
  <si>
    <t>College Undergarduate-HRM</t>
  </si>
  <si>
    <t>34-4193931-3</t>
  </si>
  <si>
    <t>328-772-495</t>
  </si>
  <si>
    <t>1211-0429-8959</t>
  </si>
  <si>
    <t>0202-66495170</t>
  </si>
  <si>
    <t>Camama</t>
  </si>
  <si>
    <t>Valle</t>
  </si>
  <si>
    <t>Blk 2 Lot 18 Sunnydale Classic Homes Alapan 1-A Imus Cavite</t>
  </si>
  <si>
    <t>ISHRM</t>
  </si>
  <si>
    <t>34-3381994-6</t>
  </si>
  <si>
    <t>318-296-384</t>
  </si>
  <si>
    <t>1210-50359874</t>
  </si>
  <si>
    <t>0802-54909592</t>
  </si>
  <si>
    <t>Alirson</t>
  </si>
  <si>
    <t>Abulencia</t>
  </si>
  <si>
    <t>18 s. Lopez St. Balunago, Calumpit Bulacan</t>
  </si>
  <si>
    <t>34-6076784-1</t>
  </si>
  <si>
    <t>330-176-269</t>
  </si>
  <si>
    <t>1211-76014-389</t>
  </si>
  <si>
    <t>2102-5398-8589</t>
  </si>
  <si>
    <t>Dapitan</t>
  </si>
  <si>
    <t>Arturo</t>
  </si>
  <si>
    <t>Proj. EMP.</t>
  </si>
  <si>
    <t>1180 c. Namie st. Caloocan City</t>
  </si>
  <si>
    <t>High School Graduate</t>
  </si>
  <si>
    <t>Aballar</t>
  </si>
  <si>
    <t>Chanda</t>
  </si>
  <si>
    <t>Quilaquil</t>
  </si>
  <si>
    <t>47 Crispin St. Rizal Village, Alabang Muntinlupa City</t>
  </si>
  <si>
    <t>Jaro, Leyte</t>
  </si>
  <si>
    <t>34-4748100-1</t>
  </si>
  <si>
    <t>328-171-418</t>
  </si>
  <si>
    <t>1211-2694-0729</t>
  </si>
  <si>
    <t>0102-5670-6623</t>
  </si>
  <si>
    <t>Palacio</t>
  </si>
  <si>
    <t>Rhea</t>
  </si>
  <si>
    <t>Sisnorio</t>
  </si>
  <si>
    <t>2549 Brgy.96 Zone11 Zamora St. Pasay City</t>
  </si>
  <si>
    <t>138 Brgy. Itipodromo Jalandoni St, Iloilo City</t>
  </si>
  <si>
    <t>07-2978316-1</t>
  </si>
  <si>
    <t>453-355-480</t>
  </si>
  <si>
    <t>1211-2019-8689</t>
  </si>
  <si>
    <t>11-050662366-9</t>
  </si>
  <si>
    <t>Tumandao</t>
  </si>
  <si>
    <t>Elroberto</t>
  </si>
  <si>
    <t>Katangkatang</t>
  </si>
  <si>
    <t>Service Area</t>
  </si>
  <si>
    <t>1020117352</t>
  </si>
  <si>
    <t>1313 Int. 30, Ana St. Malate Manila</t>
  </si>
  <si>
    <t>TACLOBAN, LEYTE</t>
  </si>
  <si>
    <t>BIT - MAJOR IN FOOD TECHNOLOGY</t>
  </si>
  <si>
    <t>33-8183423-5</t>
  </si>
  <si>
    <t>272-774-795</t>
  </si>
  <si>
    <t>1211-1420-8481</t>
  </si>
  <si>
    <t>03-050412378-9</t>
  </si>
  <si>
    <t>MARIA STELLA T. TUMANDAO - 02/22/1987</t>
  </si>
  <si>
    <t>Montano</t>
  </si>
  <si>
    <t>Jennalyn</t>
  </si>
  <si>
    <t>Yape</t>
  </si>
  <si>
    <t>07 Salang St. Western Bicutan Taguig City</t>
  </si>
  <si>
    <t>none</t>
  </si>
  <si>
    <t>BS.HRM</t>
  </si>
  <si>
    <t>34-4533169-0</t>
  </si>
  <si>
    <t>285-409-741</t>
  </si>
  <si>
    <t>1211-2516-6374</t>
  </si>
  <si>
    <t>01-051891654-3</t>
  </si>
  <si>
    <t>Rojero</t>
  </si>
  <si>
    <t>Rhoel</t>
  </si>
  <si>
    <t>Alonzo</t>
  </si>
  <si>
    <t>Unit #15 ACS Townhomes Balite St. D. Fajardo, Las Piñas City</t>
  </si>
  <si>
    <t>09159844135/09081461616/09223305668</t>
  </si>
  <si>
    <t>Mech. Engr./Graduate</t>
  </si>
  <si>
    <t>De Luna</t>
  </si>
  <si>
    <t>Darwin</t>
  </si>
  <si>
    <t>Lumibao</t>
  </si>
  <si>
    <t>B 16 L3 CAMELLA SPRINGVILLE EXEC.1 BACOOR CAVITE</t>
  </si>
  <si>
    <t>34-5958513-1</t>
  </si>
  <si>
    <t>288-364-346</t>
  </si>
  <si>
    <t>1211-7160-4204</t>
  </si>
  <si>
    <t>08-026118472-2</t>
  </si>
  <si>
    <t>Jeco</t>
  </si>
  <si>
    <t>Arriola</t>
  </si>
  <si>
    <t>#37 KAUNLARAN ST. MUZON MALABON CITY</t>
  </si>
  <si>
    <t>HRS</t>
  </si>
  <si>
    <t>34-2273894-4</t>
  </si>
  <si>
    <t>401-538-057</t>
  </si>
  <si>
    <t>1210-7810-4239</t>
  </si>
  <si>
    <t>11-050482900-6</t>
  </si>
  <si>
    <t>Lanuza</t>
  </si>
  <si>
    <t>0864 CAY POMBO STA.MARIA BULACAN</t>
  </si>
  <si>
    <t>SRV / VOCATIONAL</t>
  </si>
  <si>
    <t>34-3041504-2</t>
  </si>
  <si>
    <t>418-702-982</t>
  </si>
  <si>
    <t>9162-7301-5732</t>
  </si>
  <si>
    <t>2105-0119-5558</t>
  </si>
  <si>
    <t>June</t>
  </si>
  <si>
    <t>Bautistalla</t>
  </si>
  <si>
    <t>1100416334</t>
  </si>
  <si>
    <t>0087 Ilocos Sur St.  Bagong Bantay Quezon City</t>
  </si>
  <si>
    <t>Brgy. Santiago Palompon Leyte</t>
  </si>
  <si>
    <t>34-4590348-4</t>
  </si>
  <si>
    <t>322-365-703</t>
  </si>
  <si>
    <t>121128532829</t>
  </si>
  <si>
    <t>03-025669370-0</t>
  </si>
  <si>
    <t>Gumatay</t>
  </si>
  <si>
    <t>Nesty</t>
  </si>
  <si>
    <t>Laderas</t>
  </si>
  <si>
    <t>083 Bernardo St. M-Sapa, Sta. Maria Bulacan</t>
  </si>
  <si>
    <t>09057009053</t>
  </si>
  <si>
    <t>BSCS</t>
  </si>
  <si>
    <t>34-2717384-7</t>
  </si>
  <si>
    <t>316-961-996</t>
  </si>
  <si>
    <t>1211-1205-6947</t>
  </si>
  <si>
    <t>2102-5205-5872</t>
  </si>
  <si>
    <t>Mandapat</t>
  </si>
  <si>
    <t>Matthew</t>
  </si>
  <si>
    <t>Escabarte</t>
  </si>
  <si>
    <t>BLK 1 LOT 32 VERAVILLE TOWNHOMES BELCREST PAMPLONA 3 LAS PIÑAS CITY</t>
  </si>
  <si>
    <t>BS FISHERIE</t>
  </si>
  <si>
    <t>34-6454217-2</t>
  </si>
  <si>
    <t>334-186-468</t>
  </si>
  <si>
    <t>9170-0974-3755</t>
  </si>
  <si>
    <t>0102-6058-8309</t>
  </si>
  <si>
    <t>Gimoto</t>
  </si>
  <si>
    <t>Gerard</t>
  </si>
  <si>
    <t>Celiz</t>
  </si>
  <si>
    <t>32 1ST ST. LAKAS NG MAHIHIRAP CALOOCAN CITY</t>
  </si>
  <si>
    <t>ILOILO CITY</t>
  </si>
  <si>
    <t>34-1868115-7</t>
  </si>
  <si>
    <t>9161-4475-4366</t>
  </si>
  <si>
    <t>02-026717163-8</t>
  </si>
  <si>
    <t>Gabrieles</t>
  </si>
  <si>
    <t>Ginzioan</t>
  </si>
  <si>
    <t>Laguerta</t>
  </si>
  <si>
    <t>29 Linotype Fourth Estate Subd. Brgy. San Antonio, Sucat, Parañaque</t>
  </si>
  <si>
    <t>34-3944714-7</t>
  </si>
  <si>
    <t>329-286-564</t>
  </si>
  <si>
    <t>1211-7178-5372</t>
  </si>
  <si>
    <t>0102-5539-9247</t>
  </si>
  <si>
    <t>Temporada</t>
  </si>
  <si>
    <t>Joseph</t>
  </si>
  <si>
    <t>FMS</t>
  </si>
  <si>
    <t>107 Villareal St., gulod, Novaliches, QC</t>
  </si>
  <si>
    <t>0936-1051070</t>
  </si>
  <si>
    <t>34-5784763-5</t>
  </si>
  <si>
    <t>328-172-025</t>
  </si>
  <si>
    <t>1211-6658-7811</t>
  </si>
  <si>
    <t>0325-1379-2513</t>
  </si>
  <si>
    <t>Villarina</t>
  </si>
  <si>
    <t>Riegnel</t>
  </si>
  <si>
    <t>Oliva</t>
  </si>
  <si>
    <t>Blk 10 Lot 53 Kinnari Phase 1 Brgy. Lantic Carmona Cavite</t>
  </si>
  <si>
    <t>Electrical Installation Maintenance - Vocational</t>
  </si>
  <si>
    <t>34-2890043-3</t>
  </si>
  <si>
    <t>314-652-882</t>
  </si>
  <si>
    <t>1210-1148-8422</t>
  </si>
  <si>
    <t>080254114395</t>
  </si>
  <si>
    <t>Pron</t>
  </si>
  <si>
    <t>Randel</t>
  </si>
  <si>
    <t>Maomay</t>
  </si>
  <si>
    <t>11/8//2017</t>
  </si>
  <si>
    <t>Malibay Tengco, Pasay City</t>
  </si>
  <si>
    <t>05-1359769-9</t>
  </si>
  <si>
    <t>337-470-775</t>
  </si>
  <si>
    <t>1211-9129-9903</t>
  </si>
  <si>
    <t>1025-0982-4492</t>
  </si>
  <si>
    <t>Medura</t>
  </si>
  <si>
    <t>Janelyn</t>
  </si>
  <si>
    <t>Quimada</t>
  </si>
  <si>
    <t>CAIRO ST. BRGY. MOONWALK PARAÑAQUE CITY</t>
  </si>
  <si>
    <t>CASAY DALAGUETE CEBU CITY</t>
  </si>
  <si>
    <t>TOURISM MANAGEMENT / 2 YRS</t>
  </si>
  <si>
    <t>34-5957057-3</t>
  </si>
  <si>
    <t>328-372-570</t>
  </si>
  <si>
    <t>1211-7692-8221</t>
  </si>
  <si>
    <t>01-052173875-3</t>
  </si>
  <si>
    <t>Danabar</t>
  </si>
  <si>
    <t>Jassiel</t>
  </si>
  <si>
    <t>M.Tengco St. Malibay Pasay City</t>
  </si>
  <si>
    <t>05-1379245-2</t>
  </si>
  <si>
    <t>337-478-074</t>
  </si>
  <si>
    <t>1211-9852-6761</t>
  </si>
  <si>
    <t>1025-0978-9247</t>
  </si>
  <si>
    <t>Mascardo</t>
  </si>
  <si>
    <t>Carissa</t>
  </si>
  <si>
    <t>Pagkaliwangan</t>
  </si>
  <si>
    <t>376 Brgy. Santiago Gen Trias Cavite</t>
  </si>
  <si>
    <t>34-6323642-1</t>
  </si>
  <si>
    <t>335-818-279</t>
  </si>
  <si>
    <t>1211-93159459</t>
  </si>
  <si>
    <t>08-026148217-0</t>
  </si>
  <si>
    <t>Pacete</t>
  </si>
  <si>
    <t>Arman</t>
  </si>
  <si>
    <t>Ortega</t>
  </si>
  <si>
    <t>2616 C Dimasalang St. Pasay City</t>
  </si>
  <si>
    <t>34-3605348-2</t>
  </si>
  <si>
    <t>457-2425-32</t>
  </si>
  <si>
    <t>1211-2469-3669</t>
  </si>
  <si>
    <t>01-025659560-0</t>
  </si>
  <si>
    <t>Anjo</t>
  </si>
  <si>
    <t>Cotoner</t>
  </si>
  <si>
    <t>0534 Guevarra St., Cay Pombo, Sta. Maria, Bulacan</t>
  </si>
  <si>
    <t>Sat. Maria, Bulacan</t>
  </si>
  <si>
    <t>0909-8282767</t>
  </si>
  <si>
    <t>34-3397294-8</t>
  </si>
  <si>
    <t>481-362-853</t>
  </si>
  <si>
    <t>1211-5711-8567</t>
  </si>
  <si>
    <t>2102-5184-8755</t>
  </si>
  <si>
    <t>Insigne</t>
  </si>
  <si>
    <t>Joel</t>
  </si>
  <si>
    <t>Blk3 Lot 49 Pristina Expansion Brgy. Buhay na tubig Imus Cavite</t>
  </si>
  <si>
    <t>LUBANG OCC. MINDORO</t>
  </si>
  <si>
    <t>34-5269311-4</t>
  </si>
  <si>
    <t>322-554-492</t>
  </si>
  <si>
    <t>1211-4912-4929</t>
  </si>
  <si>
    <t>0102-5810-6283</t>
  </si>
  <si>
    <t>Pecajas</t>
  </si>
  <si>
    <t>Aizafred</t>
  </si>
  <si>
    <t>Rositasi</t>
  </si>
  <si>
    <t>Brgy. 183 Villamor Air base Paay City</t>
  </si>
  <si>
    <t>Brgy. Don Luis, Calubian, Leyte</t>
  </si>
  <si>
    <t>34-6763844-9</t>
  </si>
  <si>
    <t>337-953-598</t>
  </si>
  <si>
    <t>1211-9879-2429</t>
  </si>
  <si>
    <t>1302-5398-1807</t>
  </si>
  <si>
    <t>AZIAH P. TANZO / NOVEMBER 06, 2013</t>
  </si>
  <si>
    <t>Eunice</t>
  </si>
  <si>
    <t>Lineses</t>
  </si>
  <si>
    <t>B29 L9 St. Peter Lamar Village, Guitnang Bayan, San Mateo, Rizal</t>
  </si>
  <si>
    <t>0936-35660028</t>
  </si>
  <si>
    <t>34-5806700-3</t>
  </si>
  <si>
    <t>500-815-817</t>
  </si>
  <si>
    <t>1211-6669-6362</t>
  </si>
  <si>
    <t>*082513707475</t>
  </si>
  <si>
    <t>Elaine</t>
  </si>
  <si>
    <t>Caraos</t>
  </si>
  <si>
    <t>2117 F.B HARRISON ST. PASAY CITY</t>
  </si>
  <si>
    <t>ASHRM / 2YRS</t>
  </si>
  <si>
    <t>34-5173208-9</t>
  </si>
  <si>
    <t>471-217-700</t>
  </si>
  <si>
    <t>1211-4767-0321</t>
  </si>
  <si>
    <t>01-025805174-8</t>
  </si>
  <si>
    <t>Salmon</t>
  </si>
  <si>
    <t>Ga</t>
  </si>
  <si>
    <t>Linen Custodian</t>
  </si>
  <si>
    <t>203 D1 Vergel St. Pasay City</t>
  </si>
  <si>
    <t>Polangui, Albay</t>
  </si>
  <si>
    <t>33-5679100-2</t>
  </si>
  <si>
    <t>219-709-610</t>
  </si>
  <si>
    <t>1040-0164-3169</t>
  </si>
  <si>
    <t>19-050521539-0</t>
  </si>
  <si>
    <t>Miyuki Salmon - 5/22/2011 &amp; Dwayne James - 7/9/2013</t>
  </si>
  <si>
    <t>Arguelles</t>
  </si>
  <si>
    <t>Cenador</t>
  </si>
  <si>
    <t>Hilongo</t>
  </si>
  <si>
    <t>Maintenance Helper/CCTV</t>
  </si>
  <si>
    <t>141 SAN MIGUEL ST. CONDO MANDALUYONG CITY</t>
  </si>
  <si>
    <t>B-4 L-38 CHICAGO SOUTHVILLE BIÑAN LAGUNA</t>
  </si>
  <si>
    <t>9975265253/09473068735</t>
  </si>
  <si>
    <t>1 YR. COMPUTER TECHNOLOGY</t>
  </si>
  <si>
    <t>33-6785058-9</t>
  </si>
  <si>
    <t>226-711-289</t>
  </si>
  <si>
    <t>1010-0179-5632</t>
  </si>
  <si>
    <t>01-050388113-1</t>
  </si>
  <si>
    <t>Hannah Arguelles - 03/06/2006, Rain Justin Arguelles - 07/28/2008</t>
  </si>
  <si>
    <t>Costas</t>
  </si>
  <si>
    <t>Blk. 41 Lot 35 Phase 3 Central Springville, Camella, Molino 3, Bacoor</t>
  </si>
  <si>
    <t>n/a</t>
  </si>
  <si>
    <t>09-4167912-1</t>
  </si>
  <si>
    <t>337-955-620</t>
  </si>
  <si>
    <t>1212-0081-4119</t>
  </si>
  <si>
    <t>1725-1695-3379</t>
  </si>
  <si>
    <t>Nazaria</t>
  </si>
  <si>
    <t>Jaster</t>
  </si>
  <si>
    <t>Comiso</t>
  </si>
  <si>
    <t>Brgy. 28 Kbs. Comp. Kapanalig St. C3 Caloocan City</t>
  </si>
  <si>
    <t>Ligao City Albay</t>
  </si>
  <si>
    <t>34-6883826-4</t>
  </si>
  <si>
    <t>338-555-002</t>
  </si>
  <si>
    <t>1212-0327-9468</t>
  </si>
  <si>
    <t>02-026925755-6</t>
  </si>
  <si>
    <t>Tulop</t>
  </si>
  <si>
    <t>Moral</t>
  </si>
  <si>
    <t>5315 Col E De Leon St. Sto Niño, Parañaque City</t>
  </si>
  <si>
    <t>Tupi, South Cotabato</t>
  </si>
  <si>
    <t>34-3214214-8</t>
  </si>
  <si>
    <t>421-834-828</t>
  </si>
  <si>
    <t>1210-3053-6920</t>
  </si>
  <si>
    <t>Talla</t>
  </si>
  <si>
    <t>Reymark</t>
  </si>
  <si>
    <t>Din</t>
  </si>
  <si>
    <t>SMGI John St. Multinational Village Brgy. Moonwalk, Parañaque City</t>
  </si>
  <si>
    <t>Sorsogon</t>
  </si>
  <si>
    <t>09303146973/09475284823</t>
  </si>
  <si>
    <t>Highschool Grad. w/vocational cert. in F&amp;B</t>
  </si>
  <si>
    <t>3457-3178-48</t>
  </si>
  <si>
    <t>327-554-124</t>
  </si>
  <si>
    <t>1211-6505-4578</t>
  </si>
  <si>
    <t>0102-5809-6997</t>
  </si>
  <si>
    <t>Drilon</t>
  </si>
  <si>
    <t>Julie</t>
  </si>
  <si>
    <t>BLK.3 LOT 21, BARCELONA 1 BUHAY NA TUBIG IMUS CITY, CAVITE</t>
  </si>
  <si>
    <t>P.C COMPOUND BONGAO TAWI TAWI</t>
  </si>
  <si>
    <t>BS.TOURISM / 4YRS GRAD.</t>
  </si>
  <si>
    <t>06-3496101-0</t>
  </si>
  <si>
    <t>474-589-381</t>
  </si>
  <si>
    <t>1211-0967-5720</t>
  </si>
  <si>
    <t>12-051304410-6</t>
  </si>
  <si>
    <t>Pines</t>
  </si>
  <si>
    <t>Tengco St. Malibay Pasay City</t>
  </si>
  <si>
    <t>Zone 7 Paolbo Calabanga, Camarines Sur</t>
  </si>
  <si>
    <t>09485470204/09776936905</t>
  </si>
  <si>
    <t>BSHRM/4YRS GRAD.</t>
  </si>
  <si>
    <t>34-6507139-6</t>
  </si>
  <si>
    <t>339-082-415</t>
  </si>
  <si>
    <t>1211-9092-8674</t>
  </si>
  <si>
    <t>0202-6847-5665</t>
  </si>
  <si>
    <t>Caoile</t>
  </si>
  <si>
    <t>Renz</t>
  </si>
  <si>
    <t>Onrubia</t>
  </si>
  <si>
    <t>Phase 1 Blk.30 Western Bicutan, Taguig City</t>
  </si>
  <si>
    <t>NAPO,POLANGUI ALBAY</t>
  </si>
  <si>
    <t>HRS / 2YRS GRAD.</t>
  </si>
  <si>
    <t>05-1140840-5</t>
  </si>
  <si>
    <t>338-115-075</t>
  </si>
  <si>
    <t>1212-0008-8322</t>
  </si>
  <si>
    <t>0102-6128-8147</t>
  </si>
  <si>
    <t>Adoyo</t>
  </si>
  <si>
    <t>Gerald</t>
  </si>
  <si>
    <t>Aranas</t>
  </si>
  <si>
    <t>San Piro Balayan Batangas</t>
  </si>
  <si>
    <t>Batangas</t>
  </si>
  <si>
    <t>09752182767/09491459148</t>
  </si>
  <si>
    <t>bs.tourism / 4years grad.</t>
  </si>
  <si>
    <t>04-3825383-0</t>
  </si>
  <si>
    <t>704-196-081</t>
  </si>
  <si>
    <t>1212-0072-3344</t>
  </si>
  <si>
    <t>0902-5563-4525</t>
  </si>
  <si>
    <t>Remon</t>
  </si>
  <si>
    <t>Paul</t>
  </si>
  <si>
    <t>Capuz</t>
  </si>
  <si>
    <t>Herrera Ligao City</t>
  </si>
  <si>
    <t>05-1391569-5</t>
  </si>
  <si>
    <t>339-083-490</t>
  </si>
  <si>
    <t>1212-0359-9919</t>
  </si>
  <si>
    <t>1002-5292-6105</t>
  </si>
  <si>
    <t>Gardon III</t>
  </si>
  <si>
    <t>Wilfredo</t>
  </si>
  <si>
    <t>Tolosa</t>
  </si>
  <si>
    <t>B4 L10 HERNANDEZ COMP. ALMANZA 1, LAS PIÑAS CITY</t>
  </si>
  <si>
    <t>BRGY. SAWANG CARIGARA LEYTE</t>
  </si>
  <si>
    <t>2YRS GRAD.</t>
  </si>
  <si>
    <t>34-4818476-3</t>
  </si>
  <si>
    <t>322-255-331</t>
  </si>
  <si>
    <t>1211-3745-4820</t>
  </si>
  <si>
    <t>0102-5689-7453</t>
  </si>
  <si>
    <t>Balingit</t>
  </si>
  <si>
    <t>Delia</t>
  </si>
  <si>
    <t>Salaria</t>
  </si>
  <si>
    <t>Purchasing Assistant Head</t>
  </si>
  <si>
    <t>B-2 L-11 Hope St., Meywoods Lawa Meycauayan, Bulacan</t>
  </si>
  <si>
    <t>Computer Secretarial/Associate Grad.</t>
  </si>
  <si>
    <t>33-4133557-0</t>
  </si>
  <si>
    <t>906-994-230</t>
  </si>
  <si>
    <t>1040-0167-2878</t>
  </si>
  <si>
    <t>02-050228018-0</t>
  </si>
  <si>
    <t>Ishmael Eugen Balingit - 2/10/2011</t>
  </si>
  <si>
    <t>RESIGNED</t>
  </si>
  <si>
    <t>Blk 3 Lot 3 Saniware St. Agape Homes, Camarin Caloocan City</t>
  </si>
  <si>
    <t>4 years graduate / BS. HRM</t>
  </si>
  <si>
    <t>02-250674455-9</t>
  </si>
  <si>
    <t>Gardose</t>
  </si>
  <si>
    <t>Alolino</t>
  </si>
  <si>
    <t>2676 F.MUÑOZ ST. MALATE MANILA</t>
  </si>
  <si>
    <t>N/A</t>
  </si>
  <si>
    <t>2 YRS GRAD / AHRS</t>
  </si>
  <si>
    <t>34-6088712-9</t>
  </si>
  <si>
    <t>501-570-688</t>
  </si>
  <si>
    <t>1211-7584-3831</t>
  </si>
  <si>
    <t>02-026749011-3</t>
  </si>
  <si>
    <t>Llenas</t>
  </si>
  <si>
    <t>Merza</t>
  </si>
  <si>
    <t>641 Gamban River Side Pasay City</t>
  </si>
  <si>
    <t>Albay, Bicol</t>
  </si>
  <si>
    <t>HRS/Under Grad</t>
  </si>
  <si>
    <t>34-2226752-5</t>
  </si>
  <si>
    <t>296-584-505</t>
  </si>
  <si>
    <t>1210-5961-7337</t>
  </si>
  <si>
    <t>01-050992167-4</t>
  </si>
  <si>
    <t>Macabitas</t>
  </si>
  <si>
    <t>Edmund</t>
  </si>
  <si>
    <t>2492 C P.VILLANUEVA ST. PASAY CITY</t>
  </si>
  <si>
    <t>SAN MIGUEL MANDILE, BULACAN</t>
  </si>
  <si>
    <t>AHRM/2 YRS GRAD.</t>
  </si>
  <si>
    <t>34-6960266-4</t>
  </si>
  <si>
    <t>339-814-844</t>
  </si>
  <si>
    <t>1211-6072-7842</t>
  </si>
  <si>
    <t>01-026166105-0</t>
  </si>
  <si>
    <t>Isip</t>
  </si>
  <si>
    <t>Abalayan</t>
  </si>
  <si>
    <t>B-7 Lim CMPD. San Isidro, Parañaque City</t>
  </si>
  <si>
    <t>High School Under Grad</t>
  </si>
  <si>
    <t>33-8046270-5</t>
  </si>
  <si>
    <t>296-441-724</t>
  </si>
  <si>
    <t>1040-0197-9951</t>
  </si>
  <si>
    <t>02-050890891-2</t>
  </si>
  <si>
    <t>1. Marco Dyrelle - 5/9/14, 2. Mike Daniel Yu Isip - 11/2/2005, 3. Danniela Mae Y. - 4/15/2003</t>
  </si>
  <si>
    <t>Valencia</t>
  </si>
  <si>
    <t>Pio Del Pilar St. Makati City</t>
  </si>
  <si>
    <t>78 Pundicion Rd. Sta.Cruz, Angat Bulacan</t>
  </si>
  <si>
    <t>4 years graduate/ bs hrm</t>
  </si>
  <si>
    <t>34-5913062-5</t>
  </si>
  <si>
    <t>328-688-608</t>
  </si>
  <si>
    <t>1211-7958-8176</t>
  </si>
  <si>
    <t>210253824152</t>
  </si>
  <si>
    <t>Dacles</t>
  </si>
  <si>
    <t>Zyra</t>
  </si>
  <si>
    <t>Gelvezon</t>
  </si>
  <si>
    <t>#5 Onyx St. Severina Km. 18 Brgy. Marcelo Green Parañaque City</t>
  </si>
  <si>
    <t>34-1466424-6</t>
  </si>
  <si>
    <t>278-799-273</t>
  </si>
  <si>
    <t>1211-7947-2745</t>
  </si>
  <si>
    <t>01-050981356-1</t>
  </si>
  <si>
    <t>Louie Zander Gelvezon Dacles - 8/30/2011</t>
  </si>
  <si>
    <t>De La Rosa</t>
  </si>
  <si>
    <t>La</t>
  </si>
  <si>
    <t>Cericos</t>
  </si>
  <si>
    <t>Blk. 5 Lot 24 Amethyst St. Meycauayan Bulacan</t>
  </si>
  <si>
    <t>Tambo, Buhi, Camarines Sur</t>
  </si>
  <si>
    <t>2 yrs grad. / hrs</t>
  </si>
  <si>
    <t>34-4593328-9</t>
  </si>
  <si>
    <t>339-912-102</t>
  </si>
  <si>
    <t>1211-2159-6564</t>
  </si>
  <si>
    <t>08-025790865-1</t>
  </si>
  <si>
    <t>02/1518</t>
  </si>
  <si>
    <t>Divina</t>
  </si>
  <si>
    <t>Dave</t>
  </si>
  <si>
    <t>Domanico</t>
  </si>
  <si>
    <t>B1 L41 GREENVALE HOMES, MALAGASANG II-G IMUS, CAVITE</t>
  </si>
  <si>
    <t>HRM / 2 YRS</t>
  </si>
  <si>
    <t>04-3932748-0</t>
  </si>
  <si>
    <t>340-251-797</t>
  </si>
  <si>
    <t>1212-0804-4239</t>
  </si>
  <si>
    <t>10-252172971-3</t>
  </si>
  <si>
    <t>Bino</t>
  </si>
  <si>
    <t>Maintenance Technician</t>
  </si>
  <si>
    <t>08 ROSAL ST. TOMASA SUBD. BRGY. USUSAN, TAGUIG CITY</t>
  </si>
  <si>
    <t>REFRIGERATION AND AIRCON MECHANIC/ 1YR AND 3MOS.</t>
  </si>
  <si>
    <t>34-3656641-6</t>
  </si>
  <si>
    <t>208-042-936</t>
  </si>
  <si>
    <t>1211-6340-4502</t>
  </si>
  <si>
    <t>01-250401556-2</t>
  </si>
  <si>
    <t>Ritchie</t>
  </si>
  <si>
    <t>Sultan</t>
  </si>
  <si>
    <t>FDA/ Doorman</t>
  </si>
  <si>
    <t xml:space="preserve">#1760 Ipil-Ipil St., Zone 1 Signal Village Taguig City Metro Manila City </t>
  </si>
  <si>
    <t>Negros Occidental</t>
  </si>
  <si>
    <t>07-2302982-1</t>
  </si>
  <si>
    <t>949-306-715</t>
  </si>
  <si>
    <t>11-050322346-5</t>
  </si>
  <si>
    <t>1. Amalia Sultan Valdez, 2. Irish Mae Sultan Valdez</t>
  </si>
  <si>
    <t>Dioneda</t>
  </si>
  <si>
    <t>Uy</t>
  </si>
  <si>
    <t>242 SAINT JOAN ST. MARICABAN PASAY CITY</t>
  </si>
  <si>
    <t>34-5069590-7</t>
  </si>
  <si>
    <t>322-135-076</t>
  </si>
  <si>
    <t>1211-4571-6467</t>
  </si>
  <si>
    <t>0102-5790-2809</t>
  </si>
  <si>
    <t>Patrick</t>
  </si>
  <si>
    <t>Gomez</t>
  </si>
  <si>
    <t>D-14-10 Tropical Village, San Francisco, Gen.Trias Cavite</t>
  </si>
  <si>
    <t>2 Yrs. Grad. / BS HRM</t>
  </si>
  <si>
    <t>34-6858198-0</t>
  </si>
  <si>
    <t>341-164-818</t>
  </si>
  <si>
    <t>1212-0325-3935</t>
  </si>
  <si>
    <t>08-250525294-9</t>
  </si>
  <si>
    <t>Samson</t>
  </si>
  <si>
    <t>Lyra</t>
  </si>
  <si>
    <t>Manio</t>
  </si>
  <si>
    <t>639 Callejon G. Gen. Lukban St. Tondo, Manila</t>
  </si>
  <si>
    <t>BS Travel Management</t>
  </si>
  <si>
    <t>34-2779467-9</t>
  </si>
  <si>
    <t>309-985-291</t>
  </si>
  <si>
    <t>1210-8343-4072</t>
  </si>
  <si>
    <t>02-050965016-1</t>
  </si>
  <si>
    <t>Sarabia</t>
  </si>
  <si>
    <t>Caspillo</t>
  </si>
  <si>
    <t>6409 Camia St. Guadalupe Viejo, Makati City</t>
  </si>
  <si>
    <t>Fatima, Tobias Fornier, Antique</t>
  </si>
  <si>
    <t>09486386410/09174937647</t>
  </si>
  <si>
    <t>BS. IT ( 4YRS GRAD.)</t>
  </si>
  <si>
    <t>34-4817871-1</t>
  </si>
  <si>
    <t>459-870-288</t>
  </si>
  <si>
    <t>1211-3064-3643</t>
  </si>
  <si>
    <t>02-051111113-8</t>
  </si>
  <si>
    <t>Ferrer</t>
  </si>
  <si>
    <t>Umali</t>
  </si>
  <si>
    <t>052 Hinukay Baliuag Bulacan</t>
  </si>
  <si>
    <t>2 yrs. Grad. / HRS</t>
  </si>
  <si>
    <t>34-2535578-0</t>
  </si>
  <si>
    <t>412-523-619</t>
  </si>
  <si>
    <t>1210-9618-4858</t>
  </si>
  <si>
    <t>02-050804015-7</t>
  </si>
  <si>
    <t>Sophia Elyse Ferrer / daughter - 12/11/10</t>
  </si>
  <si>
    <t>Pintoy</t>
  </si>
  <si>
    <t>Monta</t>
  </si>
  <si>
    <t># 15 Onyx St. Severina 18 Diamond Subd. Parañaque City</t>
  </si>
  <si>
    <t>Agusan Del Sur</t>
  </si>
  <si>
    <t>09959673045</t>
  </si>
  <si>
    <t>2 yrs. Grad. / BS. IT</t>
  </si>
  <si>
    <t>34-4946450-5</t>
  </si>
  <si>
    <t>463-029-805</t>
  </si>
  <si>
    <t>1211-6065-0880</t>
  </si>
  <si>
    <t>01-025885907-9</t>
  </si>
  <si>
    <t>Edpalin</t>
  </si>
  <si>
    <t>Marzal</t>
  </si>
  <si>
    <t>113 Vergel, Pasay City</t>
  </si>
  <si>
    <t>Lauis Candelaria Zambales</t>
  </si>
  <si>
    <t>BS HRM/ Graduate</t>
  </si>
  <si>
    <t>02-33196529</t>
  </si>
  <si>
    <t>470-210-231</t>
  </si>
  <si>
    <t>1210-5506-7841</t>
  </si>
  <si>
    <t>9151-5315-5520</t>
  </si>
  <si>
    <t>Llaguno</t>
  </si>
  <si>
    <t>Benedict</t>
  </si>
  <si>
    <t>Dusaban</t>
  </si>
  <si>
    <t>HAMPTON GARDENS CONDOMINIUM PASIG CITY</t>
  </si>
  <si>
    <t>MACARANG,MANGATAREM PANGASINAN</t>
  </si>
  <si>
    <t>099971316881/09954395439</t>
  </si>
  <si>
    <t>3YRS UNDERGRAD./BS.MT</t>
  </si>
  <si>
    <t>02-4281299-1</t>
  </si>
  <si>
    <t>709-264-291</t>
  </si>
  <si>
    <t>1212-1108-8155</t>
  </si>
  <si>
    <t>0502-5652-0890</t>
  </si>
  <si>
    <t>Dieni Rose Galura / Friend - 095554395439</t>
  </si>
  <si>
    <t>Philip</t>
  </si>
  <si>
    <t>21 Parkline Ext. GSIS Vill. Proj. 8 Quezon City</t>
  </si>
  <si>
    <t>Electronics Communication Engr./Under Grad</t>
  </si>
  <si>
    <t>33-1995709-0</t>
  </si>
  <si>
    <t>172-369-810</t>
  </si>
  <si>
    <t>1040-0166-8256</t>
  </si>
  <si>
    <t>19-050521486-6</t>
  </si>
  <si>
    <t>1. Patrizia Nichole Carpio - 07/19/2003, 2. Samantha Beatriz C. - 05/24/2009</t>
  </si>
  <si>
    <t>Yanguas</t>
  </si>
  <si>
    <t>Clarieffy</t>
  </si>
  <si>
    <t>Isles</t>
  </si>
  <si>
    <t>510 Gen. Lacuña St., Bangkal Makati City</t>
  </si>
  <si>
    <t>Comp. Secretarial/Associate Grad</t>
  </si>
  <si>
    <t>33-8557702-2</t>
  </si>
  <si>
    <t>234-347-471</t>
  </si>
  <si>
    <t>1040-0165-3394</t>
  </si>
  <si>
    <t>01-050612970-8</t>
  </si>
  <si>
    <t>1.Chrissie Ann Darlyne Isles -06/13/2003, 2.Cedrick James Isles - 01/14/2008, 3. Celine Antonia I. Yanguas - 03/26/2012 4.</t>
  </si>
  <si>
    <t>Nicoleta</t>
  </si>
  <si>
    <t>Maricris</t>
  </si>
  <si>
    <t>Caballero</t>
  </si>
  <si>
    <t>187 Osmeña St., Aniban 1, Bacoor Cavite</t>
  </si>
  <si>
    <t>Sipocot, Camarines Norte</t>
  </si>
  <si>
    <t>34-1287139-0</t>
  </si>
  <si>
    <t>295-890-236</t>
  </si>
  <si>
    <t>1210-9189-3361</t>
  </si>
  <si>
    <t>01-050949559-4</t>
  </si>
  <si>
    <t>Tabora</t>
  </si>
  <si>
    <t>Ma</t>
  </si>
  <si>
    <t>Abadilla</t>
  </si>
  <si>
    <t>330 Edang St. Brgy. 150 Pasay City</t>
  </si>
  <si>
    <t>Catanauan Quezon</t>
  </si>
  <si>
    <t>34-1198250-7</t>
  </si>
  <si>
    <t>228-029-368</t>
  </si>
  <si>
    <t>1211-7959-1675</t>
  </si>
  <si>
    <t>01-050981355-3</t>
  </si>
  <si>
    <t>Shamcey Wynne A. Tabora - 8/27/2011, 2. Heaven Grace A. Tabora</t>
  </si>
  <si>
    <t>Corpuz</t>
  </si>
  <si>
    <t>Oliver</t>
  </si>
  <si>
    <t>og</t>
  </si>
  <si>
    <t>206 INT. Gonzales St. Caloocan City</t>
  </si>
  <si>
    <t>33-7327665-2</t>
  </si>
  <si>
    <t>217-659-275</t>
  </si>
  <si>
    <t>1040-0197-9828</t>
  </si>
  <si>
    <t>19-089288907-8</t>
  </si>
  <si>
    <t>Kyle Gino Corpuz</t>
  </si>
  <si>
    <t>Alarma</t>
  </si>
  <si>
    <t>Aldrine</t>
  </si>
  <si>
    <t>Dixon</t>
  </si>
  <si>
    <t>W/ live in</t>
  </si>
  <si>
    <t>509 INT. 19 D. Aquino St. Caloocan City</t>
  </si>
  <si>
    <t>33-9510328-2</t>
  </si>
  <si>
    <t>236-504-013</t>
  </si>
  <si>
    <t>1040-0199-3528</t>
  </si>
  <si>
    <t>01-050611983-4</t>
  </si>
  <si>
    <t>1. Dane Austin A. Alarma 2. Akzel Darquis A. Alarma</t>
  </si>
  <si>
    <t>Loyola</t>
  </si>
  <si>
    <t>Bregandale</t>
  </si>
  <si>
    <t>Tejidor</t>
  </si>
  <si>
    <t>B2 Lot 8 A. Fe D Castro Compound Canlalay, Biñan Laguna</t>
  </si>
  <si>
    <t>04-1631386-0</t>
  </si>
  <si>
    <t>240-461-756</t>
  </si>
  <si>
    <t>1211-8094-7514</t>
  </si>
  <si>
    <t>01-050638938-6</t>
  </si>
  <si>
    <t>Blanco</t>
  </si>
  <si>
    <t>Montemayor</t>
  </si>
  <si>
    <t>1044-C Lapu-Lapu St. Baclaran Parañaque City</t>
  </si>
  <si>
    <t>Bukidnon</t>
  </si>
  <si>
    <t>2 yrs grad./HRS</t>
  </si>
  <si>
    <t>34-7011682-2</t>
  </si>
  <si>
    <t>341-895-763</t>
  </si>
  <si>
    <t>1212-1187-2772</t>
  </si>
  <si>
    <t>152028042641</t>
  </si>
  <si>
    <t>Erna Montemayor / Cousin - 09164582561</t>
  </si>
  <si>
    <t>Natata</t>
  </si>
  <si>
    <t>Raquel</t>
  </si>
  <si>
    <t>B5 L5 Villa Antonina San Nicolas II Bacoor Cavite</t>
  </si>
  <si>
    <t>Naujan, Oriental Mindoro</t>
  </si>
  <si>
    <t>34-1254052-4</t>
  </si>
  <si>
    <t>263-862-039</t>
  </si>
  <si>
    <t>1210-9467-5417</t>
  </si>
  <si>
    <t>08-025488552-9</t>
  </si>
  <si>
    <t>Baladjay</t>
  </si>
  <si>
    <t>Tijulan</t>
  </si>
  <si>
    <t>Lot 10A 7H San Antonio Valey 2 Sucat Parañaque City</t>
  </si>
  <si>
    <t>Oriental Mindoro</t>
  </si>
  <si>
    <t>4 yrs grad./bs hrm</t>
  </si>
  <si>
    <t>04-2579520-4</t>
  </si>
  <si>
    <t>324-867-612</t>
  </si>
  <si>
    <t>1211-6081-2892</t>
  </si>
  <si>
    <t>01-025880300-6</t>
  </si>
  <si>
    <t>Eva Fernandez / Aunt - 09420181717</t>
  </si>
  <si>
    <t>Yanto</t>
  </si>
  <si>
    <t>Bryan</t>
  </si>
  <si>
    <t>Toyado</t>
  </si>
  <si>
    <t>Pest Control</t>
  </si>
  <si>
    <t>Single w/Live-in</t>
  </si>
  <si>
    <t>619 Protacio corner Recto Pasay City</t>
  </si>
  <si>
    <t>Mercedes Camarines Norte</t>
  </si>
  <si>
    <t>2 years Undergrad / Electrical Engineering</t>
  </si>
  <si>
    <t>04-1886782-2</t>
  </si>
  <si>
    <t>307-766-546</t>
  </si>
  <si>
    <t>1211-3767-2198</t>
  </si>
  <si>
    <t>01-050721799-6</t>
  </si>
  <si>
    <t xml:space="preserve">Cheryll Villafuerte / Girlfriend - </t>
  </si>
  <si>
    <t>Tumaliuan</t>
  </si>
  <si>
    <t>Rubiano</t>
  </si>
  <si>
    <t>1719 F.T Benitez St. Malate Manila</t>
  </si>
  <si>
    <t>Salvacion Carmen Davao del norte</t>
  </si>
  <si>
    <t>Bs Accountancy</t>
  </si>
  <si>
    <t>09-3054614-2</t>
  </si>
  <si>
    <t>284-629-532</t>
  </si>
  <si>
    <t>1210-2145-6983</t>
  </si>
  <si>
    <t>16-050363864-6</t>
  </si>
  <si>
    <t>Brito</t>
  </si>
  <si>
    <t>Aguirre</t>
  </si>
  <si>
    <t>403 Virginia St. Pasay City</t>
  </si>
  <si>
    <t>Pawa Tabacco Albay</t>
  </si>
  <si>
    <t>09077055869/09265450621</t>
  </si>
  <si>
    <t>Bs.Tourism/2yrs.Grad.</t>
  </si>
  <si>
    <t>34-4143733-6</t>
  </si>
  <si>
    <t>500-891-540</t>
  </si>
  <si>
    <t>1211-6206-9941</t>
  </si>
  <si>
    <t>0102-5894-4718</t>
  </si>
  <si>
    <t>John Carlo David / son - 07/10/2016</t>
  </si>
  <si>
    <t>Rago</t>
  </si>
  <si>
    <t>Jaso</t>
  </si>
  <si>
    <t>Alcaraz</t>
  </si>
  <si>
    <t>1415-C Ilang Ilang Street Pandacan, manila</t>
  </si>
  <si>
    <t>4 yrs Grad./ BS HRM</t>
  </si>
  <si>
    <t>34-2819141-7</t>
  </si>
  <si>
    <t>402-152-728</t>
  </si>
  <si>
    <t>1210-9963-0500</t>
  </si>
  <si>
    <t>01-051277414-3</t>
  </si>
  <si>
    <t>BACK OUT</t>
  </si>
  <si>
    <t>Alano</t>
  </si>
  <si>
    <t>Jasie</t>
  </si>
  <si>
    <t>80-40 Tupaz street Ramirez Compound Doña Rosario, quezon City</t>
  </si>
  <si>
    <t>4 years Grad./BS HRM</t>
  </si>
  <si>
    <t>316-637-353</t>
  </si>
  <si>
    <t>1211-1124-7236</t>
  </si>
  <si>
    <t>0302-5574-1892</t>
  </si>
  <si>
    <t>Beloy</t>
  </si>
  <si>
    <t>Michelle</t>
  </si>
  <si>
    <t>Go</t>
  </si>
  <si>
    <t>S w/ Live in Partner</t>
  </si>
  <si>
    <t>50 Sampaguita Street Pasay City</t>
  </si>
  <si>
    <t>BS HRM/ undergraduate</t>
  </si>
  <si>
    <t>34-3127746-7</t>
  </si>
  <si>
    <t>490-918-159</t>
  </si>
  <si>
    <t>1211-6639-7010</t>
  </si>
  <si>
    <t>01-200044301-6</t>
  </si>
  <si>
    <t>Marcus Daniel B. Sarmiento/ 03/04/14</t>
  </si>
  <si>
    <t>Lot 2 Block 27 Soldiers 1V Molino Bacoor Cavite City</t>
  </si>
  <si>
    <t>0975-3307500</t>
  </si>
  <si>
    <t>ASSOC. HRS</t>
  </si>
  <si>
    <t>329-002-873</t>
  </si>
  <si>
    <t>Liban</t>
  </si>
  <si>
    <t>Pagaran</t>
  </si>
  <si>
    <t>Sec. 8 B15 L27 Sunny Brooke II Brgy. San Francisco General Trias Cavite</t>
  </si>
  <si>
    <t>Cunig, Gattaran, Cagayan Valley Trias Cavite</t>
  </si>
  <si>
    <t>9064525339/09277762783</t>
  </si>
  <si>
    <t>33-8094344-4</t>
  </si>
  <si>
    <t>233-793-990</t>
  </si>
  <si>
    <t>1040-0165-0264</t>
  </si>
  <si>
    <t>19-090272833-7</t>
  </si>
  <si>
    <t>Dan Lawrence Asusano Liban - 2/17/2010</t>
  </si>
  <si>
    <t>Abug</t>
  </si>
  <si>
    <t>84 B Tabing Ilog St. Aniban IV Bacoor Cavite</t>
  </si>
  <si>
    <t>B38 L117 Resettlement Florida Blanca Pampanga</t>
  </si>
  <si>
    <t>33-8835923-4</t>
  </si>
  <si>
    <t>278-038-040</t>
  </si>
  <si>
    <t>1040-0197-9740</t>
  </si>
  <si>
    <t>01-050611563-4</t>
  </si>
  <si>
    <t>1. Isles Clariefey Pecson Abug - 12/20/2007, 2. Azel Clouie - 06/09/2009</t>
  </si>
  <si>
    <t>Cabuyao</t>
  </si>
  <si>
    <t>Mc</t>
  </si>
  <si>
    <t>FDA/Dispatcher</t>
  </si>
  <si>
    <t>8546 Sampaguita St. Sto. Niño Parañaque City</t>
  </si>
  <si>
    <t>Cal. Dr. Mindoro</t>
  </si>
  <si>
    <t>Aircraft Mechanic/Graduate</t>
  </si>
  <si>
    <t>04-1184899-0</t>
  </si>
  <si>
    <t>297-306-034</t>
  </si>
  <si>
    <t>1210-5979-6403</t>
  </si>
  <si>
    <t>02-050893225-2</t>
  </si>
  <si>
    <t>Magtangob</t>
  </si>
  <si>
    <t>188 Pitong Gatang St. San Dionisio, Parañaque City</t>
  </si>
  <si>
    <t>2 Years Grad./Computer Technology</t>
  </si>
  <si>
    <t>33-8741524-7</t>
  </si>
  <si>
    <t>401-373-595</t>
  </si>
  <si>
    <t>1211-2286-0911</t>
  </si>
  <si>
    <t>03-050398971-5</t>
  </si>
  <si>
    <t>Braceros</t>
  </si>
  <si>
    <t>Romulo</t>
  </si>
  <si>
    <t>7698 FC Santos Compound, Sucat, Parañaque City</t>
  </si>
  <si>
    <t>Sto. Domingo, Nueva Ecija</t>
  </si>
  <si>
    <t>03-2393690-3</t>
  </si>
  <si>
    <t>125-560-448</t>
  </si>
  <si>
    <t>1040-0165-3403</t>
  </si>
  <si>
    <t>01-051203581-2</t>
  </si>
  <si>
    <t>Retired</t>
  </si>
  <si>
    <t>Casulia</t>
  </si>
  <si>
    <t>Marc</t>
  </si>
  <si>
    <t>Apolinario</t>
  </si>
  <si>
    <t>069 B.Rosas St. Maricaban Pasay City</t>
  </si>
  <si>
    <t>34-1798790-4</t>
  </si>
  <si>
    <t>500-425-740</t>
  </si>
  <si>
    <t>1211-5502-0353</t>
  </si>
  <si>
    <t>0105-186-8750-1</t>
  </si>
  <si>
    <t>Garganda</t>
  </si>
  <si>
    <t>Alexis</t>
  </si>
  <si>
    <t>Gepilano</t>
  </si>
  <si>
    <t>Single Parent</t>
  </si>
  <si>
    <t>54 Dionisio St. Generoso Compound Malibay Pasay City</t>
  </si>
  <si>
    <t>HighSchool Graduate w/F&amp;B NC2</t>
  </si>
  <si>
    <t>34-2524388-9</t>
  </si>
  <si>
    <t>308-665-565</t>
  </si>
  <si>
    <t>1211-1664-3781</t>
  </si>
  <si>
    <t>02-050872514-1</t>
  </si>
  <si>
    <t>Prince Aldrin Garganda / 10/29/2011 - Princess Athiena Garganda / 08/10/2015</t>
  </si>
  <si>
    <t>Moriel</t>
  </si>
  <si>
    <t>1722 F. Muñoz St., Pasay City</t>
  </si>
  <si>
    <t>0907-6039225</t>
  </si>
  <si>
    <t>Asso. Grad. - HRS</t>
  </si>
  <si>
    <t>34-6013137-0</t>
  </si>
  <si>
    <t>330-385-268</t>
  </si>
  <si>
    <t>1211-7321-7844</t>
  </si>
  <si>
    <t>01-052161271-7</t>
  </si>
  <si>
    <t>Condrado</t>
  </si>
  <si>
    <t>Canto</t>
  </si>
  <si>
    <t>08 Aguho St. Brgy. North Signal, Taguig City</t>
  </si>
  <si>
    <t>4 Years Grad./Bs.Education</t>
  </si>
  <si>
    <t>34-7290152-7</t>
  </si>
  <si>
    <t>344-387-624</t>
  </si>
  <si>
    <t>1212-1719-1845</t>
  </si>
  <si>
    <t>01-026240427-2</t>
  </si>
  <si>
    <t>Velasquez</t>
  </si>
  <si>
    <t>Reymond</t>
  </si>
  <si>
    <t>Cuala</t>
  </si>
  <si>
    <t>2137 Blk. 10 Brgy. Addition Hills, Wellfare Ville Compound Mandaluyong City</t>
  </si>
  <si>
    <t>Luisiana Laguna, Brgy. Delapaz</t>
  </si>
  <si>
    <t>3 years undergrad. / Bs Nursing</t>
  </si>
  <si>
    <t>34-0572996-7</t>
  </si>
  <si>
    <t>305-998-169</t>
  </si>
  <si>
    <t>1070-0227-7093</t>
  </si>
  <si>
    <t>03-050347706-4</t>
  </si>
  <si>
    <t>Yuan Kenneth Velasquez / son - July 08, 2012</t>
  </si>
  <si>
    <t>Valmonte</t>
  </si>
  <si>
    <t>Boquiren</t>
  </si>
  <si>
    <t>Brgy. 14 Zone 1 #137 Humilidad St. Pasay City</t>
  </si>
  <si>
    <t>Balaoan, La Union</t>
  </si>
  <si>
    <t>09502068523/09305411413</t>
  </si>
  <si>
    <t>2 years grad./ HRM</t>
  </si>
  <si>
    <t>34-5087155-6</t>
  </si>
  <si>
    <t>326-639-450</t>
  </si>
  <si>
    <t>1211-4242-8574</t>
  </si>
  <si>
    <t>0202-6476-4433</t>
  </si>
  <si>
    <t>Nicky</t>
  </si>
  <si>
    <t>Yuson</t>
  </si>
  <si>
    <t>2025 B Makata St. Sta Cruz Manila</t>
  </si>
  <si>
    <t>Bacolor Pampanga</t>
  </si>
  <si>
    <t>2 years undergrad./hrm</t>
  </si>
  <si>
    <t>34-3140110-7</t>
  </si>
  <si>
    <t>420-111-243</t>
  </si>
  <si>
    <t>1212-0585-0257</t>
  </si>
  <si>
    <t>01-051928143-6</t>
  </si>
  <si>
    <t>Recs Clian Maglalang / June 05, 2015 - Son</t>
  </si>
  <si>
    <t xml:space="preserve">Saporna </t>
  </si>
  <si>
    <t>Jerom</t>
  </si>
  <si>
    <t>Cabiling</t>
  </si>
  <si>
    <t>8 Acacia St. Mahogany Homes, Bagumbayan Taguig City</t>
  </si>
  <si>
    <t>Gasan, Marinduque</t>
  </si>
  <si>
    <t>2 years undergrad / Bs Industrial Technology</t>
  </si>
  <si>
    <t>04-2307759-7</t>
  </si>
  <si>
    <t>276-892-618</t>
  </si>
  <si>
    <t>1210-8804-6434</t>
  </si>
  <si>
    <t>02-025455365-5</t>
  </si>
  <si>
    <t>Zia Erren Saporna / daughter - 12/18/2016</t>
  </si>
  <si>
    <t>Labuac</t>
  </si>
  <si>
    <t>Cenabre</t>
  </si>
  <si>
    <t>82 Don Carlos, Brgy. 146, Pasay City</t>
  </si>
  <si>
    <t>Brgy. Mabini, Basey Samar</t>
  </si>
  <si>
    <t>4 yrs. Grad / BS Mechanical Technology</t>
  </si>
  <si>
    <t>06-2920987-1</t>
  </si>
  <si>
    <t>408-780-348</t>
  </si>
  <si>
    <t>1212-2575-9311</t>
  </si>
  <si>
    <t>13-050120274-7</t>
  </si>
  <si>
    <t>Tabudlo</t>
  </si>
  <si>
    <t>Vernie</t>
  </si>
  <si>
    <t>Ciencia</t>
  </si>
  <si>
    <t>Hembrador Cabrera Street, Pasay City</t>
  </si>
  <si>
    <t>Koronadal, Cotabato City</t>
  </si>
  <si>
    <t>Comsec</t>
  </si>
  <si>
    <t>09-4270466-8</t>
  </si>
  <si>
    <t>703-857-864</t>
  </si>
  <si>
    <t xml:space="preserve">1212-2675-5926 </t>
  </si>
  <si>
    <t>17-251015608-6</t>
  </si>
  <si>
    <t>Abel</t>
  </si>
  <si>
    <t>Andriano</t>
  </si>
  <si>
    <t>91 JB Santos, St. Tangos, Navotas City</t>
  </si>
  <si>
    <t>Rizal Kananga, Leyte</t>
  </si>
  <si>
    <t>4 yrs Grad/ BS Electrical</t>
  </si>
  <si>
    <t>06-3504685-3</t>
  </si>
  <si>
    <t>478-113-797</t>
  </si>
  <si>
    <t>1211-4563-9099</t>
  </si>
  <si>
    <t>13-050174517-1</t>
  </si>
  <si>
    <t>RESIGNED07</t>
  </si>
  <si>
    <t>Ahsley</t>
  </si>
  <si>
    <t>Lapuz</t>
  </si>
  <si>
    <t>145 E.Flores St. Malibay Pasay City</t>
  </si>
  <si>
    <t>Mabini Pangasinan</t>
  </si>
  <si>
    <t>BS MT (undergraduate)</t>
  </si>
  <si>
    <t>34-4216969-0</t>
  </si>
  <si>
    <t>448-590-474</t>
  </si>
  <si>
    <t>1211-0534-4030</t>
  </si>
  <si>
    <t>03-025540101-3</t>
  </si>
  <si>
    <t>Villegas</t>
  </si>
  <si>
    <t>Marfe</t>
  </si>
  <si>
    <t>Tribunalo</t>
  </si>
  <si>
    <t>Assistant Accountant</t>
  </si>
  <si>
    <t>FINANCE DEPARTMENT</t>
  </si>
  <si>
    <t>4th St. - 13th St. Villamor Air Base Pasay City</t>
  </si>
  <si>
    <t>General Santos City</t>
  </si>
  <si>
    <t>BS.Accountancy (CPA)</t>
  </si>
  <si>
    <t>09-4008792-1</t>
  </si>
  <si>
    <t>324-542-997</t>
  </si>
  <si>
    <t>1211-5973-0210</t>
  </si>
  <si>
    <t>17-050382760-6</t>
  </si>
  <si>
    <t>Laxina</t>
  </si>
  <si>
    <t>B-3 L-35 Las Palmas Subd. Caypombo, Sta. Maria, Bulacan</t>
  </si>
  <si>
    <t>#319 San Isidro, Minalin, Pampanga</t>
  </si>
  <si>
    <t>Comp. Prog./Associate Grad/Tech. Drafting/Vocational</t>
  </si>
  <si>
    <t>02-1440403-6</t>
  </si>
  <si>
    <t>01-050138256-1</t>
  </si>
  <si>
    <t>1040-0164-3146</t>
  </si>
  <si>
    <t>242-431-971</t>
  </si>
  <si>
    <t>Matthew Cada Aquino - 12/27/2010</t>
  </si>
  <si>
    <t>Rebadavia</t>
  </si>
  <si>
    <t>Gargoles</t>
  </si>
  <si>
    <t>F &amp; B Department - Kitchen</t>
  </si>
  <si>
    <t>160 Kabulusan 2 Caloocan City</t>
  </si>
  <si>
    <t>Mapuyo Kawayan Biliran</t>
  </si>
  <si>
    <t>34-7153792-1</t>
  </si>
  <si>
    <t>02-026983769-2</t>
  </si>
  <si>
    <t>1212-1220-5051</t>
  </si>
  <si>
    <t>344-755-868</t>
  </si>
  <si>
    <t>Ereña</t>
  </si>
  <si>
    <t>Alexander Rey</t>
  </si>
  <si>
    <t>Cajiles</t>
  </si>
  <si>
    <t>Waiter/Houseman</t>
  </si>
  <si>
    <t>Houskeeping</t>
  </si>
  <si>
    <t>824 B. Mayon St. Malibay, Pasay City</t>
  </si>
  <si>
    <t>34-3927800-2</t>
  </si>
  <si>
    <t>02-025976000-4</t>
  </si>
  <si>
    <t>1210-9261-1050</t>
  </si>
  <si>
    <t>437-747-595</t>
  </si>
  <si>
    <t>Merin</t>
  </si>
  <si>
    <t>Mark Kenneth</t>
  </si>
  <si>
    <t>Latoy</t>
  </si>
  <si>
    <t>Northville1 Bignay, Valenzuela City</t>
  </si>
  <si>
    <t>Matag-ob, Leyte</t>
  </si>
  <si>
    <t>34-5978055-4</t>
  </si>
  <si>
    <t>02-026723264-5</t>
  </si>
  <si>
    <t>1211-7197-2806</t>
  </si>
  <si>
    <t>331-596-136</t>
  </si>
  <si>
    <t>Antido</t>
  </si>
  <si>
    <t>Welson</t>
  </si>
  <si>
    <t>Ocampo</t>
  </si>
  <si>
    <t>Paco, manila</t>
  </si>
  <si>
    <t>Boquig Street Brgy. Ano San Carlos City, Pangasinan</t>
  </si>
  <si>
    <t>2yrs Grad / HRM</t>
  </si>
  <si>
    <t>02-3003628-4</t>
  </si>
  <si>
    <t>0505-0194-9067</t>
  </si>
  <si>
    <t>1211-4616-9680</t>
  </si>
  <si>
    <t>Maputi</t>
  </si>
  <si>
    <t>Ram Anthony</t>
  </si>
  <si>
    <t>Bustillo</t>
  </si>
  <si>
    <t>Room Inspector/ Waiter</t>
  </si>
  <si>
    <t>99F William Sy Compound Premero de Mayo St. Libertad Pasay City</t>
  </si>
  <si>
    <t>Purok 5, Brgy. 3 Buenavista Agusan Del Norte, Mindanao</t>
  </si>
  <si>
    <t>3yrs under Grad/ BS Marine Engineering</t>
  </si>
  <si>
    <t>08-2512899-2</t>
  </si>
  <si>
    <t>18-200838837-8</t>
  </si>
  <si>
    <t>1211-3118-5600</t>
  </si>
  <si>
    <t>09/28//18</t>
  </si>
  <si>
    <t>Pangan</t>
  </si>
  <si>
    <t>Ryan Mc Clain</t>
  </si>
  <si>
    <t>Blk 27 lot 10 Nieto St. Phase 3 Avida Residences Santa Catalina Salawag Dasmariñas, Cavite</t>
  </si>
  <si>
    <t>BS HRM/ 2yrs</t>
  </si>
  <si>
    <t>34-4037844-1</t>
  </si>
  <si>
    <t>0802-6219-1420</t>
  </si>
  <si>
    <t>1212-8897-2296</t>
  </si>
  <si>
    <t>353-564-858</t>
  </si>
  <si>
    <t xml:space="preserve">Edward alex Pangan-4 </t>
  </si>
  <si>
    <t>Gajisan</t>
  </si>
  <si>
    <t>Famisaran</t>
  </si>
  <si>
    <t>570 MRT Ave. New Lower Bicutan, Taguig City</t>
  </si>
  <si>
    <t>2yrs Grad / Automotive</t>
  </si>
  <si>
    <t>04-2157587-1</t>
  </si>
  <si>
    <t>01-025425985-9</t>
  </si>
  <si>
    <t>1211-0726-3501</t>
  </si>
  <si>
    <t>422-854-467</t>
  </si>
  <si>
    <t>Pura</t>
  </si>
  <si>
    <t>Don Revilla St., Rotanda Pasay City/B-2 L-2A Margarita Hill, Maliagaya Park Novaliches, Q.C.</t>
  </si>
  <si>
    <t>Bentuco, Gubat Bicol Sorsogon</t>
  </si>
  <si>
    <t>9060286940/ 09288064736</t>
  </si>
  <si>
    <t>34-1794520-5</t>
  </si>
  <si>
    <t>03-050700827-1</t>
  </si>
  <si>
    <t>1211-7947-7340</t>
  </si>
  <si>
    <t>286-527-035</t>
  </si>
  <si>
    <t>Rica Ave P. De Guzman - 12/12/2013</t>
  </si>
  <si>
    <t>Pozon</t>
  </si>
  <si>
    <t>Eric</t>
  </si>
  <si>
    <t>Balangon</t>
  </si>
  <si>
    <t>Violeta Court 2814 F.B. Harisson St., Pasay City</t>
  </si>
  <si>
    <t>34-0525012-2</t>
  </si>
  <si>
    <t>01-025498018-3</t>
  </si>
  <si>
    <t>1210-8811-5264</t>
  </si>
  <si>
    <t>309-844-609</t>
  </si>
  <si>
    <t>Cubita</t>
  </si>
  <si>
    <t>Khyrel</t>
  </si>
  <si>
    <t>Lochiang</t>
  </si>
  <si>
    <t>Linaynan, Badiangan, Iloilo City</t>
  </si>
  <si>
    <t>3 yrs Graduate/ Marine Engineering</t>
  </si>
  <si>
    <t>07-2595787-8</t>
  </si>
  <si>
    <t>11-025548297-1</t>
  </si>
  <si>
    <t>1211-9381-5630</t>
  </si>
  <si>
    <t>400-751-006</t>
  </si>
  <si>
    <t>Lofranco</t>
  </si>
  <si>
    <t>Sabinet</t>
  </si>
  <si>
    <t>Lalaan II Silang Cavite/2842 Taft Ave., Pasay City</t>
  </si>
  <si>
    <t>Pali Road St., Coron, Palawan</t>
  </si>
  <si>
    <t>Com. Sci./Under Grad</t>
  </si>
  <si>
    <t>33-8971986-0</t>
  </si>
  <si>
    <t>01-050138251-0</t>
  </si>
  <si>
    <t>1040-0164-3124</t>
  </si>
  <si>
    <t>243-359-790</t>
  </si>
  <si>
    <t>1. Michael Angelo Castillote Lofranco Jr. - 1/5/2006 2. Kathrina Nicole - 1/22/2008</t>
  </si>
  <si>
    <t>Mary Jazie May</t>
  </si>
  <si>
    <t>Dupay</t>
  </si>
  <si>
    <t>Lot 9 Blk 6 Sta. Maria Phase 5, San Mateo Rizal</t>
  </si>
  <si>
    <t>34-70391304</t>
  </si>
  <si>
    <t>03-026156457-9</t>
  </si>
  <si>
    <t>1212-0361-8436</t>
  </si>
  <si>
    <t>340-921-940</t>
  </si>
  <si>
    <t>Selorio</t>
  </si>
  <si>
    <t>Erma Loren</t>
  </si>
  <si>
    <t>Escondo</t>
  </si>
  <si>
    <t>Poblacion, Caluya antique</t>
  </si>
  <si>
    <t>4yrs grad/ BS HM</t>
  </si>
  <si>
    <t>34-3544134-1</t>
  </si>
  <si>
    <t>09-025609637-3</t>
  </si>
  <si>
    <t>1212-2194-1620</t>
  </si>
  <si>
    <t>346-805-463</t>
  </si>
  <si>
    <t>Chavenia</t>
  </si>
  <si>
    <t>Arjay</t>
  </si>
  <si>
    <t>Cañezo</t>
  </si>
  <si>
    <t>521 Tengco Street Pasay City</t>
  </si>
  <si>
    <t>4 yrs Grad./ BS Marine Transportation</t>
  </si>
  <si>
    <t>34-4211906-4</t>
  </si>
  <si>
    <t>01-251480175-2</t>
  </si>
  <si>
    <t>1211-8651-1620</t>
  </si>
  <si>
    <t>501-268-848</t>
  </si>
  <si>
    <t>Sarona</t>
  </si>
  <si>
    <t>John Lester</t>
  </si>
  <si>
    <t>Monroid</t>
  </si>
  <si>
    <t>2703 Q Hemrador, Cabrera Pasay City</t>
  </si>
  <si>
    <t>4yrs Grad / BS Marine Engr.</t>
  </si>
  <si>
    <t>34-6262600-3</t>
  </si>
  <si>
    <t>02-026790544-5</t>
  </si>
  <si>
    <t>1212-2698-3827</t>
  </si>
  <si>
    <t>Nahine</t>
  </si>
  <si>
    <t>Aiza</t>
  </si>
  <si>
    <t>Palconit</t>
  </si>
  <si>
    <t>641 Gamban street Pasay City</t>
  </si>
  <si>
    <t>2 yrs grad / BS HRM</t>
  </si>
  <si>
    <t>34-1854923-1</t>
  </si>
  <si>
    <t>02-026036849-5</t>
  </si>
  <si>
    <t>1210-9895-3196</t>
  </si>
  <si>
    <t>293-513-224</t>
  </si>
  <si>
    <t>Cathlyn</t>
  </si>
  <si>
    <t>Lacaden</t>
  </si>
  <si>
    <t>Hembrador Street Psay City</t>
  </si>
  <si>
    <t>Mabulitec, Malasiqui Pangasinan</t>
  </si>
  <si>
    <t>4 yrs Grad / BS IT</t>
  </si>
  <si>
    <t>02-4088843-5</t>
  </si>
  <si>
    <t>05-201481946-0</t>
  </si>
  <si>
    <t>1211-8174-7969</t>
  </si>
  <si>
    <t>346-806-941</t>
  </si>
  <si>
    <t>Castrence</t>
  </si>
  <si>
    <t>Honey Grace</t>
  </si>
  <si>
    <t>630 Rodriguez Street Pasay City</t>
  </si>
  <si>
    <t>Corcondia Bolinao, Pangasinan</t>
  </si>
  <si>
    <t>4 yrs Grad/ BS HRM</t>
  </si>
  <si>
    <t>02-4034059-1</t>
  </si>
  <si>
    <t>05-252541160-5</t>
  </si>
  <si>
    <t>1211-8412-5981</t>
  </si>
  <si>
    <t>346-806-481</t>
  </si>
  <si>
    <t>Boston</t>
  </si>
  <si>
    <t>Johny</t>
  </si>
  <si>
    <t>Pinagbuhatan, Pasig City</t>
  </si>
  <si>
    <t>Caypombo, Sta. Maria Bulacan</t>
  </si>
  <si>
    <t>2 year undergrad / BS HRM</t>
  </si>
  <si>
    <t>34-4874995-9</t>
  </si>
  <si>
    <t>01-025706950-3</t>
  </si>
  <si>
    <t>1211-3298-3181</t>
  </si>
  <si>
    <t>347-638-158</t>
  </si>
  <si>
    <t>Laniba</t>
  </si>
  <si>
    <t>Heherson</t>
  </si>
  <si>
    <t>577 Padre Rada Street Manila</t>
  </si>
  <si>
    <t>Catarman, Northern Samar</t>
  </si>
  <si>
    <t>2 yrs undergrad / Electrical Engineering</t>
  </si>
  <si>
    <t>06-3238323-4</t>
  </si>
  <si>
    <t>13-050141304-7</t>
  </si>
  <si>
    <t>1211-1425-5906</t>
  </si>
  <si>
    <t>427-639-547</t>
  </si>
  <si>
    <t>Alfredo Jr.</t>
  </si>
  <si>
    <t>Duquiwag</t>
  </si>
  <si>
    <t>Management Trainee</t>
  </si>
  <si>
    <t>2703 Q. Hembrador street, Brgy. Cabrera, Pasay City</t>
  </si>
  <si>
    <t>18 Obispo street Camsi Peñablanca, Cagayan</t>
  </si>
  <si>
    <t>BS Electronics and Communication Engineering</t>
  </si>
  <si>
    <t>01-1534728-9</t>
  </si>
  <si>
    <t>02-025685106-8</t>
  </si>
  <si>
    <t>1210-4610-7140</t>
  </si>
  <si>
    <t>Kryz Danielle 11/02/2007 , Keyndler 11/30/2009, Xymon 07/02/2011, Brent Mikel 06/09/2012</t>
  </si>
  <si>
    <t>Dexter</t>
  </si>
  <si>
    <t>Roranes</t>
  </si>
  <si>
    <t>11/31/18</t>
  </si>
  <si>
    <t>Arguelles Street Barangay Po Del Pilar</t>
  </si>
  <si>
    <t>Damantina Aurura Isabela</t>
  </si>
  <si>
    <t>BS IT/4yrs Graduate</t>
  </si>
  <si>
    <t>01-2092143-8</t>
  </si>
  <si>
    <t>08-051181771-8</t>
  </si>
  <si>
    <t>1210-5036-4114</t>
  </si>
  <si>
    <t>451-276-458</t>
  </si>
  <si>
    <t>Sumayao</t>
  </si>
  <si>
    <t>John Roger</t>
  </si>
  <si>
    <t>Jalevena</t>
  </si>
  <si>
    <t>Libertad</t>
  </si>
  <si>
    <t>Pasay City</t>
  </si>
  <si>
    <t>Milaor, Camarines Sur</t>
  </si>
  <si>
    <t>4yrs Grad/ BS HRM</t>
  </si>
  <si>
    <t>05-1094564-2</t>
  </si>
  <si>
    <t>10-050214084-6</t>
  </si>
  <si>
    <t>1212-0198-7882</t>
  </si>
  <si>
    <t>458-375-540</t>
  </si>
  <si>
    <t>Catequista</t>
  </si>
  <si>
    <t>Krestian</t>
  </si>
  <si>
    <t>Balayo</t>
  </si>
  <si>
    <t>#9 Ma.hugo Street Brgy. Marilag, Project 4</t>
  </si>
  <si>
    <t>Quezon City</t>
  </si>
  <si>
    <t>NHA  Bolilao, Mandurriao, Iloilo City</t>
  </si>
  <si>
    <t>07-3658391-4</t>
  </si>
  <si>
    <t>11-050782510-9</t>
  </si>
  <si>
    <t>1211-9833-1532</t>
  </si>
  <si>
    <t>347-634-580</t>
  </si>
  <si>
    <t>Nedia</t>
  </si>
  <si>
    <t>Ken</t>
  </si>
  <si>
    <t>Blk 8 Lot 24 ellow St. Casmiro Homes Phase 2, Pulang Lupa I</t>
  </si>
  <si>
    <t>Las Piñas City</t>
  </si>
  <si>
    <t>2yrs Grad/HRS</t>
  </si>
  <si>
    <t>05-1292346-8</t>
  </si>
  <si>
    <t>10-050234539-1</t>
  </si>
  <si>
    <t>1211-5889-2269</t>
  </si>
  <si>
    <t>333-866-453</t>
  </si>
  <si>
    <t>Naneth A. Nedia-Mother/09460328194</t>
  </si>
  <si>
    <t>Bernardo</t>
  </si>
  <si>
    <t>John Carlo</t>
  </si>
  <si>
    <t>78 Manansala Street UP Diliman</t>
  </si>
  <si>
    <t>San Vicente Ebus Guagua Pampanga</t>
  </si>
  <si>
    <t>4 years Graduate/BS HRS</t>
  </si>
  <si>
    <t>34-6605147-0</t>
  </si>
  <si>
    <t>07-250571732-6</t>
  </si>
  <si>
    <t>1211-9411-5053</t>
  </si>
  <si>
    <t>Cath Bernardo/sister 090601585933</t>
  </si>
  <si>
    <t>Marcelino</t>
  </si>
  <si>
    <t>Romald</t>
  </si>
  <si>
    <t>De Leus</t>
  </si>
  <si>
    <t xml:space="preserve">T9 Don Carlos </t>
  </si>
  <si>
    <t>Laurel Batangas</t>
  </si>
  <si>
    <t>4yrs Graduate/BS Marine Transportation</t>
  </si>
  <si>
    <t>34-6397582-1</t>
  </si>
  <si>
    <t>02-250535161-8</t>
  </si>
  <si>
    <t>1212-3519-0933</t>
  </si>
  <si>
    <t>706-507-904</t>
  </si>
  <si>
    <t>Duerme</t>
  </si>
  <si>
    <t>714 T5 B VIZCARRA ST. MALIBAY, PASAY CITY</t>
  </si>
  <si>
    <t>POBLACION, CALAYAN, CAGAYAN</t>
  </si>
  <si>
    <t>4 YRS GRAD. / BS HRM</t>
  </si>
  <si>
    <t>34-5859815-8</t>
  </si>
  <si>
    <t>06-050195056-7</t>
  </si>
  <si>
    <t>1211-6851-2866</t>
  </si>
  <si>
    <t>330-296-791</t>
  </si>
  <si>
    <t>Jason Duerme / Brother -09255010807</t>
  </si>
  <si>
    <t>Cabig</t>
  </si>
  <si>
    <t>Rando</t>
  </si>
  <si>
    <t>Seroy</t>
  </si>
  <si>
    <t>Maintenance Man (Aircon Technician)</t>
  </si>
  <si>
    <t>1117 Strada st. Singalong, Malate</t>
  </si>
  <si>
    <t>Manila</t>
  </si>
  <si>
    <t>Magting, Mambajao, Camiguin, Province</t>
  </si>
  <si>
    <t>CT-Electronics</t>
  </si>
  <si>
    <t>34-1413358-6</t>
  </si>
  <si>
    <t>03-050671114-9</t>
  </si>
  <si>
    <t>1211-4149-5149</t>
  </si>
  <si>
    <t>297-771-734</t>
  </si>
  <si>
    <t>1.John Rafhael L. Cabig - 11/06/17</t>
  </si>
  <si>
    <t>Rolan Cabig - Brother/09173350707</t>
  </si>
  <si>
    <t>Rabuya</t>
  </si>
  <si>
    <t>Michael Vincent</t>
  </si>
  <si>
    <t>Malimban</t>
  </si>
  <si>
    <t>Blk 37 Lot 24 Phase 1 Mary Cris Complex, Poscom II Aguinaldo Highway, Gen. Trias Cavite City</t>
  </si>
  <si>
    <t>Brgy. San Vicente, Gumaca, Quezon Province</t>
  </si>
  <si>
    <t>34-2875644-1</t>
  </si>
  <si>
    <t>08-051134090-3</t>
  </si>
  <si>
    <t>1210-1158-0799</t>
  </si>
  <si>
    <t>419-198-449</t>
  </si>
  <si>
    <t>Manuel Yala Jr./Uncle-0917860727</t>
  </si>
  <si>
    <t>Almario</t>
  </si>
  <si>
    <t>Bernadette</t>
  </si>
  <si>
    <t>Miralles</t>
  </si>
  <si>
    <t>57 First St., Pildera II</t>
  </si>
  <si>
    <t>Pasay City</t>
  </si>
  <si>
    <t>Malubago, Sipocot, Camarines Sur.</t>
  </si>
  <si>
    <r>
      <rPr>
        <rFont val="Arial Narrow"/>
        <color rgb="FF777777"/>
        <sz val="12.0"/>
      </rPr>
      <t> </t>
    </r>
    <r>
      <rPr>
        <rFont val="Arial Narrow"/>
        <color rgb="FF000000"/>
        <sz val="12.0"/>
      </rPr>
      <t>09983974800</t>
    </r>
  </si>
  <si>
    <t>04-2837426-6</t>
  </si>
  <si>
    <t>10-201542544-7</t>
  </si>
  <si>
    <t>1211-0673-4490</t>
  </si>
  <si>
    <t>318-003-125</t>
  </si>
  <si>
    <t>Janice Almario/Sister-0912-9783578</t>
  </si>
  <si>
    <t>Eugenio</t>
  </si>
  <si>
    <t>Bryan Paul</t>
  </si>
  <si>
    <t>33 A.R Cruz Street Tangas South, Navotas City</t>
  </si>
  <si>
    <t>2yrs Grad./ HRS</t>
  </si>
  <si>
    <t>34-3075575-7</t>
  </si>
  <si>
    <t>2105-0147-6417</t>
  </si>
  <si>
    <t>1211-0910-7425</t>
  </si>
  <si>
    <t>313-277-543</t>
  </si>
  <si>
    <t>Edna Eugenio Somogod- Auntie/ 282-16-70</t>
  </si>
  <si>
    <r>
      <rPr>
        <rFont val="Arial Narrow"/>
        <color rgb="FF777777"/>
        <sz val="12.0"/>
      </rPr>
      <t> </t>
    </r>
    <r>
      <rPr>
        <rFont val="Arial Narrow"/>
        <color rgb="FF000000"/>
        <sz val="12.0"/>
      </rPr>
      <t>09983974800</t>
    </r>
  </si>
  <si>
    <r>
      <rPr>
        <rFont val="Arial Narrow"/>
        <color rgb="FF777777"/>
        <sz val="12.0"/>
      </rPr>
      <t> </t>
    </r>
    <r>
      <rPr>
        <rFont val="Arial Narrow"/>
        <color rgb="FF000000"/>
        <sz val="12.0"/>
      </rPr>
      <t>09983974800</t>
    </r>
  </si>
  <si>
    <t>Maño</t>
  </si>
  <si>
    <t>Orlando Jr.</t>
  </si>
  <si>
    <t>Room Attendant (Pest Control)</t>
  </si>
  <si>
    <t>8 E Dela Paz Street San Roque</t>
  </si>
  <si>
    <t>Marikina City</t>
  </si>
  <si>
    <t>4yrs Graduate/BS HRM</t>
  </si>
  <si>
    <t>34-4690980-1</t>
  </si>
  <si>
    <t>03-025642965-5</t>
  </si>
  <si>
    <t>1212-4037-8420</t>
  </si>
  <si>
    <t>354-046-851</t>
  </si>
  <si>
    <t>Dolores M. Maño/mother-09557660166</t>
  </si>
  <si>
    <t>Rapanut</t>
  </si>
  <si>
    <t>Raffy</t>
  </si>
  <si>
    <t>Collado</t>
  </si>
  <si>
    <t>Aurora Blvd. Tramo</t>
  </si>
  <si>
    <t>Palloc, Ballesteros, Cagayan</t>
  </si>
  <si>
    <t>4 years Graduate/BS HRM</t>
  </si>
  <si>
    <t>01-2768770-1</t>
  </si>
  <si>
    <t>0602-5337-1466</t>
  </si>
  <si>
    <t>1212-2141-3182</t>
  </si>
  <si>
    <t>353-565-069</t>
  </si>
  <si>
    <t>Tamondong Jr.</t>
  </si>
  <si>
    <t>Medeliano</t>
  </si>
  <si>
    <t>Rosal</t>
  </si>
  <si>
    <t>4A 2022 Reyes Apartment Tramo</t>
  </si>
  <si>
    <t>Bugallon, Pangasinan</t>
  </si>
  <si>
    <t>4yrs Graduate/BS Marine Engineering</t>
  </si>
  <si>
    <t>34-7324948-2</t>
  </si>
  <si>
    <t>05-251203064-5</t>
  </si>
  <si>
    <t>1212-1797-3826</t>
  </si>
  <si>
    <t>353-699-715</t>
  </si>
  <si>
    <t>Ma. Theresa Tamondong-Sister-09959112195</t>
  </si>
  <si>
    <t>Ranulfo Jr.</t>
  </si>
  <si>
    <t>0627 Quirino Avenue, Barangay San Dionisio</t>
  </si>
  <si>
    <t>Parañaque City</t>
  </si>
  <si>
    <t>P-9 Lapinigan, San Francisco, Agusan Del Sur</t>
  </si>
  <si>
    <t>4yrs. Graduate/BS MT</t>
  </si>
  <si>
    <t>34-6244803-2</t>
  </si>
  <si>
    <t>18-250491312-1</t>
  </si>
  <si>
    <t>1211-5156-1424</t>
  </si>
  <si>
    <t>353-565-453</t>
  </si>
  <si>
    <t>Ranulfo Ageas Sr./Father-09109736029</t>
  </si>
  <si>
    <t>Orolfo</t>
  </si>
  <si>
    <t>Joyce</t>
  </si>
  <si>
    <t>Pilapil</t>
  </si>
  <si>
    <t>Accounting Clerk</t>
  </si>
  <si>
    <t>Bagong Sibol Severina 18KM, Brgy. Marcelo Green, West Severina Road</t>
  </si>
  <si>
    <t>Guinobatan, Albay</t>
  </si>
  <si>
    <t>2 Yrs. Vocational Grad. (Automated Office Mgnt.)</t>
  </si>
  <si>
    <t>34-5949526-3</t>
  </si>
  <si>
    <t>01-052166926-3</t>
  </si>
  <si>
    <t>1211-7167-7399</t>
  </si>
  <si>
    <t>328-770-522</t>
  </si>
  <si>
    <t>Josephine Orolfo/Mother - 0909-2244326</t>
  </si>
  <si>
    <t>209 Brgy. San Roque. City of San Jose Del Monte Bulacan</t>
  </si>
  <si>
    <t>34-3867283-2</t>
  </si>
  <si>
    <t>03-026049454-2</t>
  </si>
  <si>
    <t>1211-8509-7703</t>
  </si>
  <si>
    <t>501-122-509</t>
  </si>
  <si>
    <t xml:space="preserve">Sheila Marie Martinez / sister - 09307815001 </t>
  </si>
  <si>
    <t>Hilay</t>
  </si>
  <si>
    <t>Jesse Jan</t>
  </si>
  <si>
    <t>Cipriano</t>
  </si>
  <si>
    <t xml:space="preserve">2711 Dimasalang St. </t>
  </si>
  <si>
    <t>Mandurriao, Iloilo City</t>
  </si>
  <si>
    <t>4 yrs Graduate/HRM</t>
  </si>
  <si>
    <t>07-3612083-0</t>
  </si>
  <si>
    <t>11-050764226-8</t>
  </si>
  <si>
    <t>1211-8886-2301</t>
  </si>
  <si>
    <t>494-133-899</t>
  </si>
  <si>
    <t>Pascua</t>
  </si>
  <si>
    <t>Room Attendant/Waiter/RI</t>
  </si>
  <si>
    <t>86 Mother Ignacia Street Barangay Paligsahan</t>
  </si>
  <si>
    <t>4yrs Graduate/ BS Marine</t>
  </si>
  <si>
    <t>John Aldrin</t>
  </si>
  <si>
    <t>Salovino</t>
  </si>
  <si>
    <t>Single w/ Live in</t>
  </si>
  <si>
    <t xml:space="preserve">580 16 De Agosto Street </t>
  </si>
  <si>
    <t>2 years graduate/Com. Tech</t>
  </si>
  <si>
    <t>33-9690259-2</t>
  </si>
  <si>
    <t>02-050279779-5</t>
  </si>
  <si>
    <t>1211-2331-1224</t>
  </si>
  <si>
    <t>239-289-844</t>
  </si>
  <si>
    <t>Filipina Salovino/Mother-09056808004</t>
  </si>
  <si>
    <t>Simbajon</t>
  </si>
  <si>
    <t>Rogea Mea</t>
  </si>
  <si>
    <t>Gealan</t>
  </si>
  <si>
    <t>TO/Cashier (Trainee)</t>
  </si>
  <si>
    <t>726 Calero St. Sta. Cruz, Manila</t>
  </si>
  <si>
    <t>Kapatagan, Lanao Del Norte</t>
  </si>
  <si>
    <t>0910-0099432</t>
  </si>
  <si>
    <t>34-5262050-1</t>
  </si>
  <si>
    <t>02-026535128-0</t>
  </si>
  <si>
    <t>1211-6905-6165</t>
  </si>
  <si>
    <t>456-791-056</t>
  </si>
  <si>
    <t>Thea Cabrera/0921-9951666</t>
  </si>
  <si>
    <t>Dionisio</t>
  </si>
  <si>
    <t>Bagtas</t>
  </si>
  <si>
    <t xml:space="preserve">#41 Manapat St. Tañong </t>
  </si>
  <si>
    <t>Malabon City</t>
  </si>
  <si>
    <t>Undergrad/BS F&amp;B</t>
  </si>
  <si>
    <t>34-7916324-5</t>
  </si>
  <si>
    <t>02-027148505-1</t>
  </si>
  <si>
    <t>1212-3567-2189</t>
  </si>
  <si>
    <t>736-598-263</t>
  </si>
  <si>
    <t>Jaymark Dionisio/ Brother- 355-14-45</t>
  </si>
  <si>
    <t>Cherry</t>
  </si>
  <si>
    <t>21 Saleng St. Brgy. Veterans Village, Project 7</t>
  </si>
  <si>
    <t>4 Years Grad. / BS Entrepreneurship</t>
  </si>
  <si>
    <t>343-131015-9</t>
  </si>
  <si>
    <t>03-050928434-9</t>
  </si>
  <si>
    <t>1210-6891-4421</t>
  </si>
  <si>
    <t>311-069-361</t>
  </si>
  <si>
    <t>Violeta P. Cantonjos - Mother / 09472232425</t>
  </si>
  <si>
    <t>Takagi</t>
  </si>
  <si>
    <t>Justine</t>
  </si>
  <si>
    <t>Galupo</t>
  </si>
  <si>
    <t>271 Street Rita Lower Maricaban</t>
  </si>
  <si>
    <t>2yrs Undergrad/BS HRM</t>
  </si>
  <si>
    <t>34-3769417-0</t>
  </si>
  <si>
    <t>02-050975173-1</t>
  </si>
  <si>
    <t>1210-8649-5107</t>
  </si>
  <si>
    <t>434-731-591</t>
  </si>
  <si>
    <t>Sarah Mae Takagi-wife/09957914212</t>
  </si>
  <si>
    <t>331 Saturn Street</t>
  </si>
  <si>
    <t>Mandaluyong City</t>
  </si>
  <si>
    <t>Barangay Bancod Indang Cavite City</t>
  </si>
  <si>
    <t>1yr 2nd sem/Office Management</t>
  </si>
  <si>
    <t>34-4057492-8</t>
  </si>
  <si>
    <t>02-026616519-7</t>
  </si>
  <si>
    <t>1211-1069-1194</t>
  </si>
  <si>
    <t>448-387-352</t>
  </si>
  <si>
    <t>Beltran</t>
  </si>
  <si>
    <t>Jonas</t>
  </si>
  <si>
    <t xml:space="preserve">1252 B.F Torres  Street </t>
  </si>
  <si>
    <t>Malate, Manila</t>
  </si>
  <si>
    <t>Naguilian, Isabela</t>
  </si>
  <si>
    <t>2years Graduate/BS Criminology</t>
  </si>
  <si>
    <t>34-6412372-4</t>
  </si>
  <si>
    <t>08-051570276-1</t>
  </si>
  <si>
    <t>1211-7408-9991</t>
  </si>
  <si>
    <t>340-029-635</t>
  </si>
  <si>
    <t>Jude S. Concepcion/Cousin-09177042324</t>
  </si>
  <si>
    <t>164 Balubaran street Duhat</t>
  </si>
  <si>
    <t>Bocaue Bulacan</t>
  </si>
  <si>
    <t>Amontay, Sa Francisco, Surigao del Norte</t>
  </si>
  <si>
    <t>BS  HRm / Undergraduate</t>
  </si>
  <si>
    <t>Cecilia Mahinay More/ Mother/09265407472</t>
  </si>
  <si>
    <t>Resigned/</t>
  </si>
  <si>
    <t>Isidore Jr.</t>
  </si>
  <si>
    <t>Panio</t>
  </si>
  <si>
    <t>2461 P. Villanueva Street Pasay Barangay 91 Zone 9</t>
  </si>
  <si>
    <t>Sagnap, Loay Bohol</t>
  </si>
  <si>
    <t>4yrs Graduate/Industrial Techno;ogy</t>
  </si>
  <si>
    <t>06-4171520-4</t>
  </si>
  <si>
    <t>18-025288537-2</t>
  </si>
  <si>
    <t>1212-2968-8952</t>
  </si>
  <si>
    <t>296-878-542</t>
  </si>
  <si>
    <t>Lucia Simbajon/Mother-09103764302</t>
  </si>
  <si>
    <t>RESIGNED/ Undergo training for cruiship</t>
  </si>
  <si>
    <t>Reymund</t>
  </si>
  <si>
    <t xml:space="preserve">D50 RD 7 North Daang Hari </t>
  </si>
  <si>
    <t>Taguig City</t>
  </si>
  <si>
    <t>Mabutay, Maria Siquijor</t>
  </si>
  <si>
    <t>34-2159695-4</t>
  </si>
  <si>
    <t>12-201755001-0</t>
  </si>
  <si>
    <t>1212-3159-7206</t>
  </si>
  <si>
    <t>353-578-195</t>
  </si>
  <si>
    <t>1. Venice Erien Sarabia-09/17/2010 2.Daisyrie Sarabia-11/05/2013</t>
  </si>
  <si>
    <t>Reynelyn Andilab/Cousin</t>
  </si>
  <si>
    <t>ENDO</t>
  </si>
  <si>
    <t>Oderio</t>
  </si>
  <si>
    <t>Ma. Teresa</t>
  </si>
  <si>
    <t>Probatinary</t>
  </si>
  <si>
    <t>2497 P. Villanueva Street Brgy. 87</t>
  </si>
  <si>
    <t>Simbola, Culasi Antique</t>
  </si>
  <si>
    <t>4 yrs Grad/BS HRM</t>
  </si>
  <si>
    <t>34-2477981-7</t>
  </si>
  <si>
    <t>01-051276707-4</t>
  </si>
  <si>
    <t>1210-6891-9315</t>
  </si>
  <si>
    <t>309-182-471</t>
  </si>
  <si>
    <t>Wilfred Oderio/Brother-09214181399</t>
  </si>
  <si>
    <t>Iscala</t>
  </si>
  <si>
    <t>Rowell</t>
  </si>
  <si>
    <t>Fernandez</t>
  </si>
  <si>
    <t>R-10sitio Putting Bato NBBS</t>
  </si>
  <si>
    <t>Navotas City</t>
  </si>
  <si>
    <t>2 yrs Vocational/ Ref. &amp; Aircon Services</t>
  </si>
  <si>
    <t>34-4089792-2</t>
  </si>
  <si>
    <t>02-026139566-6</t>
  </si>
  <si>
    <t>1211-0987-6399</t>
  </si>
  <si>
    <t>449-172-403</t>
  </si>
  <si>
    <t>Rosario I. Serrano/cousin/9338581770</t>
  </si>
  <si>
    <t>RESIGNED/ Will manage a business</t>
  </si>
  <si>
    <t>Tamayao</t>
  </si>
  <si>
    <t>Lizette</t>
  </si>
  <si>
    <t>Mayormita</t>
  </si>
  <si>
    <t>2083 B-A Street Sto Niño</t>
  </si>
  <si>
    <t>HRS 2years Graduate</t>
  </si>
  <si>
    <t>34-5415857-6</t>
  </si>
  <si>
    <t>01-026317160-3</t>
  </si>
  <si>
    <t>1212-2748-0769</t>
  </si>
  <si>
    <t>348-337-211</t>
  </si>
  <si>
    <t>Ludelyn Diaz/Friend-09204269867</t>
  </si>
  <si>
    <t>RESIGNED/ Need to go to province</t>
  </si>
  <si>
    <t>Fajutnao</t>
  </si>
  <si>
    <t xml:space="preserve">2667 B Zamora Street </t>
  </si>
  <si>
    <t>Carmen, San Agustin, Romblon</t>
  </si>
  <si>
    <t>BSF/4yrs Graduate</t>
  </si>
  <si>
    <t>34-7979963-5</t>
  </si>
  <si>
    <t>01-026386590-7</t>
  </si>
  <si>
    <t>1212-3820-5850</t>
  </si>
  <si>
    <t>349-041-528</t>
  </si>
  <si>
    <t>Mary ann Clemente/Sister-</t>
  </si>
  <si>
    <t>Bernal</t>
  </si>
  <si>
    <t>Rufo</t>
  </si>
  <si>
    <t>Felicio</t>
  </si>
  <si>
    <t xml:space="preserve">Road 1 Brgy. Bagong Silang </t>
  </si>
  <si>
    <t>Quezon city</t>
  </si>
  <si>
    <t>2 yrs Graduate/HRS</t>
  </si>
  <si>
    <t>34-5953713-4</t>
  </si>
  <si>
    <t>03-251678806-1</t>
  </si>
  <si>
    <t>1211-7763-0196</t>
  </si>
  <si>
    <t>349-888-420</t>
  </si>
  <si>
    <t>Rowena Bernal/Mother/(916)999523</t>
  </si>
  <si>
    <t>Resigned/ Will be relocate to Quezon City</t>
  </si>
  <si>
    <t>J-Dan Carlo</t>
  </si>
  <si>
    <t>199 A San Dejas Street Barangay 44</t>
  </si>
  <si>
    <t>38 Malvar Street Barangay San Isisdro, Tayabas Quezon</t>
  </si>
  <si>
    <t>BS Mechanical Engineer/ 4yrs Graduate</t>
  </si>
  <si>
    <t>04-2627361-5</t>
  </si>
  <si>
    <t>01-052098914-0</t>
  </si>
  <si>
    <t>1211-5862-6099</t>
  </si>
  <si>
    <t>427-675-520</t>
  </si>
  <si>
    <t>Irish Anna Lou P. Sulapas/GF/09489298040</t>
  </si>
  <si>
    <t>Resigned/ Have job opportunity</t>
  </si>
  <si>
    <t>Saut</t>
  </si>
  <si>
    <t xml:space="preserve">Lo-nick </t>
  </si>
  <si>
    <t>Cordova</t>
  </si>
  <si>
    <t xml:space="preserve">Cook </t>
  </si>
  <si>
    <t>2667 Zamora Street Brgy. 97 Zone 14</t>
  </si>
  <si>
    <t>Brgy. Looc Lapu-lapu City, Cebu</t>
  </si>
  <si>
    <t>High School Graduate/Vocational</t>
  </si>
  <si>
    <t>06-2452002-1</t>
  </si>
  <si>
    <t>12-050534266-1</t>
  </si>
  <si>
    <t>1670-0115-4324</t>
  </si>
  <si>
    <t>246-544-131</t>
  </si>
  <si>
    <t>1.Mary Ashley 2. Chris Paul 3.Steve Nash 4. Mary Abbey 5.Paul George</t>
  </si>
  <si>
    <t>Maria Magdalena Saut/ wife-09087584254</t>
  </si>
  <si>
    <t>Resigned-Asst. chef to cargo ship</t>
  </si>
  <si>
    <t>06.24.2019</t>
  </si>
  <si>
    <t>Laguardia</t>
  </si>
  <si>
    <t>Salinas</t>
  </si>
  <si>
    <t>2805 Pilapil St.</t>
  </si>
  <si>
    <t>Sta. Maria, San Jacinto, Pangasinan</t>
  </si>
  <si>
    <t>BS HRM/ 4years Graduate</t>
  </si>
  <si>
    <t>02-4551911-0</t>
  </si>
  <si>
    <t>05-025733617-1</t>
  </si>
  <si>
    <t>9191-2639-0535</t>
  </si>
  <si>
    <t>Myrna S. Laguardia/Mother/9485198690</t>
  </si>
  <si>
    <t>Caludio</t>
  </si>
  <si>
    <t>Dominik</t>
  </si>
  <si>
    <t>Calanuga</t>
  </si>
  <si>
    <t>04/21/20219</t>
  </si>
  <si>
    <t>22 St.Joseph, Brgy 201</t>
  </si>
  <si>
    <t>Brgy. Isian Norte Leon, Iloilo</t>
  </si>
  <si>
    <t>3 yrs graduate/BS Marine Transpo.</t>
  </si>
  <si>
    <t>07-3452634-2</t>
  </si>
  <si>
    <t>11-025505068-0</t>
  </si>
  <si>
    <t>1211-6036-0932</t>
  </si>
  <si>
    <t>475-047-836</t>
  </si>
  <si>
    <t>Arlene Plana/Sisiter- (927) 8059879</t>
  </si>
  <si>
    <t>Fugaban</t>
  </si>
  <si>
    <t>Maria Elena</t>
  </si>
  <si>
    <t>Blk 8 Lot 18 Barcelona Street Camella Town Homes Brgy. SAV I</t>
  </si>
  <si>
    <t>34-6207239-8</t>
  </si>
  <si>
    <t>01-026009177-3</t>
  </si>
  <si>
    <t>1211-8013-2174</t>
  </si>
  <si>
    <t>Helen fugaban/Mother-09558323252</t>
  </si>
  <si>
    <t>Española</t>
  </si>
  <si>
    <t>Crista</t>
  </si>
  <si>
    <t>002 CRM Rebecca Street BF Homes Almanza Dos</t>
  </si>
  <si>
    <t>2yrs Graduate / HRS</t>
  </si>
  <si>
    <t>34-3313073-5</t>
  </si>
  <si>
    <t>22-000063962-1</t>
  </si>
  <si>
    <t>1210-5439-4090</t>
  </si>
  <si>
    <t>318-429-044</t>
  </si>
  <si>
    <t>Noli John Española/Father-09359530619</t>
  </si>
  <si>
    <t>Nova</t>
  </si>
  <si>
    <t>Rex</t>
  </si>
  <si>
    <t>Andog</t>
  </si>
  <si>
    <t>334 Apollo 11 Street Gregorio Village</t>
  </si>
  <si>
    <t>Bislig, Carigara Leyte</t>
  </si>
  <si>
    <t>2yrs Graduate/Ship steward</t>
  </si>
  <si>
    <t>06-4206523-8</t>
  </si>
  <si>
    <t>13-025518092-5</t>
  </si>
  <si>
    <t>1212-3805-1365</t>
  </si>
  <si>
    <t>353-665-273</t>
  </si>
  <si>
    <t>Rachel Ann Nova/Sister-</t>
  </si>
  <si>
    <t>Malicse</t>
  </si>
  <si>
    <t>Enriner</t>
  </si>
  <si>
    <t>#32 E. Aquino Niugan Malabon City</t>
  </si>
  <si>
    <t>0998-2210270</t>
  </si>
  <si>
    <t>34-1114197-9</t>
  </si>
  <si>
    <t>03-050454659-0</t>
  </si>
  <si>
    <t>1210-2947-3401</t>
  </si>
  <si>
    <t>261-371-372</t>
  </si>
  <si>
    <t>Enrique R. Malicse/ Father 09429608994</t>
  </si>
  <si>
    <t>Gamiz</t>
  </si>
  <si>
    <t xml:space="preserve">John Paul </t>
  </si>
  <si>
    <t>Pedro Gil St., Paco,</t>
  </si>
  <si>
    <t>Isabela</t>
  </si>
  <si>
    <t>4 yrs Graduate/ BS Tourism Mngt</t>
  </si>
  <si>
    <t>01-2574288-7</t>
  </si>
  <si>
    <t>04-025219875-1</t>
  </si>
  <si>
    <t>(927) 8059879</t>
  </si>
  <si>
    <t>Resigned-find other job/the work is hard for him</t>
  </si>
  <si>
    <t>7/14/20219</t>
  </si>
  <si>
    <t>Vergara</t>
  </si>
  <si>
    <t>Charles</t>
  </si>
  <si>
    <t>Verdocillo</t>
  </si>
  <si>
    <t xml:space="preserve">Stock Custodian </t>
  </si>
  <si>
    <t>Purchasing Department</t>
  </si>
  <si>
    <t>2703 Q. Hembrador Street</t>
  </si>
  <si>
    <t>09 A. Silliman Ave. Dumaguete City, Negros Oriental</t>
  </si>
  <si>
    <t>4yrs Grad/ BS marine Engineering</t>
  </si>
  <si>
    <t>07-3279657-2</t>
  </si>
  <si>
    <t>1202-5493-6524</t>
  </si>
  <si>
    <t>1211-6140-8321</t>
  </si>
  <si>
    <t>712-460-969</t>
  </si>
  <si>
    <t>Cipriano Vergara/ Father-09263604355</t>
  </si>
  <si>
    <t>Resigned- will work in cruise ship</t>
  </si>
  <si>
    <t>Morris</t>
  </si>
  <si>
    <t>Denniel Red</t>
  </si>
  <si>
    <t>Monteverde</t>
  </si>
  <si>
    <t>Management trainee</t>
  </si>
  <si>
    <t>0003 Lot A73 Block 29 St. Phase 3-D Kaunlaran Village, Maypajo</t>
  </si>
  <si>
    <t>Caloocan</t>
  </si>
  <si>
    <t>Bachelor in Civil Engineer/ 5 years graduate</t>
  </si>
  <si>
    <t>34-0773116-0</t>
  </si>
  <si>
    <t>01-051095576-0</t>
  </si>
  <si>
    <t>1090-0273-2452</t>
  </si>
  <si>
    <t>255-462-533</t>
  </si>
  <si>
    <t>Marites Ramos/Live-in partner/9053631760</t>
  </si>
  <si>
    <t>Balanis</t>
  </si>
  <si>
    <t>Jame Priston</t>
  </si>
  <si>
    <t>Echavari</t>
  </si>
  <si>
    <t>2829 D. Cabrera Street</t>
  </si>
  <si>
    <t>210 Balayang Alaminis City Pangasinan</t>
  </si>
  <si>
    <t>HRS 2 yrs Graduate</t>
  </si>
  <si>
    <t>34-4117212-5</t>
  </si>
  <si>
    <t>01-051849180-1</t>
  </si>
  <si>
    <t>1211-2685-6757</t>
  </si>
  <si>
    <t>315-656-690</t>
  </si>
  <si>
    <t>Jimmy R. Balanis/ Father-09288194040</t>
  </si>
  <si>
    <t>Resigned-Work abroad</t>
  </si>
  <si>
    <t>Sembrano</t>
  </si>
  <si>
    <t>Sharmaine Joy</t>
  </si>
  <si>
    <t>Quiros</t>
  </si>
  <si>
    <t>Pasay city</t>
  </si>
  <si>
    <t>Bari Mangaldan, Pangasinan</t>
  </si>
  <si>
    <t>02-4574448-0</t>
  </si>
  <si>
    <t>05-251555059-3</t>
  </si>
  <si>
    <t>1212-5262-8911</t>
  </si>
  <si>
    <t>Resigned- work abroad</t>
  </si>
  <si>
    <t>Salita</t>
  </si>
  <si>
    <t>Jayric</t>
  </si>
  <si>
    <t>221 Sikat Street San Miguel</t>
  </si>
  <si>
    <t>3rd year Undergrad/ BS Engineering/MKtg. Mngt.</t>
  </si>
  <si>
    <t>34-7019824-8</t>
  </si>
  <si>
    <t>02-027155057-0</t>
  </si>
  <si>
    <t>1212-3681-3529</t>
  </si>
  <si>
    <t>353-578-483</t>
  </si>
  <si>
    <t>Norez Ann G. Salita/Sister-09175121234</t>
  </si>
  <si>
    <t>Resigned-Relocation</t>
  </si>
  <si>
    <t>Abilong</t>
  </si>
  <si>
    <t>John Aeron</t>
  </si>
  <si>
    <t>Ursua</t>
  </si>
  <si>
    <t>B5L5 Greenfield Subd. Bagbag I, Rosario</t>
  </si>
  <si>
    <t>Cavite</t>
  </si>
  <si>
    <t>4 yrs Graduate/ HRM</t>
  </si>
  <si>
    <t>34-7677989-4</t>
  </si>
  <si>
    <t>08-250755475-6</t>
  </si>
  <si>
    <t>1212-2844-4799</t>
  </si>
  <si>
    <t>347-962-327</t>
  </si>
  <si>
    <t>Annabelle Abilong/Mother/(915)1201766</t>
  </si>
  <si>
    <t>End of contract</t>
  </si>
  <si>
    <t xml:space="preserve">Rico Jay </t>
  </si>
  <si>
    <t>Kitchen Steward</t>
  </si>
  <si>
    <t xml:space="preserve">154 Lakandula St., Brgy 65, </t>
  </si>
  <si>
    <t>Glamang Polomopok South Cotabato</t>
  </si>
  <si>
    <t>1 Yr. Grad/ Cookery</t>
  </si>
  <si>
    <t>Lorena Delote/Mother-09085755553</t>
  </si>
  <si>
    <t>need to go to provice</t>
  </si>
  <si>
    <t>Abarquez</t>
  </si>
  <si>
    <t>Mark Angelo</t>
  </si>
  <si>
    <t>Sumanda</t>
  </si>
  <si>
    <t>3 Luzon St. Zone 6 Brgy. Sounth Signal Village</t>
  </si>
  <si>
    <t>Agusan Del Norte</t>
  </si>
  <si>
    <t>4 yrs Graduate/ BS HRM</t>
  </si>
  <si>
    <t>34-8704720-1</t>
  </si>
  <si>
    <t>18-250104148-4</t>
  </si>
  <si>
    <t>Benjie Abarquez/Uncle/9995555634</t>
  </si>
  <si>
    <t>End of Training contract</t>
  </si>
  <si>
    <t>Robaro</t>
  </si>
  <si>
    <t xml:space="preserve">Andro </t>
  </si>
  <si>
    <t>Mondoy</t>
  </si>
  <si>
    <t>ATO Transmitter Compound,</t>
  </si>
  <si>
    <t>Maripipi, Biliran</t>
  </si>
  <si>
    <t>34-8486617-1</t>
  </si>
  <si>
    <t>01-026467164-2</t>
  </si>
  <si>
    <t>1212-5072-8533</t>
  </si>
  <si>
    <t>749-019-848</t>
  </si>
  <si>
    <t>Marie Sotoredona/Auntie/9151804354</t>
  </si>
  <si>
    <t>Magno</t>
  </si>
  <si>
    <t>Jodel Vince</t>
  </si>
  <si>
    <t>Castromayor</t>
  </si>
  <si>
    <t>04/03/20119</t>
  </si>
  <si>
    <t>12B Salong Street, Western Bicutan,</t>
  </si>
  <si>
    <t>Brgy. Maribong Lambunao, Iloilo City</t>
  </si>
  <si>
    <t>07-3781983-6</t>
  </si>
  <si>
    <t>11-250855987-1</t>
  </si>
  <si>
    <t>1212-3752-8233</t>
  </si>
  <si>
    <t>351-773-680</t>
  </si>
  <si>
    <t>Ulit</t>
  </si>
  <si>
    <t>Dagoc</t>
  </si>
  <si>
    <t>157 P. Santos St. Malibay</t>
  </si>
  <si>
    <t>Assoc.Grad-HRM</t>
  </si>
  <si>
    <t>34-2547505-5</t>
  </si>
  <si>
    <t>02-025467518-1</t>
  </si>
  <si>
    <t>1210-7369-9619</t>
  </si>
  <si>
    <t>406-140-656</t>
  </si>
  <si>
    <t>Dulce D. Ulit / Mother - 09078133595</t>
  </si>
  <si>
    <t>Resigned- explore more opportunities</t>
  </si>
  <si>
    <t>Sy</t>
  </si>
  <si>
    <t>Lanie Mae</t>
  </si>
  <si>
    <t>Banting</t>
  </si>
  <si>
    <t xml:space="preserve">Blk. 17 Lot 48 Lucas Choa St. Harmony Hills </t>
  </si>
  <si>
    <t>34-8190625-4</t>
  </si>
  <si>
    <t>03-026391536-0</t>
  </si>
  <si>
    <t>1212-4376-4838</t>
  </si>
  <si>
    <t>746-631-686</t>
  </si>
  <si>
    <t>Yolanda B. Sy/Mother/9464995743</t>
  </si>
  <si>
    <t>Resigned- need to rest (sickly)</t>
  </si>
  <si>
    <t>Raccel</t>
  </si>
  <si>
    <t>Caalim</t>
  </si>
  <si>
    <t>Dagupan City, Pangasinan</t>
  </si>
  <si>
    <t>02-3720283-3</t>
  </si>
  <si>
    <t>05-050294974-5</t>
  </si>
  <si>
    <t>1211-8703-4947</t>
  </si>
  <si>
    <t>334-564-778</t>
  </si>
  <si>
    <t>Norma Abalos/mother-09499581180</t>
  </si>
  <si>
    <t>Resigned-work abroad</t>
  </si>
  <si>
    <t>Pabalate</t>
  </si>
  <si>
    <t>Mark Boyeng</t>
  </si>
  <si>
    <t>9525 Masilang St. Guadalupe Nuevo</t>
  </si>
  <si>
    <t>Makati City</t>
  </si>
  <si>
    <t>2 yrs Grad/HRS</t>
  </si>
  <si>
    <t>34-6808293-9</t>
  </si>
  <si>
    <t>01-026141866-0</t>
  </si>
  <si>
    <t>1212-0065-1253</t>
  </si>
  <si>
    <t>343-964-946</t>
  </si>
  <si>
    <t>Mitchie I. Pabalate/Mother-09398370126</t>
  </si>
  <si>
    <t>Lustina</t>
  </si>
  <si>
    <t>Ramiro</t>
  </si>
  <si>
    <t>20 B.M.A Street Tatalon</t>
  </si>
  <si>
    <t>BS Computer Science / 2yrs Graduate</t>
  </si>
  <si>
    <t>34-2401065-7</t>
  </si>
  <si>
    <t>02-050861009-3</t>
  </si>
  <si>
    <t>1211-0484-5402</t>
  </si>
  <si>
    <t>446-348-373</t>
  </si>
  <si>
    <t>Maria Briana Bagay/ Fiance/09569148026</t>
  </si>
  <si>
    <t>Feola Sue Juenese</t>
  </si>
  <si>
    <t>Interior Designer (Proj. EMP)</t>
  </si>
  <si>
    <t>1834 A. Sampaguita St. Kahilom #1 Pandacan</t>
  </si>
  <si>
    <t>#5 Fairfield St. Laguna Bel-Air, Sta. Rosa, Laguna</t>
  </si>
  <si>
    <t>34-3697843-1</t>
  </si>
  <si>
    <t>02-025928770-8</t>
  </si>
  <si>
    <t>444-370-220</t>
  </si>
  <si>
    <t>Adrian Flores ( Step. Father)- 09278682581</t>
  </si>
  <si>
    <t>Gabatino</t>
  </si>
  <si>
    <t>Abaya</t>
  </si>
  <si>
    <t>#160 Laskitan Sauyo Road</t>
  </si>
  <si>
    <t>Novaliches Quezon City</t>
  </si>
  <si>
    <t>0907-5880590</t>
  </si>
  <si>
    <t>34-4864472-4</t>
  </si>
  <si>
    <t>03-025696663-4</t>
  </si>
  <si>
    <t>1211-4320-6123</t>
  </si>
  <si>
    <t>500-807-598</t>
  </si>
  <si>
    <t>Merlito Gabatino-Father/0933-4435209</t>
  </si>
  <si>
    <t>Resigned-Work Abroad</t>
  </si>
  <si>
    <t>Blk 38 Addition Hills</t>
  </si>
  <si>
    <t>Antique</t>
  </si>
  <si>
    <t>207-961-175</t>
  </si>
  <si>
    <t>Abner Daza/Father-</t>
  </si>
  <si>
    <t>Camariosa</t>
  </si>
  <si>
    <t>Nahum Remar</t>
  </si>
  <si>
    <t>Aliparo</t>
  </si>
  <si>
    <t>Room Inspector/ Wiater</t>
  </si>
  <si>
    <t>1420 Orquieta St. Sta. Cruz</t>
  </si>
  <si>
    <t>Leon Iloilo City</t>
  </si>
  <si>
    <t>07-3615902-1</t>
  </si>
  <si>
    <t>11-025563716-9</t>
  </si>
  <si>
    <t>1211-8984-0233</t>
  </si>
  <si>
    <t>494-814-011</t>
  </si>
  <si>
    <t>Frankemer Cajilig/ Uncle-09228767666</t>
  </si>
  <si>
    <t>Resigned- work in cruise ship</t>
  </si>
  <si>
    <t>Cornel</t>
  </si>
  <si>
    <t>Rona</t>
  </si>
  <si>
    <t>Bañares</t>
  </si>
  <si>
    <t>2022 Delas Alas St. Sta. Clara</t>
  </si>
  <si>
    <t xml:space="preserve"> Pasay City</t>
  </si>
  <si>
    <t>Zone 1 Coro-Coro Tiwi Albay</t>
  </si>
  <si>
    <t>05-1089525-5</t>
  </si>
  <si>
    <t>10-050170910-1</t>
  </si>
  <si>
    <t>1210-7248-6305</t>
  </si>
  <si>
    <t>424-461-514</t>
  </si>
  <si>
    <t>Benny Cornel/09308805829</t>
  </si>
  <si>
    <t>Monez</t>
  </si>
  <si>
    <t xml:space="preserve">John Randel </t>
  </si>
  <si>
    <t>Lombog</t>
  </si>
  <si>
    <t xml:space="preserve">2724 Aragon St. Brgy. San Isidro </t>
  </si>
  <si>
    <t>Makati</t>
  </si>
  <si>
    <t>Inopacan, Leyte</t>
  </si>
  <si>
    <t>34-8826893-7</t>
  </si>
  <si>
    <t>01-026530657-3</t>
  </si>
  <si>
    <t>1212-5992-2477</t>
  </si>
  <si>
    <t>Resigned- Health issues</t>
  </si>
  <si>
    <t>Anda</t>
  </si>
  <si>
    <t>Carla Mae</t>
  </si>
  <si>
    <t>Cuario</t>
  </si>
  <si>
    <t>107 C. Jose Street Malibay</t>
  </si>
  <si>
    <t>Atimonan, Quezon</t>
  </si>
  <si>
    <t>BS Accountancy - 4 years Graduate</t>
  </si>
  <si>
    <t>04-4058912-3</t>
  </si>
  <si>
    <t>08-251963799-1</t>
  </si>
  <si>
    <t>1212-2392-0115</t>
  </si>
  <si>
    <t>703-840-920</t>
  </si>
  <si>
    <t>Carlo Anda/ Father 09466150852</t>
  </si>
  <si>
    <t>Resigned-Will take CPA Board</t>
  </si>
  <si>
    <t>Franz Lester</t>
  </si>
  <si>
    <t>3431 Golden Flover St. PAPCI-1 Manggahan Floodway</t>
  </si>
  <si>
    <t>Cainta Rizal</t>
  </si>
  <si>
    <t>Baliuag Bulacan</t>
  </si>
  <si>
    <t>2 yrs undergrad./Bs.Nursing</t>
  </si>
  <si>
    <t>34-1552084-2</t>
  </si>
  <si>
    <t>01-050691167-8</t>
  </si>
  <si>
    <t>1210-6295-1656</t>
  </si>
  <si>
    <t>273-728-822</t>
  </si>
  <si>
    <t>Liberty Frias / Mother - 09362862516</t>
  </si>
  <si>
    <t>Resigned/ explore more opportunities</t>
  </si>
  <si>
    <t>Laroya</t>
  </si>
  <si>
    <t>Efren Jr</t>
  </si>
  <si>
    <t>Barde</t>
  </si>
  <si>
    <t>1557 G Araneta Avenue</t>
  </si>
  <si>
    <t>09098966443/09236258303</t>
  </si>
  <si>
    <t>BSED/Under Grad</t>
  </si>
  <si>
    <t>34-2278596-8</t>
  </si>
  <si>
    <t>01-051360202-8</t>
  </si>
  <si>
    <t>1210-1727-1414</t>
  </si>
  <si>
    <t>405-104-121</t>
  </si>
  <si>
    <t>Dennise Ann Laroya / Wife - 09066365825</t>
  </si>
  <si>
    <t>Omalay</t>
  </si>
  <si>
    <t>Charmie Ann</t>
  </si>
  <si>
    <t>Belarmino</t>
  </si>
  <si>
    <t>0187 Rosas St. Pildera 1</t>
  </si>
  <si>
    <t>Bohol</t>
  </si>
  <si>
    <t>Bachelor HRT/ 4years Graduate</t>
  </si>
  <si>
    <t>34-8478889-3</t>
  </si>
  <si>
    <t>12-250129850-4</t>
  </si>
  <si>
    <t>1212-5207-5586</t>
  </si>
  <si>
    <t>746-629-119</t>
  </si>
  <si>
    <t>Philip Erl Fernando/Boyfriend/9480907288</t>
  </si>
  <si>
    <t>Vivas</t>
  </si>
  <si>
    <t>Aldrich John</t>
  </si>
  <si>
    <t>Alcoran</t>
  </si>
  <si>
    <t>141 Bankers Village Bucandala II, Imus</t>
  </si>
  <si>
    <t>BS IHM in Culinary Arts</t>
  </si>
  <si>
    <t>34-6071858-6</t>
  </si>
  <si>
    <t>08-026142189-9</t>
  </si>
  <si>
    <t>1211-7511-8431</t>
  </si>
  <si>
    <t>330-055-454</t>
  </si>
  <si>
    <t>Richard Vivas/Father/9178357271</t>
  </si>
  <si>
    <t xml:space="preserve">Pillosis </t>
  </si>
  <si>
    <t>John Joseph</t>
  </si>
  <si>
    <t>Olivares</t>
  </si>
  <si>
    <t>Blk 15, Lot 20 EP Housing Brgy. Pinagsama Phi</t>
  </si>
  <si>
    <t>34-6048444-1</t>
  </si>
  <si>
    <t>01-025976004-1</t>
  </si>
  <si>
    <t>1211-7441-0554</t>
  </si>
  <si>
    <t>726-711-261</t>
  </si>
  <si>
    <t>Salvacion Pillosis/Mother/9471410510</t>
  </si>
  <si>
    <t>Jocson</t>
  </si>
  <si>
    <t>Giordan Caesar</t>
  </si>
  <si>
    <t>2801 E. Benita St. Gagalagin, Tondo</t>
  </si>
  <si>
    <t>3 yrs.Undergrad/ BS HRM</t>
  </si>
  <si>
    <t>34-6673684-7</t>
  </si>
  <si>
    <t>02-026887539-6</t>
  </si>
  <si>
    <t>1211-9675-9089</t>
  </si>
  <si>
    <t>488-542-294</t>
  </si>
  <si>
    <t>Romulo B. Jocson/Father/9292102024</t>
  </si>
  <si>
    <t>Capinig</t>
  </si>
  <si>
    <t>Tyron</t>
  </si>
  <si>
    <t>Serdeña</t>
  </si>
  <si>
    <t>361 Tenement Bldg.</t>
  </si>
  <si>
    <t>HS Grad/ NCII in Cookery</t>
  </si>
  <si>
    <t>34-6055166-2</t>
  </si>
  <si>
    <t>09-251245992-9</t>
  </si>
  <si>
    <t>1211-6845-0499</t>
  </si>
  <si>
    <t>330-429-266</t>
  </si>
  <si>
    <t>Norlinnda Capinig/Mother-09298197894</t>
  </si>
  <si>
    <t>Sudden resignation</t>
  </si>
  <si>
    <t>Mark Josua</t>
  </si>
  <si>
    <t>Valerio</t>
  </si>
  <si>
    <t>2800 Vergal Extension, Cabrera</t>
  </si>
  <si>
    <t>Lucena City</t>
  </si>
  <si>
    <r>
      <rPr>
        <rFont val="Arial"/>
        <color rgb="FF777777"/>
        <sz val="9.0"/>
      </rPr>
      <t> </t>
    </r>
    <r>
      <rPr>
        <rFont val="MS Shell Dlg 2"/>
        <color rgb="FF000000"/>
        <sz val="9.0"/>
      </rPr>
      <t>04-2755995-6</t>
    </r>
  </si>
  <si>
    <t>08-051309090-4</t>
  </si>
  <si>
    <t>1210-9418-6223</t>
  </si>
  <si>
    <t>437-855-060</t>
  </si>
  <si>
    <t>Twyla Orlinga/Friend/09306637700</t>
  </si>
  <si>
    <t>Resigned/ Had conflict with His coworker</t>
  </si>
  <si>
    <t>Mariel</t>
  </si>
  <si>
    <t>Natad</t>
  </si>
  <si>
    <t>10 Everlasting St. Peter St. Maricaban,</t>
  </si>
  <si>
    <t>34-6839500-8</t>
  </si>
  <si>
    <t>05-251590488-3</t>
  </si>
  <si>
    <t>1212-0166-0857</t>
  </si>
  <si>
    <t>501-766-829</t>
  </si>
  <si>
    <t>Mary Jane Bautista/Sister/9754178722</t>
  </si>
  <si>
    <t>Resigned-Want to explore</t>
  </si>
  <si>
    <t>Tumbaga</t>
  </si>
  <si>
    <t>Sarah Jane</t>
  </si>
  <si>
    <t>Mercene</t>
  </si>
  <si>
    <t xml:space="preserve">#621 E De Guzman Street Malibay </t>
  </si>
  <si>
    <t>2nd Street Liwayway Village Lalig Tiaong Quezon</t>
  </si>
  <si>
    <t>34-1725814-1</t>
  </si>
  <si>
    <t>01-025576717-3</t>
  </si>
  <si>
    <t>1210-9314-7368</t>
  </si>
  <si>
    <t>280-209-395</t>
  </si>
  <si>
    <t>Jhosreal Wish M. Tumbaga</t>
  </si>
  <si>
    <t>Leo Mercene/Father-0932-4350550</t>
  </si>
  <si>
    <t>Resigned-explore more opportunities</t>
  </si>
  <si>
    <t>Deri</t>
  </si>
  <si>
    <t>Nanea</t>
  </si>
  <si>
    <t>FDA/Dispacher</t>
  </si>
  <si>
    <t>B5, LOT39 Istana Subdivision</t>
  </si>
  <si>
    <t>Quezon Province</t>
  </si>
  <si>
    <t>34-6190887-4</t>
  </si>
  <si>
    <t>08-0261766195</t>
  </si>
  <si>
    <t>1211-7761-7284</t>
  </si>
  <si>
    <t>Prince Solace D. Deri</t>
  </si>
  <si>
    <t>Grace N. Deri/ Mother -09491786862</t>
  </si>
  <si>
    <t>Nasol</t>
  </si>
  <si>
    <t>Chomar</t>
  </si>
  <si>
    <t>Paraiso</t>
  </si>
  <si>
    <t>7th Ave. Gracepark Caloocan City</t>
  </si>
  <si>
    <t>Caloocan City</t>
  </si>
  <si>
    <t>San Agustin, Caranggalan Nueva Ecija</t>
  </si>
  <si>
    <t>2 yrs vocational / general electricity</t>
  </si>
  <si>
    <t>01-2061193-9</t>
  </si>
  <si>
    <t>04-050129475-8</t>
  </si>
  <si>
    <t>1210-5546-8856</t>
  </si>
  <si>
    <t>451-669-563</t>
  </si>
  <si>
    <t>Maricar Nasol - May 25, 1991 /  Queen Efauline Nasol - 06/28/2012</t>
  </si>
  <si>
    <t>Aileen Paraiso/Aunt-09050832709</t>
  </si>
  <si>
    <t>Resigned-Will go back to province</t>
  </si>
  <si>
    <t xml:space="preserve">07 31 2019 </t>
  </si>
  <si>
    <t>879 Narra St. Santa Clara</t>
  </si>
  <si>
    <t>Aeronotics Engineering/Undergrad</t>
  </si>
  <si>
    <t>33-5885773-7</t>
  </si>
  <si>
    <t>03-050299365-4</t>
  </si>
  <si>
    <t>1210-7144-5720</t>
  </si>
  <si>
    <t>236-225-333</t>
  </si>
  <si>
    <t>Rowena Dela Cruz/Sister/ 09338579502</t>
  </si>
  <si>
    <t>End of Contact</t>
  </si>
  <si>
    <t>Orzal</t>
  </si>
  <si>
    <t>Rex Ryan</t>
  </si>
  <si>
    <t>Sabornido</t>
  </si>
  <si>
    <t>21B Brgy. Malinao</t>
  </si>
  <si>
    <t>Pasig City</t>
  </si>
  <si>
    <t>Talahid, Almeria, Biliran</t>
  </si>
  <si>
    <t>06-4301423-3</t>
  </si>
  <si>
    <t>03-026456874-5</t>
  </si>
  <si>
    <t>1212-5437-9039</t>
  </si>
  <si>
    <t>360-907-775</t>
  </si>
  <si>
    <t>Josephine Orzal/09975419609</t>
  </si>
  <si>
    <t>Base</t>
  </si>
  <si>
    <t>Blk. 2 Lot 11 Sambakay Kalayaan Pasay City</t>
  </si>
  <si>
    <t>Tacas, Pontevedra Capiz</t>
  </si>
  <si>
    <t>34-0106424-4</t>
  </si>
  <si>
    <t>01-051360242-7</t>
  </si>
  <si>
    <t>1040-0197-4780</t>
  </si>
  <si>
    <t>283-092-633</t>
  </si>
  <si>
    <t>1. Francis Jay Salibio Mendoza - 4/17/2008, 2. Franc Joshua S. - 3/28/2010</t>
  </si>
  <si>
    <t>Jelyn S. Mendoza/ Sister - 09092902380</t>
  </si>
  <si>
    <t>Resigned/Had suspensions he can't accept</t>
  </si>
  <si>
    <t>Sale</t>
  </si>
  <si>
    <t>Jaycee</t>
  </si>
  <si>
    <t>Pacate</t>
  </si>
  <si>
    <t>1D Camachili St. Purok 4 Lower Bicutan</t>
  </si>
  <si>
    <t>Bulala, Camarines Norte</t>
  </si>
  <si>
    <t>BS Industrial Technoogy/4 yrs gard.</t>
  </si>
  <si>
    <t>34-6297461-6</t>
  </si>
  <si>
    <t>10-250801072-6</t>
  </si>
  <si>
    <t>1211-8380-4728</t>
  </si>
  <si>
    <t>340-025-877</t>
  </si>
  <si>
    <t>Aguinaldo</t>
  </si>
  <si>
    <t>Yadao</t>
  </si>
  <si>
    <t>Sabeniano</t>
  </si>
  <si>
    <t>Rabacal</t>
  </si>
  <si>
    <t>173 M.Tengco St. Malibay Pasay City</t>
  </si>
  <si>
    <t>Camrines Sur</t>
  </si>
  <si>
    <t>4 yrs grad./BS. INDUSTRIAL TECHNOLOGY</t>
  </si>
  <si>
    <t>34-7235371-9</t>
  </si>
  <si>
    <t>10-250983648-2</t>
  </si>
  <si>
    <t>1212-1495-9081</t>
  </si>
  <si>
    <t>343-215-977</t>
  </si>
  <si>
    <t>Rey L. Sabeniano / Father - 09283168614</t>
  </si>
  <si>
    <t>Resigned/Will go to province due to COVID 19 pandemic</t>
  </si>
  <si>
    <t>Michael Angelou</t>
  </si>
  <si>
    <t>Unit C San Felipe St. San Antonio Valley 2 Parañaque City</t>
  </si>
  <si>
    <t>Abucayan, Balamban Cebu</t>
  </si>
  <si>
    <t>4 Years Grad. / BS MT</t>
  </si>
  <si>
    <t>06-3021873-8</t>
  </si>
  <si>
    <t>0202-6932-7694</t>
  </si>
  <si>
    <t>1212-0329-1024</t>
  </si>
  <si>
    <t>411-687-057</t>
  </si>
  <si>
    <t>Luzviminda Gildo /  Mother - 09295437739</t>
  </si>
  <si>
    <t>Resigned/Will work abroad</t>
  </si>
  <si>
    <t>Baleña</t>
  </si>
  <si>
    <t>Giselle</t>
  </si>
  <si>
    <t>Casiñas</t>
  </si>
  <si>
    <t>2450 Rubi Street San Andres Bukid</t>
  </si>
  <si>
    <t>Brgy. Salvacion, Bobon Northern Samar</t>
  </si>
  <si>
    <t>06-4202065-5</t>
  </si>
  <si>
    <t>13-251067175-2</t>
  </si>
  <si>
    <t>1212-3864-6966</t>
  </si>
  <si>
    <t>353-588-644</t>
  </si>
  <si>
    <t>Gloria M. Casiñas/Aunt-09081046339</t>
  </si>
  <si>
    <t>Resigned/COVID--19 pandemic-stay in the province</t>
  </si>
  <si>
    <t>Marvina Mae</t>
  </si>
  <si>
    <t>Mandril</t>
  </si>
  <si>
    <t>051 C Gawaran St.Digman Bacoor</t>
  </si>
  <si>
    <t>BS Accountancy - 5 years Graduate</t>
  </si>
  <si>
    <t>34-5300142-0</t>
  </si>
  <si>
    <t>08-250111559-9</t>
  </si>
  <si>
    <t>1212-6134-6023</t>
  </si>
  <si>
    <t>755-670-021</t>
  </si>
  <si>
    <t>Iris Marie Castillo/ sister/9369201544</t>
  </si>
  <si>
    <t>10 05 019</t>
  </si>
  <si>
    <t>Block 5, Lot 21, Salinas Vile II, Bacoor</t>
  </si>
  <si>
    <t>Purok 6, Abaca, Mabini, Bohol</t>
  </si>
  <si>
    <t>4 yrs Graduate/ BS HRST</t>
  </si>
  <si>
    <t>Jodalyn Rillorta/sister/9331913888</t>
  </si>
  <si>
    <t>Fadrilan</t>
  </si>
  <si>
    <t>Alexander Lee</t>
  </si>
  <si>
    <t>Jarana</t>
  </si>
  <si>
    <t>163 Hernandez St. Catmon</t>
  </si>
  <si>
    <t>Malabon</t>
  </si>
  <si>
    <t>Blk. 59 Lt. 26 Ph. 6 Punta I, Carissa Home, Tanza Cavite</t>
  </si>
  <si>
    <t>34-6476897-2</t>
  </si>
  <si>
    <t>08-026228729-0</t>
  </si>
  <si>
    <t>1211-8991-4109</t>
  </si>
  <si>
    <t>494-974-693</t>
  </si>
  <si>
    <t>Jean Fadrilan/Mother/09488146158</t>
  </si>
  <si>
    <t>Galero</t>
  </si>
  <si>
    <t>Jessa</t>
  </si>
  <si>
    <t>Madera</t>
  </si>
  <si>
    <t>Blk. 17 Lot 41, Yellowbell St. Greenbreeze Village, Langkaan, Dasma</t>
  </si>
  <si>
    <t>Cagayan De Oro, Misamis Oriental</t>
  </si>
  <si>
    <t>08-2955087-0</t>
  </si>
  <si>
    <t>15-050496556-4</t>
  </si>
  <si>
    <t>1212-5140-7582</t>
  </si>
  <si>
    <t>754-979-780</t>
  </si>
  <si>
    <t>Carlito G. Galero Sr. /Father/9265641782</t>
  </si>
  <si>
    <t>Ulanday</t>
  </si>
  <si>
    <t>Ericka Rochelle</t>
  </si>
  <si>
    <t>2703-Q Hembrador St. Cabrera</t>
  </si>
  <si>
    <t>14 Rd.2 Doña Vicente Vill, Davao City</t>
  </si>
  <si>
    <t>4 yrs Graduate/ B. S Marine Transportation</t>
  </si>
  <si>
    <t>09-4334072-0</t>
  </si>
  <si>
    <t>16-025782220-3</t>
  </si>
  <si>
    <t>1212-1357-5318</t>
  </si>
  <si>
    <t>753-514-134</t>
  </si>
  <si>
    <t>Ella Rose Ulanday/Sister/9068005448</t>
  </si>
  <si>
    <t>Lizare</t>
  </si>
  <si>
    <t>Jolina</t>
  </si>
  <si>
    <t>Maquilang</t>
  </si>
  <si>
    <t xml:space="preserve">L9C Buencamino Compound Dona Manuela Sub. Cadena De Amor </t>
  </si>
  <si>
    <t>Las Piñas</t>
  </si>
  <si>
    <t>Southern Leyte</t>
  </si>
  <si>
    <t xml:space="preserve">4 yrs Graduate/ B. S in Hotel, Restaurant and Tourism Mngt. </t>
  </si>
  <si>
    <t>06-4325277-8</t>
  </si>
  <si>
    <t>01-026518735-3</t>
  </si>
  <si>
    <t>1212-5827-8429</t>
  </si>
  <si>
    <t>726-018-672</t>
  </si>
  <si>
    <t>Rezel Aves/Cousin/9168861150</t>
  </si>
  <si>
    <t>Niog</t>
  </si>
  <si>
    <t xml:space="preserve">Christina Marie </t>
  </si>
  <si>
    <t xml:space="preserve">Baluran </t>
  </si>
  <si>
    <t xml:space="preserve">4B Eda St. Jakarta Northwest </t>
  </si>
  <si>
    <t>Paranaque</t>
  </si>
  <si>
    <t>34-8747351-6</t>
  </si>
  <si>
    <t>13-252627960-7</t>
  </si>
  <si>
    <t>1212-5828-3837</t>
  </si>
  <si>
    <t>726-244-480</t>
  </si>
  <si>
    <t>Cleofe B. Niog/Mother/9157629866</t>
  </si>
  <si>
    <t xml:space="preserve">Edicto </t>
  </si>
  <si>
    <t>Bermoy</t>
  </si>
  <si>
    <t>008 Okra St. Evergreen Homes, Pulang Lupa 1</t>
  </si>
  <si>
    <t>geraldedicto@yahoo.com</t>
  </si>
  <si>
    <t>4 yrs Gradduate/Marine Engineering</t>
  </si>
  <si>
    <t xml:space="preserve">06-3840544-6 </t>
  </si>
  <si>
    <t>01-026515463-3</t>
  </si>
  <si>
    <t>1212-6014-5844</t>
  </si>
  <si>
    <t>361-702-048</t>
  </si>
  <si>
    <t>Liza B. Edicto/Mother/9354986932</t>
  </si>
  <si>
    <t xml:space="preserve">Neil Amiel </t>
  </si>
  <si>
    <t xml:space="preserve">10 18 2019 </t>
  </si>
  <si>
    <t>Type B NBP Reservation Poblacion</t>
  </si>
  <si>
    <t>Muntinlupa</t>
  </si>
  <si>
    <t>Alfonso, Cavite</t>
  </si>
  <si>
    <t>neilamiel082392@gmail.com</t>
  </si>
  <si>
    <t>Paz E. Tibayan/Mother/09989030583</t>
  </si>
  <si>
    <t>Nocete</t>
  </si>
  <si>
    <t>Jhunel</t>
  </si>
  <si>
    <t>Sapo</t>
  </si>
  <si>
    <t xml:space="preserve">351 E-P Bernal Ugong </t>
  </si>
  <si>
    <t>194 Sto. Domingo St. Ubaliw, Polangui, Albay</t>
  </si>
  <si>
    <t>jhunelnocete23@gmail.com</t>
  </si>
  <si>
    <t>05-0995343-8</t>
  </si>
  <si>
    <t>01-051084959-6</t>
  </si>
  <si>
    <t>1210-8398-1174</t>
  </si>
  <si>
    <t>306-632-191</t>
  </si>
  <si>
    <t>Marissa Sanao/Partner/09454359515</t>
  </si>
  <si>
    <t xml:space="preserve">Melinda </t>
  </si>
  <si>
    <t>Nario</t>
  </si>
  <si>
    <t>498 Pagkakaisa St, Habay I, Bacoor</t>
  </si>
  <si>
    <t>4 yrs graduate/B.S Tourism</t>
  </si>
  <si>
    <t>34-8321260-3</t>
  </si>
  <si>
    <t>08-250150309-2</t>
  </si>
  <si>
    <t>1212-4734-2698</t>
  </si>
  <si>
    <t>359-883-238</t>
  </si>
  <si>
    <t>Amelia San Juan/Mother/9358201070</t>
  </si>
  <si>
    <t>Resigned/Needs work-hotel is still not operating</t>
  </si>
  <si>
    <t>Atacador</t>
  </si>
  <si>
    <t>Jose Jr.</t>
  </si>
  <si>
    <t>Bulk Property Custodian</t>
  </si>
  <si>
    <t>239 Reparo Road Baesa</t>
  </si>
  <si>
    <t>jcatacador18@gmail.com</t>
  </si>
  <si>
    <t>BSN - Under Grad/Vocational - Housekepping</t>
  </si>
  <si>
    <t>33-6842712-8</t>
  </si>
  <si>
    <t>02-050053837-7</t>
  </si>
  <si>
    <t>1210-2077-6080</t>
  </si>
  <si>
    <t>214-962-290</t>
  </si>
  <si>
    <t>Eden Arcillas/09493730922</t>
  </si>
  <si>
    <t>Zuñiga</t>
  </si>
  <si>
    <t>Charlotte Jay</t>
  </si>
  <si>
    <t>Cabuenas</t>
  </si>
  <si>
    <t>Admin Assistant</t>
  </si>
  <si>
    <t>9668 San Pacrasio St.,SAV-I, Sucat</t>
  </si>
  <si>
    <t>zunigacha@gmail.com</t>
  </si>
  <si>
    <t>34-5949483-7</t>
  </si>
  <si>
    <t>01-025970378-1</t>
  </si>
  <si>
    <t>1211-7168-6801</t>
  </si>
  <si>
    <t>328-769-974</t>
  </si>
  <si>
    <t>Rose Tessie Zuñiga/Mother - 0912-2212460</t>
  </si>
  <si>
    <t>Edec</t>
  </si>
  <si>
    <t>Menandro</t>
  </si>
  <si>
    <t>Gardener/Pool Attendant</t>
  </si>
  <si>
    <t>Highway Dayap, Calauan</t>
  </si>
  <si>
    <t xml:space="preserve"> Laguna</t>
  </si>
  <si>
    <t>menandro16@gmail.com</t>
  </si>
  <si>
    <t>04-3491890-4</t>
  </si>
  <si>
    <t>01-051116315-9</t>
  </si>
  <si>
    <t>1040-0171-0808</t>
  </si>
  <si>
    <t>273-713-696</t>
  </si>
  <si>
    <t>1. Mark Wilson Pillosis Edec - 12/5/2006, 2. Kevin P. - 3/19/2011</t>
  </si>
  <si>
    <t>Ruth Edec-0939-8214523</t>
  </si>
  <si>
    <t>Maravilla</t>
  </si>
  <si>
    <t>Rodegelio</t>
  </si>
  <si>
    <t>Patricio</t>
  </si>
  <si>
    <t>20 Silangang Compd. Zapote 5 Longos</t>
  </si>
  <si>
    <t>Bacoor Cavite</t>
  </si>
  <si>
    <t>Abar IST, Zone 7-A San Jose City Nueva Ecija</t>
  </si>
  <si>
    <t>926 145 3879</t>
  </si>
  <si>
    <t>dhelmaravilla@gmail.com</t>
  </si>
  <si>
    <t>34-2740135-7</t>
  </si>
  <si>
    <t>01-051203587-1</t>
  </si>
  <si>
    <t>1210-2117-9102</t>
  </si>
  <si>
    <t>311-459-587</t>
  </si>
  <si>
    <t xml:space="preserve">Juvilyn Beronilia (Sister) </t>
  </si>
  <si>
    <t>Lambayan</t>
  </si>
  <si>
    <t>Melgen</t>
  </si>
  <si>
    <t>Blk 11 Lot 9 Greenpark Villas 2, Malagasang II-C, Imus</t>
  </si>
  <si>
    <t>A-104 Nia Road Brgy. Pinyahan Quezon City</t>
  </si>
  <si>
    <t>lambayan.melge@gmail.com</t>
  </si>
  <si>
    <t>4 yrs Grad/ BSBA</t>
  </si>
  <si>
    <t>34-4367887-6</t>
  </si>
  <si>
    <t>01-051877511-7</t>
  </si>
  <si>
    <t>1211-1757-2653</t>
  </si>
  <si>
    <t>317-217-725</t>
  </si>
  <si>
    <t>Rosita Lambayan/Mother/9352485904</t>
  </si>
  <si>
    <t>Manallo</t>
  </si>
  <si>
    <t>Jennie</t>
  </si>
  <si>
    <t>Pabustan</t>
  </si>
  <si>
    <t>122 Primero de Mayo St. Pasay City</t>
  </si>
  <si>
    <t>619 CT Mandap Ave. San Isidro Minalin, Pampanga</t>
  </si>
  <si>
    <t>pabustanjennie@yahoo.com</t>
  </si>
  <si>
    <t>Commerce/Under Grad</t>
  </si>
  <si>
    <t>02-2453727-8</t>
  </si>
  <si>
    <t>01-050856148-8</t>
  </si>
  <si>
    <t>1090-0047-6587</t>
  </si>
  <si>
    <t>101-012-022</t>
  </si>
  <si>
    <t>Sunny Manallo/09305464343 or Aurelio Pabustan/09106932679</t>
  </si>
  <si>
    <t>Resgned</t>
  </si>
  <si>
    <t>Orensi</t>
  </si>
  <si>
    <t>Diomel</t>
  </si>
  <si>
    <t>Internal Auditor</t>
  </si>
  <si>
    <t>1671 Dian St. Brgy San Isidro</t>
  </si>
  <si>
    <t>Concepcion Banahaw Sariaya, Quezon</t>
  </si>
  <si>
    <t>diomel.orensi@gmail.com</t>
  </si>
  <si>
    <t>BS Accountancy - Bachelors Graduate</t>
  </si>
  <si>
    <t>04-4047629-4</t>
  </si>
  <si>
    <t>08-252754538-9</t>
  </si>
  <si>
    <t>1212-2450-5288</t>
  </si>
  <si>
    <t>346-128-543</t>
  </si>
  <si>
    <t>Diosdado M. Orensi/Father-09068784826</t>
  </si>
  <si>
    <t>117 Sitio Mendez, Baesa</t>
  </si>
  <si>
    <t>zairilmoreno3@gmail.com</t>
  </si>
  <si>
    <t>Handayan</t>
  </si>
  <si>
    <t>Serdan</t>
  </si>
  <si>
    <t>Maintenance Carpenter</t>
  </si>
  <si>
    <t xml:space="preserve">2867 Zamora St. San Roque </t>
  </si>
  <si>
    <t>Lingig, Surigao Del Sur</t>
  </si>
  <si>
    <t>robertohandayan15@yahoo.com</t>
  </si>
  <si>
    <t>09-0820858-0</t>
  </si>
  <si>
    <t>01-051807792-4</t>
  </si>
  <si>
    <t>1210-3984-6874</t>
  </si>
  <si>
    <t>319-778-863</t>
  </si>
  <si>
    <t>Engr. Frederico Lumabas/ Cousin</t>
  </si>
  <si>
    <t>Ricanor</t>
  </si>
  <si>
    <t>Aum</t>
  </si>
  <si>
    <t>Maintenace Helper</t>
  </si>
  <si>
    <t>1858 Oro-B Sta. Ana, brgy 770</t>
  </si>
  <si>
    <t>Pangasinan</t>
  </si>
  <si>
    <t>ricanormiranda@gmail.com</t>
  </si>
  <si>
    <t>Under Grad (High School)</t>
  </si>
  <si>
    <t>02-1329374-3</t>
  </si>
  <si>
    <t>01-051811802-7</t>
  </si>
  <si>
    <t>1211-7959-8567</t>
  </si>
  <si>
    <t>331-079-601</t>
  </si>
  <si>
    <t>Marites Berona/Sister-0910-7990762</t>
  </si>
  <si>
    <t>Erato</t>
  </si>
  <si>
    <t>Manuel Jr.</t>
  </si>
  <si>
    <t>Dejito</t>
  </si>
  <si>
    <t>10-A Padilla St., P6A Lower Bicutan</t>
  </si>
  <si>
    <t>San Jacinto Mon Real, Masbate</t>
  </si>
  <si>
    <t>juniorerato@yahoo.com</t>
  </si>
  <si>
    <t>Elementary</t>
  </si>
  <si>
    <t>03-6220905-7</t>
  </si>
  <si>
    <t>01-051911138-7</t>
  </si>
  <si>
    <t>1211-2657-8891</t>
  </si>
  <si>
    <t>138-191-754</t>
  </si>
  <si>
    <t>Marrieta Erato/wife-0910-6031948</t>
  </si>
  <si>
    <t>Abion</t>
  </si>
  <si>
    <t>Abocado</t>
  </si>
  <si>
    <t>Stock Custodian Trainee</t>
  </si>
  <si>
    <t xml:space="preserve">2112 San Fernando Street, Brgy. 49, </t>
  </si>
  <si>
    <t>Brgy. 63 Mariawa, Legazpi City, Albay</t>
  </si>
  <si>
    <t>jonathanabion08@gmail.com</t>
  </si>
  <si>
    <t>05-0828261-8</t>
  </si>
  <si>
    <t>10-025152882-3</t>
  </si>
  <si>
    <t>1210-8989-1630</t>
  </si>
  <si>
    <t>271-711-612</t>
  </si>
  <si>
    <t>Retrenched-COVID-19 pandemic</t>
  </si>
  <si>
    <t>Quillopas</t>
  </si>
  <si>
    <t>Rienild</t>
  </si>
  <si>
    <t>Fabroa</t>
  </si>
  <si>
    <t>211 F. Cruz Malibay</t>
  </si>
  <si>
    <t>508 Bonifacio St. Marvel Isabel, Leyte</t>
  </si>
  <si>
    <t>Quillopasrienild@gmail.com</t>
  </si>
  <si>
    <t>4 years Graduate/BS Tourism</t>
  </si>
  <si>
    <t>34-7856336-7</t>
  </si>
  <si>
    <t>1212-3580-3494</t>
  </si>
  <si>
    <t>353-592-119</t>
  </si>
  <si>
    <t>Rochelle Lyn Coronado/ Gf-09368011143</t>
  </si>
  <si>
    <t>Nantes</t>
  </si>
  <si>
    <t>Daniel</t>
  </si>
  <si>
    <t>Cuadra</t>
  </si>
  <si>
    <t>2643 Zamora Street Barangay 97</t>
  </si>
  <si>
    <t>Zone 3, Brgy. San Antonio Tigaon, Camarines Sur</t>
  </si>
  <si>
    <t>dnantes922@gmail.com</t>
  </si>
  <si>
    <t>4yrs Graduate/ BS Food Tech.</t>
  </si>
  <si>
    <t>05-1325748-9</t>
  </si>
  <si>
    <t>08-051545576-4</t>
  </si>
  <si>
    <t>1211-7619-2192</t>
  </si>
  <si>
    <t>356-139-231</t>
  </si>
  <si>
    <t>Angel Nantes/ Father-09109754028</t>
  </si>
  <si>
    <t>Biacan</t>
  </si>
  <si>
    <t>Raymart</t>
  </si>
  <si>
    <t>Romero</t>
  </si>
  <si>
    <t>0207 Tabon Pulilan</t>
  </si>
  <si>
    <t>biacanr0@gmail.com</t>
  </si>
  <si>
    <t>4 yrs Graduate/ BSBA</t>
  </si>
  <si>
    <t>34-5304003-8</t>
  </si>
  <si>
    <t>21-050215038-8</t>
  </si>
  <si>
    <t>1211-5545-2220</t>
  </si>
  <si>
    <t>325-647-218</t>
  </si>
  <si>
    <t>Pantolliano</t>
  </si>
  <si>
    <t xml:space="preserve">Jomark </t>
  </si>
  <si>
    <t>Dela Torre</t>
  </si>
  <si>
    <t>Cook Helper/Marketing</t>
  </si>
  <si>
    <t>0430 Ilang-ilang St., Greenheights, Matatdo Homes</t>
  </si>
  <si>
    <t>jomarkpantolliano1426@gmail.com</t>
  </si>
  <si>
    <t>Voc. Grad./HRS NC II Cookery</t>
  </si>
  <si>
    <t>34-5941089-5</t>
  </si>
  <si>
    <t>01-025957886-3</t>
  </si>
  <si>
    <t>1211-7183-4103</t>
  </si>
  <si>
    <t>329-836-044</t>
  </si>
  <si>
    <t>Edna Pantolliano/mother - 0928-7510230</t>
  </si>
  <si>
    <t>Maglalang</t>
  </si>
  <si>
    <t>Eslaban</t>
  </si>
  <si>
    <t>Cook Helper</t>
  </si>
  <si>
    <t>Blk. 7 lot 17 Ciudad Adelina Brgy. Conchu</t>
  </si>
  <si>
    <t>Trece Martires, Cavite</t>
  </si>
  <si>
    <t>maglalang.nayr@gmail.com</t>
  </si>
  <si>
    <t>1st year undergraduate /BS Computer Engineering</t>
  </si>
  <si>
    <t>34-1634003-4</t>
  </si>
  <si>
    <t>08-051052009-6</t>
  </si>
  <si>
    <t>1210-0630-3751</t>
  </si>
  <si>
    <t>440-158-894</t>
  </si>
  <si>
    <t>Anabelle Eslaban/Grandmother/09977888694</t>
  </si>
  <si>
    <t>Teodoro Jr.</t>
  </si>
  <si>
    <t>249 Medicion IIB, Imus City</t>
  </si>
  <si>
    <t>Jose Villar/ 09154715002</t>
  </si>
  <si>
    <t>Joshua</t>
  </si>
  <si>
    <t>Rico</t>
  </si>
  <si>
    <t>Hamilton Blk 21 Lot 6</t>
  </si>
  <si>
    <t>Imus Cavite</t>
  </si>
  <si>
    <t>Purok 3, Tagbaya, Ibajay, Aklan</t>
  </si>
  <si>
    <t>joshgaara30@gmail.com</t>
  </si>
  <si>
    <t>BS Tourism/Graduate</t>
  </si>
  <si>
    <t>07-3674168-8</t>
  </si>
  <si>
    <t>02-026926882-5</t>
  </si>
  <si>
    <t>1212-0344-6421</t>
  </si>
  <si>
    <t>345-479-849</t>
  </si>
  <si>
    <t>Neil Gariel Gubaton / Cousin-09776769780</t>
  </si>
  <si>
    <t>Homer</t>
  </si>
  <si>
    <t>Paras</t>
  </si>
  <si>
    <t>FDA (Reliever)</t>
  </si>
  <si>
    <t>1489 Dagupan Extension Tayuman Tondo, Manila</t>
  </si>
  <si>
    <t>466 Sitio Mandap, San Isidro, Minalin, Pampanga</t>
  </si>
  <si>
    <t>akosihomer13@gmail.com</t>
  </si>
  <si>
    <t>Under Grad Cool.-computer Tech.</t>
  </si>
  <si>
    <t>02-3963964-0</t>
  </si>
  <si>
    <t>07-025763625-7</t>
  </si>
  <si>
    <t>1211-6167-6145</t>
  </si>
  <si>
    <t>327-885-028</t>
  </si>
  <si>
    <t>Angelita Laxina/Mother-0917-3960934</t>
  </si>
  <si>
    <t>09 Yanga Street Tinajeros</t>
  </si>
  <si>
    <t>4 yrs Grad./ BS Hospitality Management</t>
  </si>
  <si>
    <t>Eluteria Llemit/</t>
  </si>
  <si>
    <t>Jason</t>
  </si>
  <si>
    <t>Buquiran</t>
  </si>
  <si>
    <t>1815 Agoncillo St Remedios, Malate</t>
  </si>
  <si>
    <t>Brgy. Milibili Urban, Mary's land St.,Roxas City, Capiz</t>
  </si>
  <si>
    <t>manalotto1212@gmail.com</t>
  </si>
  <si>
    <t>07-3947327-0</t>
  </si>
  <si>
    <t>01-026523267-7</t>
  </si>
  <si>
    <t>1212-5100-4223</t>
  </si>
  <si>
    <t>751-729-340</t>
  </si>
  <si>
    <t>Shiela Alvarez/Mother/9468979841</t>
  </si>
  <si>
    <t>Benitez</t>
  </si>
  <si>
    <t>John Mark</t>
  </si>
  <si>
    <t>Pelit</t>
  </si>
  <si>
    <t>45 Halcon 1 St., Dapitan</t>
  </si>
  <si>
    <t>Yespogi1013@gmail.com</t>
  </si>
  <si>
    <t>34-6015202-9</t>
  </si>
  <si>
    <t>03-250941269-2</t>
  </si>
  <si>
    <t>1211-7434-2260</t>
  </si>
  <si>
    <t>329-618-251</t>
  </si>
  <si>
    <t>Monteiro</t>
  </si>
  <si>
    <t>Kenneth</t>
  </si>
  <si>
    <t>1348 Prudencio St. Sampaloc</t>
  </si>
  <si>
    <t>Monteirokenneth1709@gmail.com</t>
  </si>
  <si>
    <t>34-3525082-0</t>
  </si>
  <si>
    <t>02-026619369-7</t>
  </si>
  <si>
    <t>1211-5954-8312</t>
  </si>
  <si>
    <t>324-562-980</t>
  </si>
  <si>
    <t>Liezel Monteiro/Mother/9975891673</t>
  </si>
  <si>
    <t>Balubar</t>
  </si>
  <si>
    <t>Cris Jhon</t>
  </si>
  <si>
    <t>Villamor</t>
  </si>
  <si>
    <t>1137 Zapanta St. Malate</t>
  </si>
  <si>
    <t>Z-4 Bitano Legazpi City</t>
  </si>
  <si>
    <t>chrisjohnbalubar@gmail.com</t>
  </si>
  <si>
    <t>4 yrs. Graduate/ BS Education major in MAPEH</t>
  </si>
  <si>
    <t>34-7495434-9</t>
  </si>
  <si>
    <t>02-027158399-1</t>
  </si>
  <si>
    <t>1212-3721-4708</t>
  </si>
  <si>
    <t>351-979-397</t>
  </si>
  <si>
    <t>Crissa Balubar/Sister/9458996267</t>
  </si>
  <si>
    <t>Cuevas</t>
  </si>
  <si>
    <t>Michael John</t>
  </si>
  <si>
    <t>3334 San Jose St. Bgry. 428 Sampaloc</t>
  </si>
  <si>
    <t>Mjohncuevas@gmail.com</t>
  </si>
  <si>
    <t>34-6769177-4</t>
  </si>
  <si>
    <t>21-251704655-5</t>
  </si>
  <si>
    <t>1211-9936-4458</t>
  </si>
  <si>
    <t>340-997-108</t>
  </si>
  <si>
    <t>Lorna Cuevas/Mother/9067371848</t>
  </si>
  <si>
    <t>Maranan</t>
  </si>
  <si>
    <t>Reymart</t>
  </si>
  <si>
    <t>Ilao</t>
  </si>
  <si>
    <t>2030 Dominga St. Brgy. 47</t>
  </si>
  <si>
    <t>285 Bilogo, Taysan Batangas</t>
  </si>
  <si>
    <t>marananreymart17@gmail.com</t>
  </si>
  <si>
    <t>04-4102100-4</t>
  </si>
  <si>
    <t>09-025626259-1</t>
  </si>
  <si>
    <t>1212-2948-0881</t>
  </si>
  <si>
    <t>347-959-421</t>
  </si>
  <si>
    <t>Monica Maranan/Mother/9975297135</t>
  </si>
  <si>
    <t>Vitto</t>
  </si>
  <si>
    <t>Alberto</t>
  </si>
  <si>
    <t>Justiniano</t>
  </si>
  <si>
    <t xml:space="preserve">03 07 2020 </t>
  </si>
  <si>
    <t>2218-C J Vizcarra Baclaran</t>
  </si>
  <si>
    <t>albertjvitto@gmail.com</t>
  </si>
  <si>
    <t>4 yrs Graduate/BS MARE</t>
  </si>
  <si>
    <t>02-026538956-3</t>
  </si>
  <si>
    <t>1211-4511-2429</t>
  </si>
  <si>
    <t>500-264-310</t>
  </si>
  <si>
    <t>Dino Nepomuceno/God Father/9085173950</t>
  </si>
  <si>
    <t>Caseres</t>
  </si>
  <si>
    <t>Christyl Vianca</t>
  </si>
  <si>
    <t>Nionez</t>
  </si>
  <si>
    <t>33 Kabulusan 2</t>
  </si>
  <si>
    <t>A. Mabini Ext. Brgy. Opias Sitio Luad, Tayabas, Quezon Province</t>
  </si>
  <si>
    <t>christylcaseresv@gmail.com</t>
  </si>
  <si>
    <t xml:space="preserve">4 yrs Graduate/ B. S in Hotel and Tourism Mngt. </t>
  </si>
  <si>
    <t>34-7837692-3</t>
  </si>
  <si>
    <t>02-252319107-5</t>
  </si>
  <si>
    <t>1212-3330-0491</t>
  </si>
  <si>
    <t>362-086-775</t>
  </si>
  <si>
    <t>Lincoln Caseres/Father/9156410349</t>
  </si>
  <si>
    <t>Turan</t>
  </si>
  <si>
    <t>557 Santan St., Katipunan Village, Western Bicutan</t>
  </si>
  <si>
    <t>Taguig Ciy</t>
  </si>
  <si>
    <t>Brgy. Anahawan Bato, Leyte</t>
  </si>
  <si>
    <t>arielturan@yahoo.com</t>
  </si>
  <si>
    <t xml:space="preserve">Vocational Culinary Arts </t>
  </si>
  <si>
    <t>34-1215863-1</t>
  </si>
  <si>
    <t>01-025517596-9</t>
  </si>
  <si>
    <t>1210-9614-8455</t>
  </si>
  <si>
    <t>291-579-377</t>
  </si>
  <si>
    <t>Florydee M. Pedrasita/Cousin-0927-8524224</t>
  </si>
  <si>
    <t xml:space="preserve">Mark </t>
  </si>
  <si>
    <t>Feliciano</t>
  </si>
  <si>
    <t>2b St. Peter St. Reverville Sub. Baesa</t>
  </si>
  <si>
    <t>Bagumbayan, Tuao, Cagayan</t>
  </si>
  <si>
    <t>markaquino758@.com</t>
  </si>
  <si>
    <t>2 yrs. Undergrad/ Bachelor of Agriculture</t>
  </si>
  <si>
    <t>34-9172616-5</t>
  </si>
  <si>
    <t>03-026535894-9</t>
  </si>
  <si>
    <t>1212-6687-0334</t>
  </si>
  <si>
    <t xml:space="preserve">Roxas </t>
  </si>
  <si>
    <t xml:space="preserve">Nestor Jr. </t>
  </si>
  <si>
    <t>Renoman</t>
  </si>
  <si>
    <t>B-32, Brgy 157, 704 Apelo Cruz</t>
  </si>
  <si>
    <t>Balud, Masbate</t>
  </si>
  <si>
    <t>yopiproxas0714@yahoo.com</t>
  </si>
  <si>
    <t>34-2724807-3</t>
  </si>
  <si>
    <t>08-051105828-0</t>
  </si>
  <si>
    <t>1211-8769-0921</t>
  </si>
  <si>
    <t>346-428-749</t>
  </si>
  <si>
    <t>Romart Roxas/Brother09466367588</t>
  </si>
  <si>
    <t>Almarez</t>
  </si>
  <si>
    <t>Christine</t>
  </si>
  <si>
    <t>Miñeza</t>
  </si>
  <si>
    <t>Buendia</t>
  </si>
  <si>
    <t>christinealmarez1197@gmail.com</t>
  </si>
  <si>
    <t>4 yrs Grad/ BS HM</t>
  </si>
  <si>
    <t>04-4044001-3</t>
  </si>
  <si>
    <t>01-026286912-7</t>
  </si>
  <si>
    <t>1212-2214-7802</t>
  </si>
  <si>
    <t>346-172-871</t>
  </si>
  <si>
    <t>Nora Almarez/ Auntie-09568955986</t>
  </si>
  <si>
    <t>Salcedo</t>
  </si>
  <si>
    <t>Dordas</t>
  </si>
  <si>
    <t>234 V Sevilla St. 7th Ave,</t>
  </si>
  <si>
    <t>Carranglan, Nueva Ecija/ Catleya St. St Joseph Subd. Bayan Orani, Bataan</t>
  </si>
  <si>
    <t>joesalcedo09@yahoo.com</t>
  </si>
  <si>
    <t>BSAExEd/under Grad</t>
  </si>
  <si>
    <t>33-8016781-9</t>
  </si>
  <si>
    <t>01-051360271-0</t>
  </si>
  <si>
    <t>1211-0221-6842</t>
  </si>
  <si>
    <t>242-524-349</t>
  </si>
  <si>
    <t>Mrs. Violeta Rayos/3248369</t>
  </si>
  <si>
    <t>Navor</t>
  </si>
  <si>
    <t>Paolo</t>
  </si>
  <si>
    <t>285 B. Acasia Street San Miguiel,</t>
  </si>
  <si>
    <t>Paolonavor18@gmail.com</t>
  </si>
  <si>
    <t>2yrs undergraduate/Computer Engineering</t>
  </si>
  <si>
    <t>34-3649494-4</t>
  </si>
  <si>
    <t>0205-0957-4910</t>
  </si>
  <si>
    <t>1210-8084-0928</t>
  </si>
  <si>
    <t>313-260-754</t>
  </si>
  <si>
    <t>Miko</t>
  </si>
  <si>
    <t>Anino</t>
  </si>
  <si>
    <t>281 A Barcastique St. San Miguel</t>
  </si>
  <si>
    <t>mikobriones.ge2019@gmail.com</t>
  </si>
  <si>
    <t>3rd year undergrad/BS HRM</t>
  </si>
  <si>
    <t>34-6901511-2</t>
  </si>
  <si>
    <t>0202-6931-5114</t>
  </si>
  <si>
    <t>1212-0557-5342</t>
  </si>
  <si>
    <t>340-101-765</t>
  </si>
  <si>
    <t>Blk 265 Lot 7 Tupas St. Brgy. Pembo</t>
  </si>
  <si>
    <t xml:space="preserve">Makati  </t>
  </si>
  <si>
    <t>Ilosin, Sorsogon</t>
  </si>
  <si>
    <t>Annie Balaoro/Mother/09054582335</t>
  </si>
  <si>
    <t>Elisan</t>
  </si>
  <si>
    <t>Lacrete</t>
  </si>
  <si>
    <t xml:space="preserve">01 11 2020 </t>
  </si>
  <si>
    <t xml:space="preserve">59 Marmeto St. Brgy. Putatan </t>
  </si>
  <si>
    <t>Purok 6, Conception Kabasalan, Zamboanga Sibugay</t>
  </si>
  <si>
    <t>elisanjm12@gmail.com</t>
  </si>
  <si>
    <t>3 yrs. Undergrad/ Electrical Engineering Technology</t>
  </si>
  <si>
    <t>34-2104682-8</t>
  </si>
  <si>
    <t>03-050711090-4</t>
  </si>
  <si>
    <t>1210-8043-1986</t>
  </si>
  <si>
    <t xml:space="preserve"> 298-776-223</t>
  </si>
  <si>
    <t>Lorma Elisan/Mother/09362074484</t>
  </si>
  <si>
    <t>Peralta</t>
  </si>
  <si>
    <t>Bugagon</t>
  </si>
  <si>
    <t xml:space="preserve">56 Unique Plaza, Siera Madre St. </t>
  </si>
  <si>
    <t>Mandaluyong</t>
  </si>
  <si>
    <t>086 Brgy. Caturay Sur, Mangatarem, Pangasinan</t>
  </si>
  <si>
    <t>kevinperaltabugagon@gmail.com</t>
  </si>
  <si>
    <t xml:space="preserve">4 yrs. Graduate/ Hospitality Mngt. </t>
  </si>
  <si>
    <t>01-2826751-8</t>
  </si>
  <si>
    <t>04-025267102-3</t>
  </si>
  <si>
    <t>1212-3224-9356</t>
  </si>
  <si>
    <t>733-531-740</t>
  </si>
  <si>
    <t>Rollie</t>
  </si>
  <si>
    <t>Assistant Accountant II/Auditor</t>
  </si>
  <si>
    <t>017 05 2021</t>
  </si>
  <si>
    <t>40 Gen Capinpin St. Evangelista</t>
  </si>
  <si>
    <t>Calumpang, Molo, Iloilo City</t>
  </si>
  <si>
    <t>borloloy89@yahoo.com</t>
  </si>
  <si>
    <t>Evangeline De Pablo/Wife/ 09178769203</t>
  </si>
  <si>
    <t>Sigua</t>
  </si>
  <si>
    <t>Gilbert</t>
  </si>
  <si>
    <t>Lucero</t>
  </si>
  <si>
    <t xml:space="preserve">B-1 L-41, Aquarius St. San Marino </t>
  </si>
  <si>
    <t>Dasmariñas, Cavite</t>
  </si>
  <si>
    <t>Brgy. San Miguel, Mexico, Pampanga</t>
  </si>
  <si>
    <t>gilbertsigua1979@gmail.com</t>
  </si>
  <si>
    <t>Comp. Software/Vocational</t>
  </si>
  <si>
    <t>33-6518434-1</t>
  </si>
  <si>
    <t>19-089173683-9</t>
  </si>
  <si>
    <t>1040-0198-2295</t>
  </si>
  <si>
    <t>219-790-588</t>
  </si>
  <si>
    <t>Jocelyn E. Pingiung/099772634568</t>
  </si>
  <si>
    <t>Unit K 2827 Pilapil St.</t>
  </si>
  <si>
    <t>Zamora St. Polillio, Quezon</t>
  </si>
  <si>
    <t>BS HRT</t>
  </si>
  <si>
    <t>Susan G. Acasio/Mother/9121146701</t>
  </si>
  <si>
    <t>Retrenched-Hotel Temporary Closure</t>
  </si>
  <si>
    <t>Ruado</t>
  </si>
  <si>
    <t>13 R. Higins St. Brgy. 185</t>
  </si>
  <si>
    <t>Lonoy, Jagna Bohol</t>
  </si>
  <si>
    <t>1212-21920694</t>
  </si>
  <si>
    <t>Lolita Mayorga/ Mother-09302054684</t>
  </si>
  <si>
    <t>#047 San Francisco Nabua, Camarines Sur</t>
  </si>
  <si>
    <t>Bachelor of Arts Major in History</t>
  </si>
  <si>
    <t>#77 Tengco St. Malibay</t>
  </si>
  <si>
    <t>BSIT(FBS)/Bachelor's Grad</t>
  </si>
  <si>
    <t>Amelia Deliva/Mother- 09504655232</t>
  </si>
  <si>
    <t xml:space="preserve">0150 Unit I E.FLORES ST. MALIBAY </t>
  </si>
  <si>
    <t>GREGORIA DELA PEÑA / MOTHER - 09107760042</t>
  </si>
  <si>
    <t>Valentino</t>
  </si>
  <si>
    <t>Tañada</t>
  </si>
  <si>
    <t>B-2 Lot-46 Sunny Broole 2</t>
  </si>
  <si>
    <t>Gen. Trias, Cavite</t>
  </si>
  <si>
    <t>Vc1448888@gmail.com</t>
  </si>
  <si>
    <t xml:space="preserve"> Graphic Art's &amp; Printing Tech/Associate Grad</t>
  </si>
  <si>
    <t>33-3517503-4</t>
  </si>
  <si>
    <t>19-089199090-5</t>
  </si>
  <si>
    <t>1040-0164-3080</t>
  </si>
  <si>
    <t>201-270-303</t>
  </si>
  <si>
    <t>1. Jhio Besinio Cruz -09/04/1999 2. Dhio Jay B. Cruz - 08/29/2001</t>
  </si>
  <si>
    <t>Diosana Cruz/Wife0946-5848410</t>
  </si>
  <si>
    <t>110 Bustos St. 2nd Avenue</t>
  </si>
  <si>
    <t>Comp. Tech./Under Grad</t>
  </si>
  <si>
    <t>Melody Abesamis/Reynaldo Abesamis</t>
  </si>
  <si>
    <t xml:space="preserve">Lot 2 Blk 7 Sec. 17 Belvedere Town III Ph 6, </t>
  </si>
  <si>
    <t>Voc. Grad./Electronics</t>
  </si>
  <si>
    <t>Zyrile Sam l. Branzuela &amp; Kasselle Shane L. Branzuela</t>
  </si>
  <si>
    <t>Emma L. Branzuela/wife-0926-4712457+</t>
  </si>
  <si>
    <t>Abejo</t>
  </si>
  <si>
    <t>Pescano Jr</t>
  </si>
  <si>
    <t>Odchimar</t>
  </si>
  <si>
    <t>2059 Tramo Street</t>
  </si>
  <si>
    <t>pescanojr@gmail.com</t>
  </si>
  <si>
    <t>08-0942369-7</t>
  </si>
  <si>
    <t>19-088688397-1</t>
  </si>
  <si>
    <t>1040-0168-6987</t>
  </si>
  <si>
    <t>177-597-888</t>
  </si>
  <si>
    <t>Nikka Regine Golez Abejo - 10/21/1993</t>
  </si>
  <si>
    <t>Jeanette Abejo-0946-3750559</t>
  </si>
  <si>
    <t>234 V. Sevilla St., 7th Ave., West</t>
  </si>
  <si>
    <t xml:space="preserve"> Caloocan City</t>
  </si>
  <si>
    <t>719 Gomez Burgos St. Cagayan De Oro</t>
  </si>
  <si>
    <t>Ronaldo De Guzman</t>
  </si>
  <si>
    <t>10 Everlasting St. Maricaban</t>
  </si>
  <si>
    <t>Fernan Noriega (Husband) /9358443913</t>
  </si>
  <si>
    <t>Bacongco</t>
  </si>
  <si>
    <t>Maghuyop</t>
  </si>
  <si>
    <t xml:space="preserve">BIK 1 LI5 Sterling Manors Subd. Anabu IC </t>
  </si>
  <si>
    <t>Zaragoza, Nueva Ecija</t>
  </si>
  <si>
    <t>Kmbacongco@gmail.com</t>
  </si>
  <si>
    <t>02-3812005-3</t>
  </si>
  <si>
    <t>08-025967880-7</t>
  </si>
  <si>
    <t>1211-4640-6958</t>
  </si>
  <si>
    <t>328-771-611</t>
  </si>
  <si>
    <t>Nida Bacongco/Mother/09192617756</t>
  </si>
  <si>
    <t>Al-Jazy</t>
  </si>
  <si>
    <t>#1228 Lourdes Street, Fatima Subd,Zapote</t>
  </si>
  <si>
    <t xml:space="preserve"> Las Piñas City</t>
  </si>
  <si>
    <t>Anabu IC Imus, Cavite</t>
  </si>
  <si>
    <t>aljazyesteban@gmail.com</t>
  </si>
  <si>
    <t>01-025863944-3</t>
  </si>
  <si>
    <t>Edward Esteban(Father)/9062987746</t>
  </si>
  <si>
    <t>Deles</t>
  </si>
  <si>
    <t>Krisylle Joy</t>
  </si>
  <si>
    <t>Plaga</t>
  </si>
  <si>
    <t>Sta. Ana, Cagayan Valley</t>
  </si>
  <si>
    <t>krizeldeles@gmail.com</t>
  </si>
  <si>
    <t>09-3459404-8</t>
  </si>
  <si>
    <t>17-250675438-6</t>
  </si>
  <si>
    <t>1211-7817-2407</t>
  </si>
  <si>
    <t>349-721-512</t>
  </si>
  <si>
    <t>Nemia Deles-Mother/9480344166</t>
  </si>
  <si>
    <t>#20 Everlasting St. Maricaban</t>
  </si>
  <si>
    <t>Children 1. Ezekiel Espino, 2. Caleb Espino 3. John Carlo David Espino</t>
  </si>
  <si>
    <t>Arlene Espino-Wife/9081352140</t>
  </si>
  <si>
    <t>15424 San Agustin Village E. Rodriguez Ave., Moonwalk</t>
  </si>
  <si>
    <t xml:space="preserve"> Parañaque City</t>
  </si>
  <si>
    <t>Paluan Occ. Mindoro</t>
  </si>
  <si>
    <t>santoschristianmark@gmail.con</t>
  </si>
  <si>
    <t>College Grad.- HRM</t>
  </si>
  <si>
    <t>Jennifer Santos/Mother - 0946-6756062</t>
  </si>
  <si>
    <t>Abadiano</t>
  </si>
  <si>
    <t>Ronnel</t>
  </si>
  <si>
    <t>Binos</t>
  </si>
  <si>
    <t>Blk 2 Lot 12 Ilang-Ilang Valley UPS IV Brgy. Marcelo Green</t>
  </si>
  <si>
    <t xml:space="preserve">Cavite </t>
  </si>
  <si>
    <t>rabadiano18@yahoo.com</t>
  </si>
  <si>
    <t>Voc. Graduate/HRS</t>
  </si>
  <si>
    <t>34-5953884-5</t>
  </si>
  <si>
    <t>01-025960784-7</t>
  </si>
  <si>
    <t>1211-7175-2590</t>
  </si>
  <si>
    <t>329-147-692</t>
  </si>
  <si>
    <t>Ernel Jay Abadiano-Brother/9186214389</t>
  </si>
  <si>
    <t>Blk-32 Lot 7 Brgy. Nicolasa Vitara GMA</t>
  </si>
  <si>
    <t>Tobuan, Labrador Pangasinan</t>
  </si>
  <si>
    <t>CS/Associate Grad</t>
  </si>
  <si>
    <t xml:space="preserve">1. Margail Xin Marfil Laure - 5/12/2008, 2. Art Yassin - 7/26/2011, 3, Jurem Seo, 4. IU Main, 5. Ashley </t>
  </si>
  <si>
    <t>Abegail Laure/09391946798</t>
  </si>
  <si>
    <t>Maintenance (Sewer)</t>
  </si>
  <si>
    <t xml:space="preserve">5156-Nikon St. IBP Rd. Commonwealth </t>
  </si>
  <si>
    <t>Poblacion Pandan Sibonga, Cebu</t>
  </si>
  <si>
    <t>Clarita Malto/Wife-0918-3565728</t>
  </si>
  <si>
    <t xml:space="preserve">2851 Sto. Niño Punta, Sta. Ana </t>
  </si>
  <si>
    <t>Kananga, Leyte</t>
  </si>
  <si>
    <t>Vocational / Electronics</t>
  </si>
  <si>
    <t>1.Reba R. Castroverde - 10/17/1980 2.Xenna Angela Castroverde - 08/12/2002 3.Xian Jacobo Castroverde -08/19/2009</t>
  </si>
  <si>
    <t>Reba Castroverde / 09334473717</t>
  </si>
  <si>
    <t>2441 Oro-A Street, San Andres Bukid</t>
  </si>
  <si>
    <t>Santiago Pili Camarines Sur</t>
  </si>
  <si>
    <t>bongsanjuan_70@yahoo.com</t>
  </si>
  <si>
    <t>1.Cristina San Juan/ 2. Joel San Juan/ 3. Lina San Juan</t>
  </si>
  <si>
    <t>Gitangeline San Juan-Wife</t>
  </si>
  <si>
    <t>15F Bonanza St. Brgy. 189</t>
  </si>
  <si>
    <t>Electrical/Vocational</t>
  </si>
  <si>
    <t xml:space="preserve">1. Kevin Carl Ativo Dungo - 2/28/2005,2. Leo Mark A. - 9/16/2013 </t>
  </si>
  <si>
    <t>Lea Dungo/wife-0920-2330594</t>
  </si>
  <si>
    <t>Malasibas</t>
  </si>
  <si>
    <t>Rosalie</t>
  </si>
  <si>
    <t>Tagnaman</t>
  </si>
  <si>
    <t>030 AC Lorenzo St. Sto. Rosario, Kanluran</t>
  </si>
  <si>
    <t>Pateros</t>
  </si>
  <si>
    <t>rosaliemalasibas.102315@gmail.com</t>
  </si>
  <si>
    <t>Residential &amp; Intitutional Service Mgnt/Associate Grad</t>
  </si>
  <si>
    <t>34-0055468-7</t>
  </si>
  <si>
    <t>01-025151958-2</t>
  </si>
  <si>
    <t>1090-0315-4793</t>
  </si>
  <si>
    <t>265-226-227</t>
  </si>
  <si>
    <t>Zach Nickelzen M. Valino</t>
  </si>
  <si>
    <t>Mariano M. Malasibas( Father)</t>
  </si>
  <si>
    <t>Lamire</t>
  </si>
  <si>
    <t>Libunao</t>
  </si>
  <si>
    <t>314 Galvez Bldg. Libertad</t>
  </si>
  <si>
    <t>conradlamire22@gmail.com</t>
  </si>
  <si>
    <t>College Under Grad</t>
  </si>
  <si>
    <t>01-1858100-0</t>
  </si>
  <si>
    <t>01-050949567-5</t>
  </si>
  <si>
    <t>1210-9944-1978</t>
  </si>
  <si>
    <t>247-267-194</t>
  </si>
  <si>
    <t>1. Marina Lamire 2. Ernesto Lamire</t>
  </si>
  <si>
    <t>Ernesto Lamire Sr./Father - 09058898847</t>
  </si>
  <si>
    <t>Baligod</t>
  </si>
  <si>
    <t>Mark Bill</t>
  </si>
  <si>
    <t>Avelzano</t>
  </si>
  <si>
    <t>2-B St Peter St. Project 8</t>
  </si>
  <si>
    <t>Bangkal St. San Anto Los Baños Laguna</t>
  </si>
  <si>
    <t>billbaligod@gmail.com</t>
  </si>
  <si>
    <t>34-6722469-1</t>
  </si>
  <si>
    <t>03-026125-787-0</t>
  </si>
  <si>
    <t>1211-9784-9409</t>
  </si>
  <si>
    <t>353-555-972</t>
  </si>
  <si>
    <t>Imelda A. Baligod/ mother-238-45-03</t>
  </si>
  <si>
    <t>2541 Aurora St</t>
  </si>
  <si>
    <t>Tuao, Cagayan Valley</t>
  </si>
  <si>
    <t>Lovelyn Marasigan-Sister/9059058256</t>
  </si>
  <si>
    <t>Lasala</t>
  </si>
  <si>
    <t>Jerison</t>
  </si>
  <si>
    <t>Orchids St. Brgy 184, Maricaban</t>
  </si>
  <si>
    <t>Magahis Tuy, Batangas</t>
  </si>
  <si>
    <t>esonlasala@gmail.com</t>
  </si>
  <si>
    <t>04-1967301-5</t>
  </si>
  <si>
    <t>01-051426427-4</t>
  </si>
  <si>
    <t>1210-4718-9802</t>
  </si>
  <si>
    <t>259-693-398</t>
  </si>
  <si>
    <t>Wife Jenifer Lasala/31 Children 1. Princess Jade Emy Lasala 2. Sapphire Lasala</t>
  </si>
  <si>
    <t>Jenifer Lasala-Wife/9363939648</t>
  </si>
  <si>
    <t>Ocab</t>
  </si>
  <si>
    <t>Zendy Mae</t>
  </si>
  <si>
    <t>2185 Revelyn St. Sta. Ana</t>
  </si>
  <si>
    <t>ocabzendymae@gmail.com</t>
  </si>
  <si>
    <t>34-5925849-7</t>
  </si>
  <si>
    <t>02-026718428-4</t>
  </si>
  <si>
    <t>1211-6898-5486</t>
  </si>
  <si>
    <t>328-769-046</t>
  </si>
  <si>
    <t>Ronald Jaime  Pura-Live-in partner/9197071269</t>
  </si>
  <si>
    <t>1806-B Sandejas St.,  Brgy 44</t>
  </si>
  <si>
    <t>CARANGAN , OZAMIS CITY, MISS. OCCIDENTAL</t>
  </si>
  <si>
    <t xml:space="preserve">4 yrs Graduate/ B. S Cruiseship Mngt. </t>
  </si>
  <si>
    <t>Glad Almira-Aunt/9083427287</t>
  </si>
  <si>
    <t>Baylon</t>
  </si>
  <si>
    <t>Joland</t>
  </si>
  <si>
    <t>2465 Decena St. Malibay, Brgy. 94</t>
  </si>
  <si>
    <t>jolandbaylon@gmail.com</t>
  </si>
  <si>
    <t>01-2483621-5</t>
  </si>
  <si>
    <t>01-025832479-5</t>
  </si>
  <si>
    <t>1211-5274-5218</t>
  </si>
  <si>
    <t>325-109-327</t>
  </si>
  <si>
    <t>Arlene Baylon/Sister 09162698855</t>
  </si>
  <si>
    <t>Eusebio Jr</t>
  </si>
  <si>
    <t>Guita</t>
  </si>
  <si>
    <t xml:space="preserve">64 Purok 3 brgy. Mauway </t>
  </si>
  <si>
    <t>Daet, Camarines Norte</t>
  </si>
  <si>
    <t>eusebiomanago@gmail.com</t>
  </si>
  <si>
    <t>Agricultural Tech./Associate Grad</t>
  </si>
  <si>
    <t xml:space="preserve">1.Carlos Kean De Castro Mañago /2.Cedric D.C. / 3.Keanna Kim Paycana </t>
  </si>
  <si>
    <t>Kendy Paycawa/Wife-4033206</t>
  </si>
  <si>
    <t>358 Sampaloc Site II, Purok 4 Gubayano Street BF Homes</t>
  </si>
  <si>
    <t>Paranaque City</t>
  </si>
  <si>
    <t>Colinan, Davao City</t>
  </si>
  <si>
    <t>Ana Marie B. Masing /Wife -09164534320</t>
  </si>
  <si>
    <t>353D Poinsetta St, Gravil Pit, Payatas-A</t>
  </si>
  <si>
    <t>1. Kevin Khert Labitan/ 2.Shanaia Bless Labitan</t>
  </si>
  <si>
    <t>Hermelyn Labitan/Wife-09271640996</t>
  </si>
  <si>
    <t>Silaga</t>
  </si>
  <si>
    <t>Lampy Love</t>
  </si>
  <si>
    <t>Sumonglay</t>
  </si>
  <si>
    <t>824 B Mayor St. Malibay</t>
  </si>
  <si>
    <t>Tagutik Kapatagan Lanao Del Norte</t>
  </si>
  <si>
    <t>silagal@yahoo.com</t>
  </si>
  <si>
    <t>34-3452706-2</t>
  </si>
  <si>
    <t>02-025903464-8</t>
  </si>
  <si>
    <t>1210-9469-2847</t>
  </si>
  <si>
    <t>318-068-808</t>
  </si>
  <si>
    <t>Violeta Silaga Mercado/09263016439/Alexander C. Ereña-BF</t>
  </si>
  <si>
    <t>Casim</t>
  </si>
  <si>
    <t>Diana Marie</t>
  </si>
  <si>
    <t>Tapia</t>
  </si>
  <si>
    <t>#54  Vizcarra St., Pasay City</t>
  </si>
  <si>
    <t>casim_diana@yahoo.com</t>
  </si>
  <si>
    <t>34-4912299-9</t>
  </si>
  <si>
    <t>01-025717973-2</t>
  </si>
  <si>
    <t>1211-3913-2869</t>
  </si>
  <si>
    <t>500-336-986</t>
  </si>
  <si>
    <t>Claire Casim/Mother-0999-7883754</t>
  </si>
  <si>
    <t>Block 30 Lot 10 St. Elena St. Brgy 178, Maricaban</t>
  </si>
  <si>
    <t>Tomogodtod Calabang, Camarines Sur</t>
  </si>
  <si>
    <t>BSIT major in HRM/ 4 yrs. Graduate</t>
  </si>
  <si>
    <t>Maryden Palayar/Sister-09303800262</t>
  </si>
  <si>
    <t>7200 Marcelo Ave. Brgy. Marcelo Green Village</t>
  </si>
  <si>
    <t>Bayambang Pangasinan</t>
  </si>
  <si>
    <t>BS.Industrial Tech. (4yrs grad.)</t>
  </si>
  <si>
    <t>Andrea Molino / Aunt -09338757461</t>
  </si>
  <si>
    <t>Dy</t>
  </si>
  <si>
    <t>Pua</t>
  </si>
  <si>
    <t xml:space="preserve">020 Silver St. Brgy. Commonwealth Mangahan </t>
  </si>
  <si>
    <t>josephdypua@gmail.com</t>
  </si>
  <si>
    <t>33-4058566-4</t>
  </si>
  <si>
    <t>19-052699373-3</t>
  </si>
  <si>
    <t>1040-0197-9863</t>
  </si>
  <si>
    <t>204-260-970</t>
  </si>
  <si>
    <t>Christian Joseph Merced Dy - 12/17/1999</t>
  </si>
  <si>
    <t>Room Inspector/ FDA (Reliever)</t>
  </si>
  <si>
    <t>Pasay</t>
  </si>
  <si>
    <t>SAN ROQUES, BOMBON CAMARINES SUR</t>
  </si>
  <si>
    <t>ronanvlirio23@gmail.com</t>
  </si>
  <si>
    <t>Wife Gerlie Mendoza Lirio</t>
  </si>
  <si>
    <t>Reyhan Lirio /Brother/ 09471438216</t>
  </si>
  <si>
    <t>Gary</t>
  </si>
  <si>
    <t>36 Bagong Kalsada St. Tangos</t>
  </si>
  <si>
    <t>bautistagary49@yahoo.com</t>
  </si>
  <si>
    <t>1211-0623-1697</t>
  </si>
  <si>
    <t>501-009-953</t>
  </si>
  <si>
    <t>Jennel Lapus Baustista</t>
  </si>
  <si>
    <t>Clarissa Bautista/Sister-0946-2955548 / 376-1088</t>
  </si>
  <si>
    <t>Avila</t>
  </si>
  <si>
    <t>Marcial</t>
  </si>
  <si>
    <t>Maintenance (Painter)</t>
  </si>
  <si>
    <t xml:space="preserve">2401 Nikel St. San Andres Bukid </t>
  </si>
  <si>
    <t>Macaledon, Quezon</t>
  </si>
  <si>
    <t>marcial.avila68@yahoo.com</t>
  </si>
  <si>
    <t>Auto Mechanic/Vocational</t>
  </si>
  <si>
    <t>34-0044279-9</t>
  </si>
  <si>
    <t>19-200178749-3</t>
  </si>
  <si>
    <t>1211-2133-4802</t>
  </si>
  <si>
    <t>318-120-857</t>
  </si>
  <si>
    <t>1.Marc Angelo /2.Marwin/3. Matthew Aldrin /4.Marc Aldrian/5. Marcius Alen/6.James Andrie Avila</t>
  </si>
  <si>
    <t>Wilma Avila/Wife-0910-8087605</t>
  </si>
  <si>
    <t>Perilla</t>
  </si>
  <si>
    <t>Edmundo</t>
  </si>
  <si>
    <t>Morena</t>
  </si>
  <si>
    <t>Sto.Domingo, Bombon, Camarines Sur</t>
  </si>
  <si>
    <t>Perillaedmund03@gmail.com</t>
  </si>
  <si>
    <t>05-1359771-2</t>
  </si>
  <si>
    <t>1020-24980-682</t>
  </si>
  <si>
    <t>1211-9132-2049</t>
  </si>
  <si>
    <t>337-477-208</t>
  </si>
  <si>
    <t>Ayesha Perilla / Mother - 09487189608</t>
  </si>
  <si>
    <t>Rayos</t>
  </si>
  <si>
    <t>Rafael</t>
  </si>
  <si>
    <t>Amparado</t>
  </si>
  <si>
    <t>Room Inspector/ Waiter (RL)</t>
  </si>
  <si>
    <t>2465 Decena St. Lianas Compound  R# 344</t>
  </si>
  <si>
    <t>Zone 2 Bonot Sta.Rosa Calabanga, Camarines Sur</t>
  </si>
  <si>
    <t>rafaelrayos76@gmail.com</t>
  </si>
  <si>
    <t>34-6736793-0</t>
  </si>
  <si>
    <t>1025-0990-1403</t>
  </si>
  <si>
    <t>1211-9841-7933</t>
  </si>
  <si>
    <t>337-476-650</t>
  </si>
  <si>
    <t>Cherry A. Rayos / Sister - 09484497196</t>
  </si>
  <si>
    <t>Caubalejo</t>
  </si>
  <si>
    <t>Lemuel</t>
  </si>
  <si>
    <t>Guirindola</t>
  </si>
  <si>
    <t>San Gregorio Village</t>
  </si>
  <si>
    <t>Carigara Leyte</t>
  </si>
  <si>
    <t>caubalejolemuel@yahoo.com</t>
  </si>
  <si>
    <t>2yrs Grad/HRM</t>
  </si>
  <si>
    <t>34-6134187-1</t>
  </si>
  <si>
    <t>13-201780568-5</t>
  </si>
  <si>
    <t>1211-0055-6532</t>
  </si>
  <si>
    <t>331-875-298</t>
  </si>
  <si>
    <t>Lean Guirindola-Mother/09463779303</t>
  </si>
  <si>
    <t>Sandrex</t>
  </si>
  <si>
    <t>Israel</t>
  </si>
  <si>
    <t>Camerino St. Proj. 4, Brgy. Marilag</t>
  </si>
  <si>
    <t>Guiuan Eastern Samar</t>
  </si>
  <si>
    <t>srexsantos8@gmail.com</t>
  </si>
  <si>
    <t>4 yrs. Graduate/HRM</t>
  </si>
  <si>
    <t>34-6508852-5</t>
  </si>
  <si>
    <t>13-250098782-4</t>
  </si>
  <si>
    <t>1211-9110-7672</t>
  </si>
  <si>
    <t>748-230-158</t>
  </si>
  <si>
    <t>Rowena Santos-Mother/09978475704</t>
  </si>
  <si>
    <t>P3C B14 L9 Tamban Street Dagat Dagatan</t>
  </si>
  <si>
    <t>Naval, Bibiran Leyte</t>
  </si>
  <si>
    <t>Glaiza Garcia - Sister/09300052341</t>
  </si>
  <si>
    <t>564 Gate 2 Parola, Tondo</t>
  </si>
  <si>
    <t>Joshua Zamora/09204468347</t>
  </si>
  <si>
    <t>No.</t>
  </si>
  <si>
    <t>NAME</t>
  </si>
  <si>
    <t>BIRTHDAY</t>
  </si>
  <si>
    <t>JANUARY</t>
  </si>
  <si>
    <t>Ruben S. Macairap</t>
  </si>
  <si>
    <t>Meryme C. Palayar</t>
  </si>
  <si>
    <t>Leander M. Pagurayan</t>
  </si>
  <si>
    <t>Cristine R. Gloria</t>
  </si>
  <si>
    <t>Anna Belle F. Peñaranda</t>
  </si>
  <si>
    <t>Irene Marie Freolo</t>
  </si>
  <si>
    <t>Mica Ella D. San Diego</t>
  </si>
  <si>
    <t>01/31/2001</t>
  </si>
  <si>
    <t>FEBRUARY</t>
  </si>
  <si>
    <t>Elmer C. Espino</t>
  </si>
  <si>
    <t>Gerol Nelle J. Marquez</t>
  </si>
  <si>
    <t>02/21/2003</t>
  </si>
  <si>
    <t>MARCH</t>
  </si>
  <si>
    <t>Magdalena Olpindo</t>
  </si>
  <si>
    <t>Emman R. Pornillos</t>
  </si>
  <si>
    <t>Diana Lei S. Miranda</t>
  </si>
  <si>
    <t>03/25/2003</t>
  </si>
  <si>
    <t>Leah Marie G. Forte</t>
  </si>
  <si>
    <t>03/27/2003</t>
  </si>
  <si>
    <t>APRIL</t>
  </si>
  <si>
    <t>Marion N. Mangoba</t>
  </si>
  <si>
    <t>MAY</t>
  </si>
  <si>
    <t xml:space="preserve"> Jonalet M. Lucido</t>
  </si>
  <si>
    <t>Benedicto C. Aguirre</t>
  </si>
  <si>
    <t xml:space="preserve">Eric B. Pozon </t>
  </si>
  <si>
    <t xml:space="preserve"> 05/10/1989</t>
  </si>
  <si>
    <t>Royeth C. Balaoro</t>
  </si>
  <si>
    <t>Nilo R. San Juan</t>
  </si>
  <si>
    <t xml:space="preserve"> Stefanie G. Acasio</t>
  </si>
  <si>
    <t>Mark Bill A. Baligod</t>
  </si>
  <si>
    <t>Vicente N. Gelbolingo</t>
  </si>
  <si>
    <t>05/31/1998</t>
  </si>
  <si>
    <t>JUNE</t>
  </si>
  <si>
    <t>Gretchen O. Oriol</t>
  </si>
  <si>
    <t>June Rey J. Lontayao</t>
  </si>
  <si>
    <t>Laurence A. Tan</t>
  </si>
  <si>
    <t>Rece Jun B. De Mesa</t>
  </si>
  <si>
    <t>06/20/2002</t>
  </si>
  <si>
    <t>Junerey F. Terna</t>
  </si>
  <si>
    <t>06/21/1995</t>
  </si>
  <si>
    <t>Arnel A. Branzuela</t>
  </si>
  <si>
    <t>JULY</t>
  </si>
  <si>
    <t>Eusebio G. Mañago Jr.</t>
  </si>
  <si>
    <t>Frankie D. Labitan</t>
  </si>
  <si>
    <t>Allen Edward G. Jumagdao</t>
  </si>
  <si>
    <t>Manuel M. Hilario</t>
  </si>
  <si>
    <t>Rochelle F. Quano</t>
  </si>
  <si>
    <t>07/20/2002</t>
  </si>
  <si>
    <t>AUGUST</t>
  </si>
  <si>
    <t>Henson D. Lino</t>
  </si>
  <si>
    <t>Russian M. Posoc</t>
  </si>
  <si>
    <t>Marvin L. Dungo</t>
  </si>
  <si>
    <t>Edcel Y. Alegre</t>
  </si>
  <si>
    <t xml:space="preserve">Eduardo F. Tongson </t>
  </si>
  <si>
    <t>Via Angela M. Ramirez</t>
  </si>
  <si>
    <t>Luis Alejandro Perez</t>
  </si>
  <si>
    <t>08/15/2002</t>
  </si>
  <si>
    <t>Romilyn B. Rosales</t>
  </si>
  <si>
    <t>Marivic C. Peligro</t>
  </si>
  <si>
    <t>SEPTEMBER</t>
  </si>
  <si>
    <t>Ervin Carl Maraon</t>
  </si>
  <si>
    <t>George C. Cortado Jr.</t>
  </si>
  <si>
    <t>Barry V. Marqueso</t>
  </si>
  <si>
    <t>Andy  L. Molina</t>
  </si>
  <si>
    <t>Lloyd D. Deliva</t>
  </si>
  <si>
    <t>OCTOBER</t>
  </si>
  <si>
    <t>Claire R. Pabilona</t>
  </si>
  <si>
    <t>Raymund B. Mariano</t>
  </si>
  <si>
    <t>Oscar M. Castillo</t>
  </si>
  <si>
    <t>Marius T. Abesamis</t>
  </si>
  <si>
    <t>Mark Laurence I. Gumapac</t>
  </si>
  <si>
    <t>NOVEMBER</t>
  </si>
  <si>
    <t>Richard Z. Grimaldo</t>
  </si>
  <si>
    <t>Mark Anthony L. Laure</t>
  </si>
  <si>
    <t>Jinkie A. Dioneda</t>
  </si>
  <si>
    <t>Beverly B. Ranque</t>
  </si>
  <si>
    <t>11/22/1998</t>
  </si>
  <si>
    <t>Joselito A. Masing</t>
  </si>
  <si>
    <t>DECEMBER</t>
  </si>
  <si>
    <t>Roniela Mari D. Beldad</t>
  </si>
  <si>
    <t xml:space="preserve"> Edwin L. Castroverde</t>
  </si>
  <si>
    <t>Ariel D. Hermocilla</t>
  </si>
  <si>
    <t>Hazel Mae Cadiente</t>
  </si>
  <si>
    <t>12/17/2000</t>
  </si>
  <si>
    <t>Roberto D. Salangsang</t>
  </si>
  <si>
    <t>12/17/1998</t>
  </si>
  <si>
    <t>Beverly  T. Ordaniza</t>
  </si>
  <si>
    <t>12/18/2002</t>
  </si>
  <si>
    <t>Sherelyn G. Calapati</t>
  </si>
  <si>
    <t>12/26/2000</t>
  </si>
  <si>
    <t>Stephen Olivier S. Pigar</t>
  </si>
  <si>
    <t xml:space="preserve">     URBAN TRAVELLERS HOTEL/ PASAY TAFT TOURIST  DEV. INC</t>
  </si>
  <si>
    <t>Daily Rate</t>
  </si>
  <si>
    <t>Factors Increase By Php 35.00</t>
  </si>
  <si>
    <t>Total Monthly</t>
  </si>
  <si>
    <t>Level VII ( Department Heads)</t>
  </si>
  <si>
    <t>Finance &amp; Accounting Head</t>
  </si>
  <si>
    <t>Level V-A ( Dept. Supervisors- and IT-  Skilled)</t>
  </si>
  <si>
    <t>Level V-B ( Housekeeping Dept and Dual Fnction Staff)</t>
  </si>
  <si>
    <t>Level IV-A</t>
  </si>
  <si>
    <t>San Diego</t>
  </si>
  <si>
    <t>Mica Ella</t>
  </si>
  <si>
    <t>Domingo</t>
  </si>
  <si>
    <t>Level IV-B</t>
  </si>
  <si>
    <t>Level III-B (Reservation/Cooks/F&amp;B)</t>
  </si>
  <si>
    <t>Level III-A ( T.O./Cashiers/FDA/Reliever/Driver)</t>
  </si>
  <si>
    <t>Level II (Minimum Regular Employees/ Rank &amp; File)</t>
  </si>
  <si>
    <t>TOTALS</t>
  </si>
  <si>
    <t>Prepared By:</t>
  </si>
  <si>
    <t>Noted By:</t>
  </si>
  <si>
    <t>RAYMUND B. MARIANO</t>
  </si>
  <si>
    <t>RUBEN S. MACAIRAP</t>
  </si>
  <si>
    <t>HR - OIC</t>
  </si>
  <si>
    <t>VP / GENERAL MANAGER</t>
  </si>
  <si>
    <t>Factors Increase By Php 50.00</t>
  </si>
  <si>
    <t>Level VI ( Department Heads)</t>
  </si>
  <si>
    <t>Level V  (HR Head, Head Cashier and OIC)</t>
  </si>
  <si>
    <t xml:space="preserve">Jinkie </t>
  </si>
  <si>
    <t>Amuyol</t>
  </si>
  <si>
    <t>Level IV-A ( Dept. Supervisors- and IT-  Skilled)</t>
  </si>
  <si>
    <t>Level IV-B ( Stockman/Graphic Designer/Acctg Asst./F&amp;B Asst. Coor and General Reliever)</t>
  </si>
  <si>
    <t>Stockman</t>
  </si>
  <si>
    <t>Maraon</t>
  </si>
  <si>
    <t>Ervin Carl</t>
  </si>
  <si>
    <t>Probi</t>
  </si>
  <si>
    <t>Level III-A (Stock and Linen Custodian, Leadman and Leadwoman)</t>
  </si>
  <si>
    <t>Level III-B (Cooks/Reservation/Aircon Tech/Driver/FDA/FDB/TO-Cashier and F&amp;B)</t>
  </si>
  <si>
    <t>Gaile</t>
  </si>
  <si>
    <t>Alegre</t>
  </si>
  <si>
    <t xml:space="preserve">Edcel </t>
  </si>
  <si>
    <t>Ybasan</t>
  </si>
  <si>
    <t>Y</t>
  </si>
  <si>
    <t>Minimum Employees F&amp;B/ FDB/ TO Cashier and Cook/ (Daily)</t>
  </si>
  <si>
    <t>Jumagdao</t>
  </si>
  <si>
    <t>Allen Edward</t>
  </si>
  <si>
    <t>05/23/2025</t>
  </si>
  <si>
    <t>Ma Rechelle</t>
  </si>
  <si>
    <t>Mangoba</t>
  </si>
  <si>
    <t>Marion</t>
  </si>
  <si>
    <t>Natividad</t>
  </si>
  <si>
    <t>N</t>
  </si>
  <si>
    <t>Level II - Minimum Employees Room Attendant/Chambermaid (Daily)</t>
  </si>
  <si>
    <t>Ordaniza</t>
  </si>
  <si>
    <t>Tugdang</t>
  </si>
  <si>
    <t>Calapati</t>
  </si>
  <si>
    <t>Sherelyn</t>
  </si>
  <si>
    <t>Oriol</t>
  </si>
  <si>
    <t>Gretchen</t>
  </si>
  <si>
    <t>Ompod</t>
  </si>
  <si>
    <t>Cadiente</t>
  </si>
  <si>
    <t>Hazel Mae</t>
  </si>
  <si>
    <t>Level I-A (Sewer/Pool Attendant/Helper/Utility and Pest Control)</t>
  </si>
  <si>
    <t>Level I-B Sewer/Pool Attendant/Helper/Utility and Pest Control (Daily)</t>
  </si>
  <si>
    <t>SHOGUN SUITE HOTEL/ H&amp;R BUSINESS DEV. INC</t>
  </si>
  <si>
    <t>Level VI ( Duty Officers)</t>
  </si>
  <si>
    <t>Avellano</t>
  </si>
  <si>
    <t>Level V  (OIC, Head Cashier and HR Head)</t>
  </si>
  <si>
    <t>Minimum Employee TO Cashier(Daily)</t>
  </si>
  <si>
    <t>01/26/2024</t>
  </si>
  <si>
    <t>08/23/2024</t>
  </si>
  <si>
    <t>03/16/2025</t>
  </si>
  <si>
    <t>Gelbolingo</t>
  </si>
  <si>
    <t>Vicente</t>
  </si>
  <si>
    <t>Narciso</t>
  </si>
  <si>
    <t>06/23/2025</t>
  </si>
  <si>
    <t>JINKIE A. DIONEDA</t>
  </si>
  <si>
    <t>HR HEAD</t>
  </si>
  <si>
    <t>URBAN TRAVELELRS HOTEL / SHOGUN SUITE HOTEL</t>
  </si>
  <si>
    <t>LIST OF EMPLOYEES</t>
  </si>
  <si>
    <t>AS OF DECEMBER 12, 2024</t>
  </si>
  <si>
    <t>ADMIN</t>
  </si>
  <si>
    <t>Jinkie</t>
  </si>
  <si>
    <t>URBAN OPERATION</t>
  </si>
  <si>
    <t>SHOGUN OPERATION</t>
  </si>
  <si>
    <t>UPDATED SALARY</t>
  </si>
  <si>
    <t xml:space="preserve">Monthly Paid </t>
  </si>
  <si>
    <t xml:space="preserve">Surname </t>
  </si>
  <si>
    <t>Name</t>
  </si>
  <si>
    <t>Status</t>
  </si>
  <si>
    <t xml:space="preserve">Rate per day </t>
  </si>
  <si>
    <t xml:space="preserve">Monthly Rate </t>
  </si>
  <si>
    <t>Kristine Joy</t>
  </si>
  <si>
    <t>Luis Leonard</t>
  </si>
  <si>
    <t>Eduard</t>
  </si>
  <si>
    <t>Monthly Paid</t>
  </si>
  <si>
    <t>Rate per day</t>
  </si>
  <si>
    <t>Monthly Rate</t>
  </si>
  <si>
    <t xml:space="preserve">Branzuela </t>
  </si>
  <si>
    <t>Frankie</t>
  </si>
  <si>
    <t>Pasay Taft Tourist Dev. Inc./ H&amp;R Business Dev. Inc</t>
  </si>
  <si>
    <t>Lost and Found Raffle 2022</t>
  </si>
  <si>
    <t>ITEMS</t>
  </si>
  <si>
    <t>Employee's Name</t>
  </si>
  <si>
    <t>1 Pair Silver Earring (Hoop Loop)</t>
  </si>
  <si>
    <t>1 Pair Socks (Bench)</t>
  </si>
  <si>
    <t>Bracelet (Gold)</t>
  </si>
  <si>
    <t>T- Shirt (EET Culture)</t>
  </si>
  <si>
    <t>Powerbank (Black)</t>
  </si>
  <si>
    <t>Casio Analogue Watch (Gold&amp;Silver)</t>
  </si>
  <si>
    <t>Casio Digital Watch (Gold)</t>
  </si>
  <si>
    <t>ZIE Digital Watch (Gray)</t>
  </si>
  <si>
    <t>Vape Pod (Black)</t>
  </si>
  <si>
    <t>Jacket (Rd)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</si>
</sst>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mm/dd/yyyy"/>
    <numFmt numFmtId="165" formatCode="0.0"/>
    <numFmt numFmtId="166" formatCode="mm/dd/yy"/>
    <numFmt numFmtId="167" formatCode="[&lt;=9999999]###\-####;\(###\)\ ###\-####"/>
    <numFmt numFmtId="168" formatCode="[$-F800]dddd\,\ mmmm\ dd\,\ yyyy"/>
    <numFmt numFmtId="169" formatCode="m/d/yyyy"/>
    <numFmt numFmtId="170" formatCode="dd\-mmm\-yy"/>
    <numFmt numFmtId="171" formatCode="dd\-mmm"/>
    <numFmt numFmtId="172" formatCode="0;[Red]0"/>
    <numFmt numFmtId="173" formatCode="_(* #,##0.00_);_(* \(#,##0.00\);_(* &quot;-&quot;??_);_(@_)"/>
  </numFmts>
  <fonts count="61">
    <font>
      <sz val="11.0"/>
      <color theme="1"/>
      <name val="Calibri"/>
      <scheme val="minor"/>
    </font>
    <font>
      <sz val="11.0"/>
      <color theme="1"/>
      <name val="Calibri"/>
    </font>
    <font>
      <b/>
      <sz val="20.0"/>
      <color theme="0"/>
      <name val="Calibri"/>
    </font>
    <font>
      <b/>
      <sz val="12.0"/>
      <color theme="1"/>
      <name val="Calibri"/>
    </font>
    <font>
      <b/>
      <sz val="11.0"/>
      <color theme="1"/>
      <name val="Calibri"/>
    </font>
    <font/>
    <font>
      <b/>
      <sz val="12.0"/>
      <color theme="1"/>
      <name val="Arial Narrow"/>
    </font>
    <font>
      <b/>
      <sz val="11.0"/>
      <color theme="1"/>
      <name val="Arial Narrow"/>
    </font>
    <font>
      <sz val="11.0"/>
      <color theme="1"/>
      <name val="Arial Narrow"/>
    </font>
    <font>
      <sz val="11.0"/>
      <color rgb="FF050505"/>
      <name val="Arial Narrow"/>
    </font>
    <font>
      <u/>
      <sz val="11.0"/>
      <color theme="10"/>
      <name val="Arial Narrow"/>
    </font>
    <font>
      <sz val="11.0"/>
      <color rgb="FF000000"/>
      <name val="Arial Narrow"/>
    </font>
    <font>
      <color theme="1"/>
      <name val="Arial Narrow"/>
    </font>
    <font>
      <sz val="12.0"/>
      <color theme="1"/>
      <name val="Arial Narrow"/>
    </font>
    <font>
      <u/>
      <sz val="11.0"/>
      <color theme="10"/>
      <name val="Arial Narrow"/>
    </font>
    <font>
      <u/>
      <sz val="11.0"/>
      <color theme="10"/>
      <name val="Arial Narrow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color theme="1"/>
      <name val="Calibri"/>
      <scheme val="minor"/>
    </font>
    <font>
      <u/>
      <sz val="11.0"/>
      <color theme="10"/>
      <name val="Arial Narrow"/>
    </font>
    <font>
      <sz val="11.0"/>
      <color rgb="FFFF0000"/>
      <name val="Arial Narrow"/>
    </font>
    <font>
      <u/>
      <sz val="11.0"/>
      <color theme="10"/>
      <name val="Arial Narrow"/>
    </font>
    <font>
      <sz val="11.0"/>
      <color rgb="FF1C1E21"/>
      <name val="Arial Narrow"/>
    </font>
    <font>
      <u/>
      <sz val="11.0"/>
      <color theme="10"/>
      <name val="Calibri"/>
    </font>
    <font>
      <sz val="9.0"/>
      <color rgb="FF777777"/>
      <name val="Arial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sz val="12.0"/>
      <color rgb="FF050505"/>
      <name val="Arial Narrow"/>
    </font>
    <font>
      <u/>
      <sz val="11.0"/>
      <color theme="1"/>
      <name val="Calibri"/>
    </font>
    <font>
      <u/>
      <sz val="11.0"/>
      <color theme="10"/>
      <name val="Arial Narrow"/>
    </font>
    <font>
      <b/>
      <sz val="20.0"/>
      <color theme="0"/>
      <name val="Arial Narrow"/>
    </font>
    <font>
      <sz val="12.0"/>
      <color rgb="FF000000"/>
      <name val="Arial Narrow"/>
    </font>
    <font>
      <sz val="12.0"/>
      <color rgb="FF777777"/>
      <name val="Arial Narrow"/>
    </font>
    <font>
      <sz val="12.0"/>
      <color rgb="FF333333"/>
      <name val="Arial Narrow"/>
    </font>
    <font>
      <sz val="13.0"/>
      <color theme="1"/>
      <name val="Arial Narrow"/>
    </font>
    <font>
      <u/>
      <sz val="12.0"/>
      <color theme="10"/>
      <name val="Arial Narrow"/>
    </font>
    <font>
      <u/>
      <sz val="12.0"/>
      <color theme="10"/>
      <name val="Arial Narrow"/>
    </font>
    <font>
      <u/>
      <sz val="12.0"/>
      <color rgb="FF0000FF"/>
      <name val="Arial Narrow"/>
    </font>
    <font>
      <u/>
      <sz val="12.0"/>
      <color theme="10"/>
      <name val="Arial Narrow"/>
    </font>
    <font>
      <u/>
      <sz val="11.0"/>
      <color theme="10"/>
      <name val="Calibri"/>
    </font>
    <font>
      <u/>
      <sz val="12.0"/>
      <color theme="10"/>
      <name val="Arial Narrow"/>
    </font>
    <font>
      <sz val="10.0"/>
      <color theme="1"/>
      <name val="Calibri"/>
    </font>
    <font>
      <sz val="12.0"/>
      <color rgb="FF1C1E21"/>
      <name val="Arial Narrow"/>
    </font>
    <font>
      <sz val="12.0"/>
      <color rgb="FFFF0000"/>
      <name val="Arial Narrow"/>
    </font>
    <font>
      <u/>
      <sz val="12.0"/>
      <color theme="10"/>
      <name val="Arial Narrow"/>
    </font>
    <font>
      <u/>
      <sz val="12.0"/>
      <color theme="10"/>
      <name val="Arial Narrow"/>
    </font>
    <font>
      <u/>
      <sz val="12.0"/>
      <color theme="10"/>
      <name val="Arial Narrow"/>
    </font>
    <font>
      <b/>
      <sz val="16.0"/>
      <color theme="1"/>
      <name val="Calibri"/>
    </font>
    <font>
      <b/>
      <sz val="11.0"/>
      <color theme="0"/>
      <name val="Calibri"/>
    </font>
    <font>
      <sz val="11.0"/>
      <color theme="0"/>
      <name val="Calibri"/>
    </font>
    <font>
      <sz val="9.0"/>
      <color theme="0"/>
      <name val="Calibri"/>
    </font>
    <font>
      <b/>
      <sz val="10.0"/>
      <color theme="1"/>
      <name val="Calibri"/>
    </font>
    <font>
      <b/>
      <sz val="9.0"/>
      <color theme="1"/>
      <name val="Calibri"/>
    </font>
    <font>
      <sz val="9.0"/>
      <color theme="1"/>
      <name val="Calibri"/>
    </font>
    <font>
      <sz val="9.0"/>
      <color theme="1"/>
      <name val="Arial Narrow"/>
    </font>
    <font>
      <b/>
      <sz val="13.0"/>
      <color theme="1"/>
      <name val="Calibri"/>
    </font>
    <font>
      <sz val="12.0"/>
      <color theme="1"/>
      <name val="Calibri"/>
    </font>
    <font>
      <b/>
      <sz val="14.0"/>
      <color theme="1"/>
      <name val="Calibri"/>
    </font>
    <font>
      <sz val="14.0"/>
      <color theme="1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theme="0"/>
        <bgColor theme="0"/>
      </patternFill>
    </fill>
    <fill>
      <patternFill patternType="solid">
        <fgColor rgb="FF336600"/>
        <bgColor rgb="FF336600"/>
      </patternFill>
    </fill>
    <fill>
      <patternFill patternType="solid">
        <fgColor rgb="FFFFFF00"/>
        <bgColor rgb="FFFFFF00"/>
      </patternFill>
    </fill>
    <fill>
      <patternFill patternType="solid">
        <fgColor rgb="FFBDD6EE"/>
        <bgColor rgb="FFBDD6EE"/>
      </patternFill>
    </fill>
    <fill>
      <patternFill patternType="solid">
        <fgColor rgb="FFFFE598"/>
        <bgColor rgb="FFFFE598"/>
      </patternFill>
    </fill>
    <fill>
      <patternFill patternType="solid">
        <fgColor rgb="FFFFCCCC"/>
        <bgColor rgb="FFFFCCCC"/>
      </patternFill>
    </fill>
    <fill>
      <patternFill patternType="solid">
        <fgColor rgb="FFBFBFBF"/>
        <bgColor rgb="FFBFBFBF"/>
      </patternFill>
    </fill>
    <fill>
      <patternFill patternType="solid">
        <fgColor rgb="FF595959"/>
        <bgColor rgb="FF595959"/>
      </patternFill>
    </fill>
    <fill>
      <patternFill patternType="solid">
        <fgColor rgb="FF92D050"/>
        <bgColor rgb="FF92D050"/>
      </patternFill>
    </fill>
    <fill>
      <patternFill patternType="solid">
        <fgColor rgb="FFB4C6E7"/>
        <bgColor rgb="FFB4C6E7"/>
      </patternFill>
    </fill>
    <fill>
      <patternFill patternType="solid">
        <fgColor rgb="FF2F5496"/>
        <bgColor rgb="FF2F5496"/>
      </patternFill>
    </fill>
    <fill>
      <patternFill patternType="solid">
        <fgColor rgb="FFC5E0B3"/>
        <bgColor rgb="FFC5E0B3"/>
      </patternFill>
    </fill>
  </fills>
  <borders count="25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35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vertical="center"/>
    </xf>
    <xf borderId="1" fillId="2" fontId="1" numFmtId="0" xfId="0" applyAlignment="1" applyBorder="1" applyFont="1">
      <alignment horizontal="center"/>
    </xf>
    <xf borderId="1" fillId="2" fontId="1" numFmtId="0" xfId="0" applyAlignment="1" applyBorder="1" applyFont="1">
      <alignment horizontal="left"/>
    </xf>
    <xf borderId="2" fillId="0" fontId="3" numFmtId="0" xfId="0" applyAlignment="1" applyBorder="1" applyFont="1">
      <alignment horizontal="center" vertical="center"/>
    </xf>
    <xf borderId="2" fillId="3" fontId="3" numFmtId="0" xfId="0" applyAlignment="1" applyBorder="1" applyFill="1" applyFont="1">
      <alignment horizontal="center" shrinkToFit="0" vertical="center" wrapText="1"/>
    </xf>
    <xf borderId="2" fillId="0" fontId="4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 vertical="center"/>
    </xf>
    <xf borderId="4" fillId="0" fontId="5" numFmtId="0" xfId="0" applyBorder="1" applyFont="1"/>
    <xf borderId="2" fillId="0" fontId="3" numFmtId="0" xfId="0" applyAlignment="1" applyBorder="1" applyFont="1">
      <alignment horizontal="center" shrinkToFit="0" vertical="center" wrapText="1"/>
    </xf>
    <xf borderId="2" fillId="0" fontId="3" numFmtId="1" xfId="0" applyAlignment="1" applyBorder="1" applyFont="1" applyNumberFormat="1">
      <alignment horizontal="center" shrinkToFit="0" vertical="center" wrapText="1"/>
    </xf>
    <xf borderId="2" fillId="0" fontId="6" numFmtId="0" xfId="0" applyAlignment="1" applyBorder="1" applyFont="1">
      <alignment horizontal="left" vertical="center"/>
    </xf>
    <xf borderId="2" fillId="0" fontId="3" numFmtId="0" xfId="0" applyAlignment="1" applyBorder="1" applyFont="1">
      <alignment horizontal="left" vertical="center"/>
    </xf>
    <xf borderId="2" fillId="3" fontId="7" numFmtId="0" xfId="0" applyAlignment="1" applyBorder="1" applyFont="1">
      <alignment horizontal="center"/>
    </xf>
    <xf borderId="2" fillId="3" fontId="8" numFmtId="0" xfId="0" applyBorder="1" applyFont="1"/>
    <xf borderId="2" fillId="0" fontId="8" numFmtId="0" xfId="0" applyBorder="1" applyFont="1"/>
    <xf borderId="2" fillId="3" fontId="8" numFmtId="0" xfId="0" applyAlignment="1" applyBorder="1" applyFont="1">
      <alignment horizontal="center"/>
    </xf>
    <xf borderId="2" fillId="0" fontId="8" numFmtId="0" xfId="0" applyAlignment="1" applyBorder="1" applyFont="1">
      <alignment horizontal="center" readingOrder="0"/>
    </xf>
    <xf borderId="2" fillId="0" fontId="8" numFmtId="0" xfId="0" applyAlignment="1" applyBorder="1" applyFont="1">
      <alignment horizontal="center"/>
    </xf>
    <xf borderId="2" fillId="0" fontId="8" numFmtId="164" xfId="0" applyAlignment="1" applyBorder="1" applyFont="1" applyNumberFormat="1">
      <alignment horizontal="center"/>
    </xf>
    <xf borderId="2" fillId="0" fontId="8" numFmtId="1" xfId="0" applyAlignment="1" applyBorder="1" applyFont="1" applyNumberFormat="1">
      <alignment horizontal="center"/>
    </xf>
    <xf borderId="2" fillId="0" fontId="8" numFmtId="4" xfId="0" applyAlignment="1" applyBorder="1" applyFont="1" applyNumberFormat="1">
      <alignment horizontal="center"/>
    </xf>
    <xf borderId="2" fillId="0" fontId="8" numFmtId="3" xfId="0" applyBorder="1" applyFont="1" applyNumberFormat="1"/>
    <xf borderId="2" fillId="0" fontId="8" numFmtId="49" xfId="0" applyAlignment="1" applyBorder="1" applyFont="1" applyNumberFormat="1">
      <alignment horizontal="center"/>
    </xf>
    <xf borderId="2" fillId="0" fontId="8" numFmtId="165" xfId="0" applyAlignment="1" applyBorder="1" applyFont="1" applyNumberFormat="1">
      <alignment horizontal="center"/>
    </xf>
    <xf borderId="2" fillId="0" fontId="8" numFmtId="0" xfId="0" applyAlignment="1" applyBorder="1" applyFont="1">
      <alignment horizontal="left"/>
    </xf>
    <xf borderId="5" fillId="0" fontId="9" numFmtId="0" xfId="0" applyAlignment="1" applyBorder="1" applyFont="1">
      <alignment horizontal="center"/>
    </xf>
    <xf borderId="2" fillId="0" fontId="10" numFmtId="0" xfId="0" applyAlignment="1" applyBorder="1" applyFont="1">
      <alignment horizontal="left"/>
    </xf>
    <xf borderId="0" fillId="0" fontId="1" numFmtId="0" xfId="0" applyFont="1"/>
    <xf borderId="0" fillId="0" fontId="11" numFmtId="0" xfId="0" applyAlignment="1" applyFont="1">
      <alignment readingOrder="0" shrinkToFit="0" vertical="bottom" wrapText="0"/>
    </xf>
    <xf borderId="1" fillId="3" fontId="8" numFmtId="0" xfId="0" applyAlignment="1" applyBorder="1" applyFont="1">
      <alignment horizontal="center" readingOrder="0"/>
    </xf>
    <xf borderId="1" fillId="3" fontId="8" numFmtId="0" xfId="0" applyAlignment="1" applyBorder="1" applyFont="1">
      <alignment horizontal="center"/>
    </xf>
    <xf borderId="0" fillId="0" fontId="8" numFmtId="0" xfId="0" applyFont="1"/>
    <xf borderId="0" fillId="0" fontId="11" numFmtId="0" xfId="0" applyAlignment="1" applyFont="1">
      <alignment horizontal="center" readingOrder="0" shrinkToFit="0" vertical="bottom" wrapText="0"/>
    </xf>
    <xf borderId="0" fillId="0" fontId="8" numFmtId="0" xfId="0" applyAlignment="1" applyFont="1">
      <alignment horizontal="center" readingOrder="0"/>
    </xf>
    <xf borderId="0" fillId="0" fontId="8" numFmtId="164" xfId="0" applyAlignment="1" applyFont="1" applyNumberFormat="1">
      <alignment horizontal="center" readingOrder="0" shrinkToFit="0" wrapText="1"/>
    </xf>
    <xf borderId="0" fillId="0" fontId="8" numFmtId="164" xfId="0" applyAlignment="1" applyFont="1" applyNumberFormat="1">
      <alignment horizontal="center"/>
    </xf>
    <xf borderId="1" fillId="3" fontId="8" numFmtId="0" xfId="0" applyAlignment="1" applyBorder="1" applyFont="1">
      <alignment horizontal="center" shrinkToFit="0" wrapText="1"/>
    </xf>
    <xf borderId="0" fillId="0" fontId="12" numFmtId="0" xfId="0" applyFont="1"/>
    <xf borderId="1" fillId="3" fontId="8" numFmtId="164" xfId="0" applyAlignment="1" applyBorder="1" applyFont="1" applyNumberFormat="1">
      <alignment horizontal="center" shrinkToFit="0" wrapText="1"/>
    </xf>
    <xf borderId="0" fillId="0" fontId="8" numFmtId="1" xfId="0" applyAlignment="1" applyFont="1" applyNumberFormat="1">
      <alignment horizontal="center"/>
    </xf>
    <xf borderId="0" fillId="0" fontId="8" numFmtId="0" xfId="0" applyAlignment="1" applyFont="1">
      <alignment horizontal="center"/>
    </xf>
    <xf borderId="0" fillId="0" fontId="8" numFmtId="166" xfId="0" applyAlignment="1" applyFont="1" applyNumberFormat="1">
      <alignment horizontal="center"/>
    </xf>
    <xf borderId="0" fillId="0" fontId="8" numFmtId="4" xfId="0" applyAlignment="1" applyFont="1" applyNumberFormat="1">
      <alignment horizontal="center"/>
    </xf>
    <xf borderId="0" fillId="0" fontId="8" numFmtId="3" xfId="0" applyFont="1" applyNumberFormat="1"/>
    <xf borderId="0" fillId="0" fontId="8" numFmtId="49" xfId="0" applyAlignment="1" applyFont="1" applyNumberFormat="1">
      <alignment horizontal="center"/>
    </xf>
    <xf borderId="0" fillId="0" fontId="8" numFmtId="165" xfId="0" applyAlignment="1" applyFont="1" applyNumberFormat="1">
      <alignment horizontal="center"/>
    </xf>
    <xf borderId="0" fillId="0" fontId="13" numFmtId="0" xfId="0" applyAlignment="1" applyFont="1">
      <alignment horizontal="left"/>
    </xf>
    <xf borderId="0" fillId="0" fontId="8" numFmtId="0" xfId="0" applyAlignment="1" applyFont="1">
      <alignment horizontal="center" shrinkToFit="0" vertical="center" wrapText="1"/>
    </xf>
    <xf borderId="0" fillId="0" fontId="14" numFmtId="0" xfId="0" applyAlignment="1" applyFont="1">
      <alignment horizontal="left"/>
    </xf>
    <xf borderId="0" fillId="0" fontId="12" numFmtId="0" xfId="0" applyAlignment="1" applyFont="1">
      <alignment horizontal="center" readingOrder="0"/>
    </xf>
    <xf borderId="0" fillId="0" fontId="12" numFmtId="164" xfId="0" applyAlignment="1" applyFont="1" applyNumberFormat="1">
      <alignment horizontal="center" readingOrder="0"/>
    </xf>
    <xf borderId="0" fillId="0" fontId="8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1" fillId="3" fontId="1" numFmtId="0" xfId="0" applyAlignment="1" applyBorder="1" applyFont="1">
      <alignment horizontal="center"/>
    </xf>
    <xf borderId="1" fillId="4" fontId="1" numFmtId="0" xfId="0" applyBorder="1" applyFill="1" applyFont="1"/>
    <xf borderId="1" fillId="4" fontId="2" numFmtId="0" xfId="0" applyAlignment="1" applyBorder="1" applyFont="1">
      <alignment vertical="center"/>
    </xf>
    <xf borderId="1" fillId="4" fontId="1" numFmtId="0" xfId="0" applyAlignment="1" applyBorder="1" applyFont="1">
      <alignment horizontal="center"/>
    </xf>
    <xf borderId="2" fillId="0" fontId="3" numFmtId="49" xfId="0" applyAlignment="1" applyBorder="1" applyFont="1" applyNumberFormat="1">
      <alignment horizontal="center" shrinkToFit="0" vertical="center" wrapText="1"/>
    </xf>
    <xf borderId="2" fillId="0" fontId="8" numFmtId="14" xfId="0" applyAlignment="1" applyBorder="1" applyFont="1" applyNumberFormat="1">
      <alignment horizontal="center"/>
    </xf>
    <xf borderId="2" fillId="0" fontId="8" numFmtId="2" xfId="0" applyAlignment="1" applyBorder="1" applyFont="1" applyNumberFormat="1">
      <alignment horizontal="center"/>
    </xf>
    <xf borderId="2" fillId="0" fontId="15" numFmtId="0" xfId="0" applyBorder="1" applyFont="1"/>
    <xf borderId="2" fillId="0" fontId="8" numFmtId="0" xfId="0" applyAlignment="1" applyBorder="1" applyFont="1">
      <alignment horizontal="center" vertical="center"/>
    </xf>
    <xf borderId="2" fillId="3" fontId="8" numFmtId="0" xfId="0" applyAlignment="1" applyBorder="1" applyFont="1">
      <alignment horizontal="left"/>
    </xf>
    <xf borderId="2" fillId="0" fontId="9" numFmtId="0" xfId="0" applyAlignment="1" applyBorder="1" applyFont="1">
      <alignment horizontal="center"/>
    </xf>
    <xf borderId="2" fillId="0" fontId="16" numFmtId="0" xfId="0" applyBorder="1" applyFont="1"/>
    <xf borderId="2" fillId="0" fontId="8" numFmtId="167" xfId="0" applyAlignment="1" applyBorder="1" applyFont="1" applyNumberFormat="1">
      <alignment horizontal="center"/>
    </xf>
    <xf quotePrefix="1" borderId="2" fillId="0" fontId="8" numFmtId="1" xfId="0" applyAlignment="1" applyBorder="1" applyFont="1" applyNumberFormat="1">
      <alignment horizontal="center" vertical="center"/>
    </xf>
    <xf borderId="2" fillId="0" fontId="8" numFmtId="1" xfId="0" applyAlignment="1" applyBorder="1" applyFont="1" applyNumberFormat="1">
      <alignment horizontal="center" vertical="center"/>
    </xf>
    <xf borderId="3" fillId="0" fontId="8" numFmtId="0" xfId="0" applyAlignment="1" applyBorder="1" applyFont="1">
      <alignment horizontal="center"/>
    </xf>
    <xf borderId="2" fillId="3" fontId="8" numFmtId="14" xfId="0" applyAlignment="1" applyBorder="1" applyFont="1" applyNumberFormat="1">
      <alignment horizontal="center"/>
    </xf>
    <xf borderId="2" fillId="0" fontId="8" numFmtId="168" xfId="0" applyAlignment="1" applyBorder="1" applyFont="1" applyNumberFormat="1">
      <alignment horizontal="center"/>
    </xf>
    <xf borderId="2" fillId="0" fontId="8" numFmtId="166" xfId="0" applyAlignment="1" applyBorder="1" applyFont="1" applyNumberFormat="1">
      <alignment horizontal="center"/>
    </xf>
    <xf borderId="2" fillId="0" fontId="17" numFmtId="0" xfId="0" applyAlignment="1" applyBorder="1" applyFont="1">
      <alignment horizontal="left"/>
    </xf>
    <xf borderId="2" fillId="5" fontId="8" numFmtId="0" xfId="0" applyAlignment="1" applyBorder="1" applyFill="1" applyFont="1">
      <alignment horizontal="center"/>
    </xf>
    <xf borderId="2" fillId="3" fontId="8" numFmtId="164" xfId="0" applyAlignment="1" applyBorder="1" applyFont="1" applyNumberFormat="1">
      <alignment horizontal="center"/>
    </xf>
    <xf borderId="2" fillId="3" fontId="8" numFmtId="4" xfId="0" applyAlignment="1" applyBorder="1" applyFont="1" applyNumberFormat="1">
      <alignment horizontal="center"/>
    </xf>
    <xf borderId="2" fillId="3" fontId="8" numFmtId="2" xfId="0" applyAlignment="1" applyBorder="1" applyFont="1" applyNumberFormat="1">
      <alignment horizontal="center"/>
    </xf>
    <xf borderId="2" fillId="3" fontId="8" numFmtId="49" xfId="0" applyAlignment="1" applyBorder="1" applyFont="1" applyNumberFormat="1">
      <alignment horizontal="center"/>
    </xf>
    <xf borderId="2" fillId="3" fontId="18" numFmtId="0" xfId="0" applyBorder="1" applyFont="1"/>
    <xf borderId="2" fillId="3" fontId="8" numFmtId="0" xfId="0" applyAlignment="1" applyBorder="1" applyFont="1">
      <alignment horizontal="center" vertical="center"/>
    </xf>
    <xf borderId="1" fillId="3" fontId="1" numFmtId="0" xfId="0" applyBorder="1" applyFont="1"/>
    <xf borderId="0" fillId="0" fontId="4" numFmtId="0" xfId="0" applyFont="1"/>
    <xf borderId="0" fillId="0" fontId="19" numFmtId="0" xfId="0" applyFont="1"/>
    <xf borderId="2" fillId="0" fontId="1" numFmtId="0" xfId="0" applyBorder="1" applyFont="1"/>
    <xf borderId="2" fillId="0" fontId="20" numFmtId="0" xfId="0" applyAlignment="1" applyBorder="1" applyFont="1">
      <alignment horizontal="left" shrinkToFit="0" vertical="center" wrapText="1"/>
    </xf>
    <xf borderId="0" fillId="0" fontId="9" numFmtId="0" xfId="0" applyAlignment="1" applyFont="1">
      <alignment horizontal="center"/>
    </xf>
    <xf borderId="2" fillId="0" fontId="9" numFmtId="0" xfId="0" applyAlignment="1" applyBorder="1" applyFont="1">
      <alignment horizontal="left"/>
    </xf>
    <xf borderId="2" fillId="0" fontId="21" numFmtId="164" xfId="0" applyAlignment="1" applyBorder="1" applyFont="1" applyNumberFormat="1">
      <alignment horizontal="center"/>
    </xf>
    <xf borderId="3" fillId="0" fontId="8" numFmtId="0" xfId="0" applyAlignment="1" applyBorder="1" applyFont="1">
      <alignment horizontal="center" vertical="center"/>
    </xf>
    <xf borderId="2" fillId="0" fontId="22" numFmtId="0" xfId="0" applyAlignment="1" applyBorder="1" applyFont="1">
      <alignment horizontal="left" vertical="center"/>
    </xf>
    <xf borderId="4" fillId="0" fontId="8" numFmtId="0" xfId="0" applyAlignment="1" applyBorder="1" applyFont="1">
      <alignment horizontal="left"/>
    </xf>
    <xf borderId="2" fillId="0" fontId="11" numFmtId="0" xfId="0" applyAlignment="1" applyBorder="1" applyFont="1">
      <alignment horizontal="center"/>
    </xf>
    <xf borderId="2" fillId="0" fontId="11" numFmtId="0" xfId="0" applyBorder="1" applyFont="1"/>
    <xf borderId="2" fillId="0" fontId="23" numFmtId="0" xfId="0" applyAlignment="1" applyBorder="1" applyFont="1">
      <alignment horizontal="left" shrinkToFit="0" vertical="center" wrapText="1"/>
    </xf>
    <xf borderId="6" fillId="0" fontId="8" numFmtId="0" xfId="0" applyAlignment="1" applyBorder="1" applyFont="1">
      <alignment horizontal="center"/>
    </xf>
    <xf borderId="6" fillId="0" fontId="8" numFmtId="164" xfId="0" applyAlignment="1" applyBorder="1" applyFont="1" applyNumberFormat="1">
      <alignment horizontal="center"/>
    </xf>
    <xf borderId="6" fillId="0" fontId="21" numFmtId="164" xfId="0" applyAlignment="1" applyBorder="1" applyFont="1" applyNumberFormat="1">
      <alignment horizontal="center"/>
    </xf>
    <xf borderId="6" fillId="0" fontId="8" numFmtId="166" xfId="0" applyAlignment="1" applyBorder="1" applyFont="1" applyNumberFormat="1">
      <alignment horizontal="center"/>
    </xf>
    <xf borderId="7" fillId="0" fontId="8" numFmtId="0" xfId="0" applyAlignment="1" applyBorder="1" applyFont="1">
      <alignment horizontal="center" vertical="center"/>
    </xf>
    <xf borderId="6" fillId="0" fontId="9" numFmtId="0" xfId="0" applyAlignment="1" applyBorder="1" applyFont="1">
      <alignment horizontal="left"/>
    </xf>
    <xf borderId="4" fillId="0" fontId="8" numFmtId="0" xfId="0" applyBorder="1" applyFont="1"/>
    <xf borderId="0" fillId="0" fontId="8" numFmtId="0" xfId="0" applyAlignment="1" applyFont="1">
      <alignment horizontal="center" vertical="center"/>
    </xf>
    <xf borderId="2" fillId="0" fontId="8" numFmtId="164" xfId="0" applyBorder="1" applyFont="1" applyNumberFormat="1"/>
    <xf borderId="3" fillId="0" fontId="8" numFmtId="0" xfId="0" applyAlignment="1" applyBorder="1" applyFont="1">
      <alignment horizontal="center" shrinkToFit="0" vertical="center" wrapText="1"/>
    </xf>
    <xf borderId="2" fillId="0" fontId="8" numFmtId="0" xfId="0" applyAlignment="1" applyBorder="1" applyFont="1">
      <alignment horizontal="right"/>
    </xf>
    <xf borderId="2" fillId="0" fontId="8" numFmtId="0" xfId="0" applyAlignment="1" applyBorder="1" applyFont="1">
      <alignment horizontal="center" shrinkToFit="0" vertical="center" wrapText="1"/>
    </xf>
    <xf borderId="2" fillId="0" fontId="13" numFmtId="0" xfId="0" applyAlignment="1" applyBorder="1" applyFont="1">
      <alignment horizontal="center"/>
    </xf>
    <xf borderId="2" fillId="0" fontId="8" numFmtId="164" xfId="0" applyAlignment="1" applyBorder="1" applyFont="1" applyNumberFormat="1">
      <alignment horizontal="center" vertical="center"/>
    </xf>
    <xf borderId="0" fillId="0" fontId="24" numFmtId="0" xfId="0" applyAlignment="1" applyFont="1">
      <alignment horizontal="left"/>
    </xf>
    <xf borderId="2" fillId="0" fontId="25" numFmtId="0" xfId="0" applyBorder="1" applyFont="1"/>
    <xf borderId="2" fillId="0" fontId="26" numFmtId="0" xfId="0" applyAlignment="1" applyBorder="1" applyFont="1">
      <alignment horizontal="left" vertical="center"/>
    </xf>
    <xf borderId="2" fillId="0" fontId="27" numFmtId="0" xfId="0" applyAlignment="1" applyBorder="1" applyFont="1">
      <alignment horizontal="left" shrinkToFit="0" vertical="center" wrapText="1"/>
    </xf>
    <xf quotePrefix="1" borderId="2" fillId="0" fontId="8" numFmtId="1" xfId="0" applyAlignment="1" applyBorder="1" applyFont="1" applyNumberFormat="1">
      <alignment horizontal="center"/>
    </xf>
    <xf borderId="1" fillId="3" fontId="7" numFmtId="0" xfId="0" applyAlignment="1" applyBorder="1" applyFont="1">
      <alignment horizontal="center"/>
    </xf>
    <xf borderId="0" fillId="0" fontId="8" numFmtId="2" xfId="0" applyAlignment="1" applyFont="1" applyNumberFormat="1">
      <alignment horizontal="center"/>
    </xf>
    <xf borderId="0" fillId="0" fontId="28" numFmtId="0" xfId="0" applyFont="1"/>
    <xf borderId="0" fillId="0" fontId="7" numFmtId="0" xfId="0" applyAlignment="1" applyFont="1">
      <alignment horizontal="center"/>
    </xf>
    <xf borderId="0" fillId="0" fontId="8" numFmtId="164" xfId="0" applyAlignment="1" applyFont="1" applyNumberFormat="1">
      <alignment horizontal="center" vertical="center"/>
    </xf>
    <xf borderId="1" fillId="6" fontId="1" numFmtId="0" xfId="0" applyAlignment="1" applyBorder="1" applyFill="1" applyFont="1">
      <alignment horizontal="center" vertical="center"/>
    </xf>
    <xf borderId="1" fillId="6" fontId="1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1" fillId="7" fontId="1" numFmtId="0" xfId="0" applyAlignment="1" applyBorder="1" applyFill="1" applyFont="1">
      <alignment horizontal="center" vertical="center"/>
    </xf>
    <xf borderId="1" fillId="8" fontId="1" numFmtId="0" xfId="0" applyAlignment="1" applyBorder="1" applyFill="1" applyFont="1">
      <alignment horizontal="center"/>
    </xf>
    <xf borderId="0" fillId="0" fontId="1" numFmtId="0" xfId="0" applyAlignment="1" applyFont="1">
      <alignment horizontal="right"/>
    </xf>
    <xf borderId="2" fillId="9" fontId="3" numFmtId="0" xfId="0" applyAlignment="1" applyBorder="1" applyFill="1" applyFont="1">
      <alignment horizontal="center" vertical="center"/>
    </xf>
    <xf borderId="2" fillId="9" fontId="3" numFmtId="0" xfId="0" applyAlignment="1" applyBorder="1" applyFont="1">
      <alignment horizontal="center" shrinkToFit="0" vertical="center" wrapText="1"/>
    </xf>
    <xf borderId="3" fillId="9" fontId="3" numFmtId="0" xfId="0" applyAlignment="1" applyBorder="1" applyFont="1">
      <alignment horizontal="center" vertical="center"/>
    </xf>
    <xf borderId="2" fillId="9" fontId="3" numFmtId="1" xfId="0" applyAlignment="1" applyBorder="1" applyFont="1" applyNumberFormat="1">
      <alignment horizontal="center" shrinkToFit="0" vertical="center" wrapText="1"/>
    </xf>
    <xf borderId="1" fillId="9" fontId="1" numFmtId="0" xfId="0" applyBorder="1" applyFont="1"/>
    <xf borderId="2" fillId="0" fontId="1" numFmtId="0" xfId="0" applyAlignment="1" applyBorder="1" applyFont="1">
      <alignment horizontal="left"/>
    </xf>
    <xf borderId="2" fillId="0" fontId="1" numFmtId="0" xfId="0" applyAlignment="1" applyBorder="1" applyFont="1">
      <alignment horizontal="center"/>
    </xf>
    <xf borderId="2" fillId="0" fontId="13" numFmtId="164" xfId="0" applyAlignment="1" applyBorder="1" applyFont="1" applyNumberFormat="1">
      <alignment horizontal="center"/>
    </xf>
    <xf borderId="2" fillId="0" fontId="1" numFmtId="164" xfId="0" applyAlignment="1" applyBorder="1" applyFont="1" applyNumberFormat="1">
      <alignment horizontal="center"/>
    </xf>
    <xf borderId="2" fillId="0" fontId="1" numFmtId="1" xfId="0" applyAlignment="1" applyBorder="1" applyFont="1" applyNumberFormat="1">
      <alignment horizontal="center"/>
    </xf>
    <xf borderId="2" fillId="0" fontId="13" numFmtId="166" xfId="0" applyAlignment="1" applyBorder="1" applyFont="1" applyNumberFormat="1">
      <alignment horizontal="center"/>
    </xf>
    <xf borderId="2" fillId="0" fontId="1" numFmtId="3" xfId="0" applyAlignment="1" applyBorder="1" applyFont="1" applyNumberFormat="1">
      <alignment horizontal="center"/>
    </xf>
    <xf borderId="2" fillId="0" fontId="1" numFmtId="4" xfId="0" applyAlignment="1" applyBorder="1" applyFont="1" applyNumberFormat="1">
      <alignment horizontal="center"/>
    </xf>
    <xf borderId="2" fillId="0" fontId="1" numFmtId="49" xfId="0" applyAlignment="1" applyBorder="1" applyFont="1" applyNumberFormat="1">
      <alignment horizontal="center"/>
    </xf>
    <xf borderId="2" fillId="0" fontId="1" numFmtId="165" xfId="0" applyAlignment="1" applyBorder="1" applyFont="1" applyNumberFormat="1">
      <alignment horizontal="center"/>
    </xf>
    <xf borderId="2" fillId="0" fontId="13" numFmtId="0" xfId="0" applyAlignment="1" applyBorder="1" applyFont="1">
      <alignment horizontal="left"/>
    </xf>
    <xf borderId="3" fillId="0" fontId="13" numFmtId="0" xfId="0" applyAlignment="1" applyBorder="1" applyFont="1">
      <alignment horizontal="center" vertical="center"/>
    </xf>
    <xf borderId="2" fillId="0" fontId="29" numFmtId="0" xfId="0" applyAlignment="1" applyBorder="1" applyFont="1">
      <alignment horizontal="left"/>
    </xf>
    <xf borderId="2" fillId="0" fontId="1" numFmtId="0" xfId="0" applyAlignment="1" applyBorder="1" applyFont="1">
      <alignment horizontal="left" vertical="center"/>
    </xf>
    <xf borderId="2" fillId="0" fontId="1" numFmtId="0" xfId="0" applyAlignment="1" applyBorder="1" applyFont="1">
      <alignment horizontal="center" vertical="center"/>
    </xf>
    <xf borderId="2" fillId="0" fontId="8" numFmtId="4" xfId="0" applyBorder="1" applyFont="1" applyNumberFormat="1"/>
    <xf borderId="2" fillId="0" fontId="1" numFmtId="0" xfId="0" applyAlignment="1" applyBorder="1" applyFont="1">
      <alignment horizontal="right"/>
    </xf>
    <xf borderId="2" fillId="0" fontId="11" numFmtId="0" xfId="0" applyAlignment="1" applyBorder="1" applyFont="1">
      <alignment horizontal="left"/>
    </xf>
    <xf borderId="2" fillId="3" fontId="8" numFmtId="3" xfId="0" applyBorder="1" applyFont="1" applyNumberFormat="1"/>
    <xf borderId="2" fillId="0" fontId="8" numFmtId="3" xfId="0" applyAlignment="1" applyBorder="1" applyFont="1" applyNumberFormat="1">
      <alignment horizontal="center"/>
    </xf>
    <xf borderId="0" fillId="0" fontId="11" numFmtId="0" xfId="0" applyFont="1"/>
    <xf borderId="0" fillId="0" fontId="11" numFmtId="0" xfId="0" applyAlignment="1" applyFont="1">
      <alignment horizontal="center"/>
    </xf>
    <xf borderId="8" fillId="0" fontId="1" numFmtId="0" xfId="0" applyBorder="1" applyFont="1"/>
    <xf borderId="2" fillId="0" fontId="8" numFmtId="1" xfId="0" applyAlignment="1" applyBorder="1" applyFont="1" applyNumberFormat="1">
      <alignment horizontal="left"/>
    </xf>
    <xf borderId="2" fillId="3" fontId="8" numFmtId="164" xfId="0" applyAlignment="1" applyBorder="1" applyFont="1" applyNumberFormat="1">
      <alignment horizontal="center" vertical="center"/>
    </xf>
    <xf borderId="4" fillId="0" fontId="13" numFmtId="0" xfId="0" applyBorder="1" applyFont="1"/>
    <xf borderId="2" fillId="0" fontId="13" numFmtId="0" xfId="0" applyBorder="1" applyFont="1"/>
    <xf borderId="2" fillId="0" fontId="1" numFmtId="14" xfId="0" applyAlignment="1" applyBorder="1" applyFont="1" applyNumberFormat="1">
      <alignment horizontal="center"/>
    </xf>
    <xf borderId="2" fillId="0" fontId="1" numFmtId="2" xfId="0" applyAlignment="1" applyBorder="1" applyFont="1" applyNumberFormat="1">
      <alignment horizontal="center"/>
    </xf>
    <xf borderId="2" fillId="0" fontId="30" numFmtId="0" xfId="0" applyAlignment="1" applyBorder="1" applyFont="1">
      <alignment horizontal="left"/>
    </xf>
    <xf borderId="2" fillId="0" fontId="13" numFmtId="0" xfId="0" applyAlignment="1" applyBorder="1" applyFont="1">
      <alignment horizontal="center" vertical="center"/>
    </xf>
    <xf quotePrefix="1" borderId="2" fillId="0" fontId="13" numFmtId="0" xfId="0" applyAlignment="1" applyBorder="1" applyFont="1">
      <alignment horizontal="center" vertical="center"/>
    </xf>
    <xf borderId="2" fillId="3" fontId="1" numFmtId="0" xfId="0" applyBorder="1" applyFont="1"/>
    <xf borderId="6" fillId="0" fontId="8" numFmtId="0" xfId="0" applyBorder="1" applyFont="1"/>
    <xf borderId="2" fillId="0" fontId="7" numFmtId="0" xfId="0" applyAlignment="1" applyBorder="1" applyFont="1">
      <alignment horizontal="center"/>
    </xf>
    <xf borderId="8" fillId="0" fontId="1" numFmtId="0" xfId="0" applyAlignment="1" applyBorder="1" applyFont="1">
      <alignment horizontal="right"/>
    </xf>
    <xf borderId="2" fillId="0" fontId="31" numFmtId="0" xfId="0" applyAlignment="1" applyBorder="1" applyFont="1">
      <alignment shrinkToFit="0" vertical="center" wrapText="1"/>
    </xf>
    <xf borderId="3" fillId="0" fontId="8" numFmtId="0" xfId="0" applyBorder="1" applyFont="1"/>
    <xf borderId="9" fillId="3" fontId="1" numFmtId="0" xfId="0" applyBorder="1" applyFont="1"/>
    <xf borderId="4" fillId="0" fontId="1" numFmtId="0" xfId="0" applyBorder="1" applyFont="1"/>
    <xf borderId="6" fillId="10" fontId="32" numFmtId="0" xfId="0" applyAlignment="1" applyBorder="1" applyFill="1" applyFont="1">
      <alignment horizontal="center" vertical="center"/>
    </xf>
    <xf borderId="7" fillId="10" fontId="32" numFmtId="0" xfId="0" applyAlignment="1" applyBorder="1" applyFont="1">
      <alignment horizontal="center" vertical="center"/>
    </xf>
    <xf borderId="10" fillId="0" fontId="5" numFmtId="0" xfId="0" applyBorder="1" applyFont="1"/>
    <xf borderId="11" fillId="0" fontId="5" numFmtId="0" xfId="0" applyBorder="1" applyFont="1"/>
    <xf borderId="6" fillId="10" fontId="32" numFmtId="0" xfId="0" applyAlignment="1" applyBorder="1" applyFont="1">
      <alignment horizontal="center" shrinkToFit="0" vertical="center" wrapText="1"/>
    </xf>
    <xf borderId="3" fillId="10" fontId="32" numFmtId="0" xfId="0" applyAlignment="1" applyBorder="1" applyFont="1">
      <alignment horizontal="center" vertical="center"/>
    </xf>
    <xf borderId="12" fillId="0" fontId="5" numFmtId="0" xfId="0" applyBorder="1" applyFont="1"/>
    <xf borderId="8" fillId="0" fontId="5" numFmtId="0" xfId="0" applyBorder="1" applyFont="1"/>
    <xf borderId="13" fillId="0" fontId="5" numFmtId="0" xfId="0" applyBorder="1" applyFont="1"/>
    <xf borderId="14" fillId="0" fontId="5" numFmtId="0" xfId="0" applyBorder="1" applyFont="1"/>
    <xf borderId="6" fillId="10" fontId="32" numFmtId="0" xfId="0" applyAlignment="1" applyBorder="1" applyFont="1">
      <alignment horizontal="left" vertical="center"/>
    </xf>
    <xf borderId="15" fillId="0" fontId="5" numFmtId="0" xfId="0" applyBorder="1" applyFont="1"/>
    <xf borderId="5" fillId="0" fontId="5" numFmtId="0" xfId="0" applyBorder="1" applyFont="1"/>
    <xf borderId="16" fillId="0" fontId="5" numFmtId="0" xfId="0" applyBorder="1" applyFont="1"/>
    <xf borderId="17" fillId="0" fontId="5" numFmtId="0" xfId="0" applyBorder="1" applyFont="1"/>
    <xf borderId="2" fillId="10" fontId="32" numFmtId="0" xfId="0" applyAlignment="1" applyBorder="1" applyFont="1">
      <alignment horizontal="center" vertical="center"/>
    </xf>
    <xf borderId="2" fillId="0" fontId="6" numFmtId="0" xfId="0" applyAlignment="1" applyBorder="1" applyFont="1">
      <alignment horizontal="center"/>
    </xf>
    <xf borderId="2" fillId="0" fontId="13" numFmtId="0" xfId="0" applyAlignment="1" applyBorder="1" applyFont="1">
      <alignment horizontal="center" vertical="top"/>
    </xf>
    <xf borderId="2" fillId="0" fontId="13" numFmtId="0" xfId="0" applyAlignment="1" applyBorder="1" applyFont="1">
      <alignment horizontal="left" vertical="top"/>
    </xf>
    <xf borderId="2" fillId="0" fontId="13" numFmtId="166" xfId="0" applyAlignment="1" applyBorder="1" applyFont="1" applyNumberFormat="1">
      <alignment horizontal="center" vertical="top"/>
    </xf>
    <xf borderId="2" fillId="0" fontId="13" numFmtId="1" xfId="0" applyAlignment="1" applyBorder="1" applyFont="1" applyNumberFormat="1">
      <alignment horizontal="center" vertical="top"/>
    </xf>
    <xf quotePrefix="1" borderId="2" fillId="0" fontId="13" numFmtId="1" xfId="0" applyAlignment="1" applyBorder="1" applyFont="1" applyNumberFormat="1">
      <alignment horizontal="center" vertical="top"/>
    </xf>
    <xf borderId="2" fillId="0" fontId="6" numFmtId="0" xfId="0" applyAlignment="1" applyBorder="1" applyFont="1">
      <alignment horizontal="center" vertical="top"/>
    </xf>
    <xf borderId="2" fillId="0" fontId="13" numFmtId="49" xfId="0" applyAlignment="1" applyBorder="1" applyFont="1" applyNumberFormat="1">
      <alignment horizontal="center" vertical="top"/>
    </xf>
    <xf borderId="2" fillId="0" fontId="13" numFmtId="0" xfId="0" applyAlignment="1" applyBorder="1" applyFont="1">
      <alignment horizontal="center" shrinkToFit="0" vertical="top" wrapText="1"/>
    </xf>
    <xf borderId="2" fillId="0" fontId="13" numFmtId="0" xfId="0" applyAlignment="1" applyBorder="1" applyFont="1">
      <alignment horizontal="left" shrinkToFit="0" vertical="top" wrapText="1"/>
    </xf>
    <xf borderId="2" fillId="0" fontId="13" numFmtId="0" xfId="0" applyAlignment="1" applyBorder="1" applyFont="1">
      <alignment horizontal="center" shrinkToFit="0" vertical="center" wrapText="1"/>
    </xf>
    <xf borderId="2" fillId="0" fontId="13" numFmtId="0" xfId="0" applyAlignment="1" applyBorder="1" applyFont="1">
      <alignment horizontal="left" vertical="center"/>
    </xf>
    <xf borderId="2" fillId="0" fontId="13" numFmtId="166" xfId="0" applyAlignment="1" applyBorder="1" applyFont="1" applyNumberFormat="1">
      <alignment horizontal="center" vertical="center"/>
    </xf>
    <xf quotePrefix="1" borderId="2" fillId="0" fontId="13" numFmtId="0" xfId="0" applyAlignment="1" applyBorder="1" applyFont="1">
      <alignment horizontal="center" vertical="top"/>
    </xf>
    <xf borderId="2" fillId="0" fontId="13" numFmtId="1" xfId="0" applyAlignment="1" applyBorder="1" applyFont="1" applyNumberFormat="1">
      <alignment horizontal="center"/>
    </xf>
    <xf borderId="2" fillId="0" fontId="13" numFmtId="1" xfId="0" applyAlignment="1" applyBorder="1" applyFont="1" applyNumberFormat="1">
      <alignment horizontal="center" vertical="center"/>
    </xf>
    <xf quotePrefix="1" borderId="2" fillId="0" fontId="13" numFmtId="1" xfId="0" applyAlignment="1" applyBorder="1" applyFont="1" applyNumberFormat="1">
      <alignment horizontal="center"/>
    </xf>
    <xf quotePrefix="1" borderId="2" fillId="0" fontId="13" numFmtId="0" xfId="0" applyAlignment="1" applyBorder="1" applyFont="1">
      <alignment horizontal="center"/>
    </xf>
    <xf borderId="2" fillId="0" fontId="33" numFmtId="0" xfId="0" applyAlignment="1" applyBorder="1" applyFont="1">
      <alignment horizontal="center"/>
    </xf>
    <xf borderId="2" fillId="0" fontId="13" numFmtId="169" xfId="0" applyAlignment="1" applyBorder="1" applyFont="1" applyNumberFormat="1">
      <alignment horizontal="center"/>
    </xf>
    <xf borderId="2" fillId="0" fontId="6" numFmtId="0" xfId="0" applyBorder="1" applyFont="1"/>
    <xf borderId="2" fillId="0" fontId="6" numFmtId="0" xfId="0" applyAlignment="1" applyBorder="1" applyFont="1">
      <alignment horizontal="left"/>
    </xf>
    <xf borderId="0" fillId="0" fontId="6" numFmtId="0" xfId="0" applyAlignment="1" applyFont="1">
      <alignment horizontal="center"/>
    </xf>
    <xf borderId="2" fillId="0" fontId="34" numFmtId="0" xfId="0" applyAlignment="1" applyBorder="1" applyFont="1">
      <alignment horizontal="center" vertical="center"/>
    </xf>
    <xf borderId="0" fillId="0" fontId="13" numFmtId="0" xfId="0" applyAlignment="1" applyFont="1">
      <alignment horizontal="center"/>
    </xf>
    <xf borderId="2" fillId="0" fontId="35" numFmtId="0" xfId="0" applyAlignment="1" applyBorder="1" applyFont="1">
      <alignment horizontal="center"/>
    </xf>
    <xf borderId="6" fillId="0" fontId="13" numFmtId="0" xfId="0" applyAlignment="1" applyBorder="1" applyFont="1">
      <alignment horizontal="center"/>
    </xf>
    <xf borderId="3" fillId="0" fontId="13" numFmtId="0" xfId="0" applyAlignment="1" applyBorder="1" applyFont="1">
      <alignment horizontal="left"/>
    </xf>
    <xf borderId="0" fillId="0" fontId="35" numFmtId="0" xfId="0" applyAlignment="1" applyFont="1">
      <alignment horizontal="center"/>
    </xf>
    <xf borderId="2" fillId="5" fontId="13" numFmtId="0" xfId="0" applyAlignment="1" applyBorder="1" applyFont="1">
      <alignment horizontal="center"/>
    </xf>
    <xf borderId="3" fillId="0" fontId="13" numFmtId="0" xfId="0" applyAlignment="1" applyBorder="1" applyFont="1">
      <alignment horizontal="center"/>
    </xf>
    <xf borderId="2" fillId="7" fontId="13" numFmtId="0" xfId="0" applyAlignment="1" applyBorder="1" applyFont="1">
      <alignment horizontal="left" vertical="center"/>
    </xf>
    <xf borderId="2" fillId="5" fontId="35" numFmtId="0" xfId="0" applyAlignment="1" applyBorder="1" applyFont="1">
      <alignment horizontal="center"/>
    </xf>
    <xf borderId="2" fillId="0" fontId="13" numFmtId="170" xfId="0" applyAlignment="1" applyBorder="1" applyFont="1" applyNumberFormat="1">
      <alignment horizontal="center"/>
    </xf>
    <xf borderId="8" fillId="0" fontId="13" numFmtId="0" xfId="0" applyAlignment="1" applyBorder="1" applyFont="1">
      <alignment horizontal="center"/>
    </xf>
    <xf borderId="0" fillId="0" fontId="36" numFmtId="0" xfId="0" applyAlignment="1" applyFont="1">
      <alignment horizontal="center"/>
    </xf>
    <xf borderId="2" fillId="0" fontId="36" numFmtId="0" xfId="0" applyAlignment="1" applyBorder="1" applyFont="1">
      <alignment horizontal="center"/>
    </xf>
    <xf borderId="2" fillId="0" fontId="13" numFmtId="167" xfId="0" applyAlignment="1" applyBorder="1" applyFont="1" applyNumberFormat="1">
      <alignment horizontal="center"/>
    </xf>
    <xf borderId="4" fillId="0" fontId="13" numFmtId="0" xfId="0" applyAlignment="1" applyBorder="1" applyFont="1">
      <alignment horizontal="center"/>
    </xf>
    <xf borderId="8" fillId="0" fontId="1" numFmtId="0" xfId="0" applyAlignment="1" applyBorder="1" applyFont="1">
      <alignment horizontal="center"/>
    </xf>
    <xf borderId="3" fillId="0" fontId="8" numFmtId="0" xfId="0" applyAlignment="1" applyBorder="1" applyFont="1">
      <alignment horizontal="left"/>
    </xf>
    <xf borderId="2" fillId="11" fontId="13" numFmtId="0" xfId="0" applyBorder="1" applyFill="1" applyFont="1"/>
    <xf borderId="0" fillId="0" fontId="25" numFmtId="0" xfId="0" applyFont="1"/>
    <xf borderId="2" fillId="11" fontId="8" numFmtId="0" xfId="0" applyAlignment="1" applyBorder="1" applyFont="1">
      <alignment horizontal="left"/>
    </xf>
    <xf borderId="2" fillId="3" fontId="13" numFmtId="0" xfId="0" applyAlignment="1" applyBorder="1" applyFont="1">
      <alignment horizontal="center"/>
    </xf>
    <xf borderId="2" fillId="0" fontId="29" numFmtId="0" xfId="0" applyBorder="1" applyFont="1"/>
    <xf borderId="2" fillId="0" fontId="37" numFmtId="0" xfId="0" applyAlignment="1" applyBorder="1" applyFont="1">
      <alignment shrinkToFit="0" vertical="center" wrapText="1"/>
    </xf>
    <xf borderId="3" fillId="0" fontId="1" numFmtId="0" xfId="0" applyAlignment="1" applyBorder="1" applyFont="1">
      <alignment horizontal="left"/>
    </xf>
    <xf borderId="2" fillId="0" fontId="38" numFmtId="0" xfId="0" applyBorder="1" applyFont="1"/>
    <xf borderId="0" fillId="0" fontId="29" numFmtId="0" xfId="0" applyAlignment="1" applyFont="1">
      <alignment horizontal="center"/>
    </xf>
    <xf borderId="2" fillId="0" fontId="39" numFmtId="0" xfId="0" applyAlignment="1" applyBorder="1" applyFont="1">
      <alignment shrinkToFit="0" vertical="center" wrapText="1"/>
    </xf>
    <xf borderId="0" fillId="0" fontId="29" numFmtId="0" xfId="0" applyFont="1"/>
    <xf borderId="15" fillId="0" fontId="6" numFmtId="0" xfId="0" applyAlignment="1" applyBorder="1" applyFont="1">
      <alignment horizontal="center"/>
    </xf>
    <xf borderId="18" fillId="11" fontId="13" numFmtId="0" xfId="0" applyBorder="1" applyFont="1"/>
    <xf borderId="2" fillId="0" fontId="40" numFmtId="0" xfId="0" applyAlignment="1" applyBorder="1" applyFont="1">
      <alignment vertical="center"/>
    </xf>
    <xf borderId="18" fillId="11" fontId="13" numFmtId="0" xfId="0" applyAlignment="1" applyBorder="1" applyFont="1">
      <alignment horizontal="left"/>
    </xf>
    <xf borderId="2" fillId="11" fontId="13" numFmtId="0" xfId="0" applyAlignment="1" applyBorder="1" applyFont="1">
      <alignment horizontal="left"/>
    </xf>
    <xf borderId="1" fillId="11" fontId="1" numFmtId="0" xfId="0" applyBorder="1" applyFont="1"/>
    <xf borderId="2" fillId="0" fontId="29" numFmtId="0" xfId="0" applyAlignment="1" applyBorder="1" applyFont="1">
      <alignment shrinkToFit="0" wrapText="1"/>
    </xf>
    <xf borderId="18" fillId="12" fontId="13" numFmtId="0" xfId="0" applyBorder="1" applyFill="1" applyFont="1"/>
    <xf borderId="2" fillId="12" fontId="13" numFmtId="0" xfId="0" applyAlignment="1" applyBorder="1" applyFont="1">
      <alignment horizontal="left"/>
    </xf>
    <xf borderId="2" fillId="12" fontId="13" numFmtId="0" xfId="0" applyBorder="1" applyFont="1"/>
    <xf borderId="2" fillId="0" fontId="41" numFmtId="0" xfId="0" applyAlignment="1" applyBorder="1" applyFont="1">
      <alignment vertical="center"/>
    </xf>
    <xf borderId="19" fillId="12" fontId="13" numFmtId="0" xfId="0" applyBorder="1" applyFont="1"/>
    <xf borderId="20" fillId="12" fontId="13" numFmtId="0" xfId="0" applyAlignment="1" applyBorder="1" applyFont="1">
      <alignment horizontal="left"/>
    </xf>
    <xf borderId="20" fillId="12" fontId="13" numFmtId="0" xfId="0" applyBorder="1" applyFont="1"/>
    <xf borderId="6" fillId="0" fontId="13" numFmtId="166" xfId="0" applyAlignment="1" applyBorder="1" applyFont="1" applyNumberFormat="1">
      <alignment horizontal="center"/>
    </xf>
    <xf borderId="7" fillId="0" fontId="13" numFmtId="0" xfId="0" applyAlignment="1" applyBorder="1" applyFont="1">
      <alignment horizontal="center"/>
    </xf>
    <xf borderId="6" fillId="0" fontId="42" numFmtId="0" xfId="0" applyAlignment="1" applyBorder="1" applyFont="1">
      <alignment shrinkToFit="0" vertical="center" wrapText="1"/>
    </xf>
    <xf borderId="11" fillId="0" fontId="13" numFmtId="0" xfId="0" applyAlignment="1" applyBorder="1" applyFont="1">
      <alignment horizontal="center"/>
    </xf>
    <xf borderId="6" fillId="0" fontId="13" numFmtId="0" xfId="0" applyBorder="1" applyFont="1"/>
    <xf borderId="2" fillId="0" fontId="13" numFmtId="171" xfId="0" applyAlignment="1" applyBorder="1" applyFont="1" applyNumberFormat="1">
      <alignment horizontal="center"/>
    </xf>
    <xf borderId="8" fillId="0" fontId="13" numFmtId="0" xfId="0" applyAlignment="1" applyBorder="1" applyFont="1">
      <alignment horizontal="left"/>
    </xf>
    <xf borderId="2" fillId="0" fontId="43" numFmtId="0" xfId="0" applyBorder="1" applyFont="1"/>
    <xf borderId="2" fillId="3" fontId="43" numFmtId="0" xfId="0" applyBorder="1" applyFont="1"/>
    <xf borderId="0" fillId="0" fontId="13" numFmtId="167" xfId="0" applyAlignment="1" applyFont="1" applyNumberFormat="1">
      <alignment horizontal="center"/>
    </xf>
    <xf borderId="2" fillId="0" fontId="44" numFmtId="0" xfId="0" applyAlignment="1" applyBorder="1" applyFont="1">
      <alignment shrinkToFit="0" vertical="center" wrapText="1"/>
    </xf>
    <xf borderId="2" fillId="0" fontId="45" numFmtId="0" xfId="0" applyAlignment="1" applyBorder="1" applyFont="1">
      <alignment horizontal="center"/>
    </xf>
    <xf borderId="5" fillId="0" fontId="13" numFmtId="0" xfId="0" applyAlignment="1" applyBorder="1" applyFont="1">
      <alignment horizontal="center" vertical="center"/>
    </xf>
    <xf borderId="2" fillId="0" fontId="29" numFmtId="0" xfId="0" applyAlignment="1" applyBorder="1" applyFont="1">
      <alignment horizontal="center"/>
    </xf>
    <xf borderId="2" fillId="0" fontId="46" numFmtId="0" xfId="0" applyAlignment="1" applyBorder="1" applyFont="1">
      <alignment shrinkToFit="0" wrapText="1"/>
    </xf>
    <xf borderId="2" fillId="3" fontId="13" numFmtId="166" xfId="0" applyAlignment="1" applyBorder="1" applyFont="1" applyNumberFormat="1">
      <alignment horizontal="center"/>
    </xf>
    <xf borderId="0" fillId="0" fontId="47" numFmtId="0" xfId="0" applyAlignment="1" applyFont="1">
      <alignment shrinkToFit="0" wrapText="1"/>
    </xf>
    <xf borderId="20" fillId="11" fontId="13" numFmtId="0" xfId="0" applyBorder="1" applyFont="1"/>
    <xf borderId="6" fillId="0" fontId="13" numFmtId="0" xfId="0" applyAlignment="1" applyBorder="1" applyFont="1">
      <alignment horizontal="center" vertical="center"/>
    </xf>
    <xf borderId="8" fillId="0" fontId="13" numFmtId="0" xfId="0" applyAlignment="1" applyBorder="1" applyFont="1">
      <alignment horizontal="center" shrinkToFit="0" vertical="center" wrapText="1"/>
    </xf>
    <xf borderId="0" fillId="0" fontId="29" numFmtId="0" xfId="0" applyAlignment="1" applyFont="1">
      <alignment shrinkToFit="0" wrapText="1"/>
    </xf>
    <xf borderId="20" fillId="3" fontId="13" numFmtId="0" xfId="0" applyAlignment="1" applyBorder="1" applyFont="1">
      <alignment horizontal="center"/>
    </xf>
    <xf borderId="6" fillId="0" fontId="13" numFmtId="0" xfId="0" applyAlignment="1" applyBorder="1" applyFont="1">
      <alignment horizontal="left"/>
    </xf>
    <xf quotePrefix="1" borderId="2" fillId="0" fontId="13" numFmtId="172" xfId="0" applyAlignment="1" applyBorder="1" applyFont="1" applyNumberFormat="1">
      <alignment horizontal="center"/>
    </xf>
    <xf borderId="2" fillId="0" fontId="13" numFmtId="172" xfId="0" applyAlignment="1" applyBorder="1" applyFont="1" applyNumberFormat="1">
      <alignment horizontal="center"/>
    </xf>
    <xf borderId="0" fillId="0" fontId="48" numFmtId="0" xfId="0" applyFont="1"/>
    <xf borderId="3" fillId="0" fontId="13" numFmtId="166" xfId="0" applyAlignment="1" applyBorder="1" applyFont="1" applyNumberFormat="1">
      <alignment horizontal="left" vertical="top"/>
    </xf>
    <xf borderId="2" fillId="0" fontId="13" numFmtId="166" xfId="0" applyAlignment="1" applyBorder="1" applyFont="1" applyNumberFormat="1">
      <alignment horizontal="left" vertical="top"/>
    </xf>
    <xf borderId="0" fillId="0" fontId="49" numFmtId="0" xfId="0" applyAlignment="1" applyFont="1">
      <alignment horizontal="center" vertical="center"/>
    </xf>
    <xf borderId="21" fillId="13" fontId="50" numFmtId="0" xfId="0" applyAlignment="1" applyBorder="1" applyFill="1" applyFont="1">
      <alignment horizontal="center"/>
    </xf>
    <xf borderId="22" fillId="0" fontId="5" numFmtId="0" xfId="0" applyBorder="1" applyFont="1"/>
    <xf borderId="23" fillId="0" fontId="5" numFmtId="0" xfId="0" applyBorder="1" applyFont="1"/>
    <xf borderId="0" fillId="0" fontId="1" numFmtId="164" xfId="0" applyAlignment="1" applyFont="1" applyNumberFormat="1">
      <alignment horizontal="center"/>
    </xf>
    <xf borderId="1" fillId="3" fontId="1" numFmtId="0" xfId="0" applyAlignment="1" applyBorder="1" applyFont="1">
      <alignment vertical="top"/>
    </xf>
    <xf borderId="1" fillId="13" fontId="50" numFmtId="0" xfId="0" applyAlignment="1" applyBorder="1" applyFont="1">
      <alignment horizontal="center"/>
    </xf>
    <xf borderId="2" fillId="2" fontId="51" numFmtId="0" xfId="0" applyBorder="1" applyFont="1"/>
    <xf borderId="2" fillId="2" fontId="50" numFmtId="0" xfId="0" applyAlignment="1" applyBorder="1" applyFont="1">
      <alignment vertical="center"/>
    </xf>
    <xf borderId="2" fillId="2" fontId="52" numFmtId="0" xfId="0" applyAlignment="1" applyBorder="1" applyFont="1">
      <alignment horizontal="center"/>
    </xf>
    <xf borderId="2" fillId="2" fontId="52" numFmtId="0" xfId="0" applyBorder="1" applyFont="1"/>
    <xf borderId="2" fillId="2" fontId="51" numFmtId="0" xfId="0" applyAlignment="1" applyBorder="1" applyFont="1">
      <alignment horizontal="center"/>
    </xf>
    <xf borderId="2" fillId="2" fontId="51" numFmtId="173" xfId="0" applyBorder="1" applyFont="1" applyNumberFormat="1"/>
    <xf borderId="0" fillId="0" fontId="51" numFmtId="0" xfId="0" applyFont="1"/>
    <xf borderId="6" fillId="0" fontId="53" numFmtId="0" xfId="0" applyAlignment="1" applyBorder="1" applyFont="1">
      <alignment horizontal="center" shrinkToFit="0" vertical="center" wrapText="1"/>
    </xf>
    <xf borderId="6" fillId="3" fontId="54" numFmtId="0" xfId="0" applyAlignment="1" applyBorder="1" applyFont="1">
      <alignment horizontal="center" shrinkToFit="0" vertical="center" wrapText="1"/>
    </xf>
    <xf borderId="6" fillId="0" fontId="54" numFmtId="0" xfId="0" applyAlignment="1" applyBorder="1" applyFont="1">
      <alignment horizontal="center" shrinkToFit="0" vertical="center" wrapText="1"/>
    </xf>
    <xf borderId="3" fillId="0" fontId="53" numFmtId="0" xfId="0" applyAlignment="1" applyBorder="1" applyFont="1">
      <alignment horizontal="center" shrinkToFit="0" vertical="center" wrapText="1"/>
    </xf>
    <xf borderId="6" fillId="0" fontId="53" numFmtId="173" xfId="0" applyAlignment="1" applyBorder="1" applyFont="1" applyNumberFormat="1">
      <alignment horizontal="center" shrinkToFit="0" vertical="center" wrapText="1"/>
    </xf>
    <xf borderId="0" fillId="0" fontId="43" numFmtId="0" xfId="0" applyFont="1"/>
    <xf borderId="2" fillId="0" fontId="4" numFmtId="0" xfId="0" applyAlignment="1" applyBorder="1" applyFont="1">
      <alignment horizontal="center"/>
    </xf>
    <xf borderId="2" fillId="0" fontId="4" numFmtId="173" xfId="0" applyAlignment="1" applyBorder="1" applyFont="1" applyNumberFormat="1">
      <alignment horizontal="center"/>
    </xf>
    <xf borderId="2" fillId="0" fontId="1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2" fillId="0" fontId="55" numFmtId="0" xfId="0" applyAlignment="1" applyBorder="1" applyFont="1">
      <alignment horizontal="center" shrinkToFit="0" vertical="center" wrapText="1"/>
    </xf>
    <xf borderId="2" fillId="0" fontId="55" numFmtId="0" xfId="0" applyAlignment="1" applyBorder="1" applyFont="1">
      <alignment horizontal="center" shrinkToFit="0" wrapText="1"/>
    </xf>
    <xf borderId="2" fillId="3" fontId="4" numFmtId="0" xfId="0" applyAlignment="1" applyBorder="1" applyFont="1">
      <alignment horizontal="center"/>
    </xf>
    <xf borderId="2" fillId="3" fontId="55" numFmtId="0" xfId="0" applyAlignment="1" applyBorder="1" applyFont="1">
      <alignment horizontal="center"/>
    </xf>
    <xf borderId="2" fillId="0" fontId="55" numFmtId="0" xfId="0" applyAlignment="1" applyBorder="1" applyFont="1">
      <alignment horizontal="center"/>
    </xf>
    <xf borderId="2" fillId="0" fontId="55" numFmtId="164" xfId="0" applyAlignment="1" applyBorder="1" applyFont="1" applyNumberFormat="1">
      <alignment horizontal="center"/>
    </xf>
    <xf borderId="2" fillId="0" fontId="1" numFmtId="173" xfId="0" applyBorder="1" applyFont="1" applyNumberFormat="1"/>
    <xf borderId="0" fillId="0" fontId="1" numFmtId="173" xfId="0" applyFont="1" applyNumberFormat="1"/>
    <xf borderId="2" fillId="0" fontId="56" numFmtId="164" xfId="0" applyAlignment="1" applyBorder="1" applyFont="1" applyNumberFormat="1">
      <alignment horizontal="center"/>
    </xf>
    <xf borderId="0" fillId="0" fontId="55" numFmtId="0" xfId="0" applyFont="1"/>
    <xf borderId="7" fillId="0" fontId="57" numFmtId="0" xfId="0" applyAlignment="1" applyBorder="1" applyFont="1">
      <alignment horizontal="center" shrinkToFit="0" vertical="center" wrapText="1"/>
    </xf>
    <xf borderId="6" fillId="0" fontId="57" numFmtId="173" xfId="0" applyAlignment="1" applyBorder="1" applyFont="1" applyNumberFormat="1">
      <alignment horizontal="center" shrinkToFit="0" vertical="center" wrapText="1"/>
    </xf>
    <xf borderId="0" fillId="0" fontId="55" numFmtId="0" xfId="0" applyAlignment="1" applyFont="1">
      <alignment horizontal="center"/>
    </xf>
    <xf borderId="0" fillId="0" fontId="58" numFmtId="0" xfId="0" applyFont="1"/>
    <xf borderId="0" fillId="0" fontId="58" numFmtId="0" xfId="0" applyAlignment="1" applyFont="1">
      <alignment horizontal="center"/>
    </xf>
    <xf borderId="0" fillId="0" fontId="58" numFmtId="173" xfId="0" applyFont="1" applyNumberFormat="1"/>
    <xf borderId="1" fillId="3" fontId="55" numFmtId="0" xfId="0" applyAlignment="1" applyBorder="1" applyFont="1">
      <alignment horizontal="center"/>
    </xf>
    <xf borderId="6" fillId="5" fontId="53" numFmtId="0" xfId="0" applyAlignment="1" applyBorder="1" applyFont="1">
      <alignment horizontal="center" shrinkToFit="0" vertical="center" wrapText="1"/>
    </xf>
    <xf borderId="2" fillId="0" fontId="56" numFmtId="0" xfId="0" applyAlignment="1" applyBorder="1" applyFont="1">
      <alignment horizontal="center"/>
    </xf>
    <xf borderId="3" fillId="0" fontId="4" numFmtId="0" xfId="0" applyAlignment="1" applyBorder="1" applyFont="1">
      <alignment horizontal="left" shrinkToFit="0" vertical="top" wrapText="1"/>
    </xf>
    <xf borderId="2" fillId="0" fontId="57" numFmtId="173" xfId="0" applyAlignment="1" applyBorder="1" applyFont="1" applyNumberFormat="1">
      <alignment horizontal="center" shrinkToFit="0" vertical="center" wrapText="1"/>
    </xf>
    <xf borderId="2" fillId="0" fontId="57" numFmtId="0" xfId="0" applyAlignment="1" applyBorder="1" applyFont="1">
      <alignment horizontal="center" shrinkToFit="0" vertical="center" wrapText="1"/>
    </xf>
    <xf borderId="2" fillId="3" fontId="56" numFmtId="0" xfId="0" applyAlignment="1" applyBorder="1" applyFont="1">
      <alignment horizontal="center"/>
    </xf>
    <xf borderId="8" fillId="0" fontId="57" numFmtId="173" xfId="0" applyAlignment="1" applyBorder="1" applyFont="1" applyNumberFormat="1">
      <alignment horizontal="center" shrinkToFit="0" vertical="center" wrapText="1"/>
    </xf>
    <xf borderId="0" fillId="0" fontId="56" numFmtId="0" xfId="0" applyAlignment="1" applyFont="1">
      <alignment horizontal="center"/>
    </xf>
    <xf borderId="2" fillId="3" fontId="7" numFmtId="0" xfId="0" applyAlignment="1" applyBorder="1" applyFont="1">
      <alignment horizontal="left"/>
    </xf>
    <xf borderId="1" fillId="3" fontId="8" numFmtId="0" xfId="0" applyBorder="1" applyFont="1"/>
    <xf borderId="0" fillId="0" fontId="59" numFmtId="0" xfId="0" applyAlignment="1" applyFont="1">
      <alignment horizontal="center"/>
    </xf>
    <xf borderId="6" fillId="12" fontId="3" numFmtId="0" xfId="0" applyAlignment="1" applyBorder="1" applyFont="1">
      <alignment horizontal="center" vertical="center"/>
    </xf>
    <xf borderId="6" fillId="12" fontId="53" numFmtId="0" xfId="0" applyAlignment="1" applyBorder="1" applyFont="1">
      <alignment horizontal="center" shrinkToFit="0" vertical="center" wrapText="1"/>
    </xf>
    <xf borderId="2" fillId="0" fontId="13" numFmtId="0" xfId="0" applyAlignment="1" applyBorder="1" applyFont="1">
      <alignment vertical="center"/>
    </xf>
    <xf borderId="2" fillId="0" fontId="1" numFmtId="4" xfId="0" applyAlignment="1" applyBorder="1" applyFont="1" applyNumberFormat="1">
      <alignment horizontal="center" vertical="center"/>
    </xf>
    <xf borderId="24" fillId="0" fontId="13" numFmtId="0" xfId="0" applyBorder="1" applyFont="1"/>
    <xf borderId="24" fillId="0" fontId="13" numFmtId="0" xfId="0" applyAlignment="1" applyBorder="1" applyFont="1">
      <alignment horizontal="center"/>
    </xf>
    <xf borderId="24" fillId="0" fontId="1" numFmtId="4" xfId="0" applyAlignment="1" applyBorder="1" applyFont="1" applyNumberFormat="1">
      <alignment horizontal="center"/>
    </xf>
    <xf borderId="6" fillId="0" fontId="3" numFmtId="0" xfId="0" applyAlignment="1" applyBorder="1" applyFont="1">
      <alignment horizontal="center" vertical="center"/>
    </xf>
    <xf borderId="2" fillId="0" fontId="1" numFmtId="0" xfId="0" applyAlignment="1" applyBorder="1" applyFont="1">
      <alignment vertical="center"/>
    </xf>
    <xf borderId="2" fillId="0" fontId="43" numFmtId="0" xfId="0" applyAlignment="1" applyBorder="1" applyFont="1">
      <alignment vertical="center"/>
    </xf>
    <xf borderId="24" fillId="0" fontId="1" numFmtId="0" xfId="0" applyBorder="1" applyFont="1"/>
    <xf borderId="24" fillId="0" fontId="1" numFmtId="0" xfId="0" applyAlignment="1" applyBorder="1" applyFont="1">
      <alignment horizontal="center"/>
    </xf>
    <xf borderId="24" fillId="0" fontId="1" numFmtId="2" xfId="0" applyAlignment="1" applyBorder="1" applyFont="1" applyNumberFormat="1">
      <alignment horizontal="center"/>
    </xf>
    <xf borderId="24" fillId="0" fontId="1" numFmtId="4" xfId="0" applyAlignment="1" applyBorder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6" fillId="14" fontId="3" numFmtId="0" xfId="0" applyAlignment="1" applyBorder="1" applyFill="1" applyFont="1">
      <alignment horizontal="center" vertical="center"/>
    </xf>
    <xf borderId="6" fillId="14" fontId="53" numFmtId="0" xfId="0" applyAlignment="1" applyBorder="1" applyFont="1">
      <alignment horizontal="center" shrinkToFit="0" vertical="center" wrapText="1"/>
    </xf>
    <xf borderId="0" fillId="0" fontId="3" numFmtId="0" xfId="0" applyFont="1"/>
    <xf borderId="2" fillId="0" fontId="49" numFmtId="0" xfId="0" applyAlignment="1" applyBorder="1" applyFont="1">
      <alignment horizontal="center"/>
    </xf>
    <xf borderId="2" fillId="0" fontId="60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0</xdr:row>
      <xdr:rowOff>38100</xdr:rowOff>
    </xdr:from>
    <xdr:ext cx="933450" cy="5715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0</xdr:row>
      <xdr:rowOff>38100</xdr:rowOff>
    </xdr:from>
    <xdr:ext cx="933450" cy="5715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0</xdr:row>
      <xdr:rowOff>38100</xdr:rowOff>
    </xdr:from>
    <xdr:ext cx="933450" cy="5715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0</xdr:row>
      <xdr:rowOff>38100</xdr:rowOff>
    </xdr:from>
    <xdr:ext cx="933450" cy="5715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</xdr:row>
      <xdr:rowOff>0</xdr:rowOff>
    </xdr:from>
    <xdr:ext cx="1019175" cy="6381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180975</xdr:colOff>
      <xdr:row>0</xdr:row>
      <xdr:rowOff>0</xdr:rowOff>
    </xdr:from>
    <xdr:ext cx="1228725" cy="62865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0</xdr:row>
      <xdr:rowOff>0</xdr:rowOff>
    </xdr:from>
    <xdr:ext cx="1228725" cy="62865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0</xdr:row>
      <xdr:rowOff>0</xdr:rowOff>
    </xdr:from>
    <xdr:ext cx="1228725" cy="62865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0</xdr:row>
      <xdr:rowOff>0</xdr:rowOff>
    </xdr:from>
    <xdr:ext cx="1228725" cy="62865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0</xdr:row>
      <xdr:rowOff>38100</xdr:rowOff>
    </xdr:from>
    <xdr:ext cx="933450" cy="5715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0</xdr:row>
      <xdr:rowOff>38100</xdr:rowOff>
    </xdr:from>
    <xdr:ext cx="933450" cy="5715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0</xdr:row>
      <xdr:rowOff>38100</xdr:rowOff>
    </xdr:from>
    <xdr:ext cx="933450" cy="5715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0</xdr:row>
      <xdr:rowOff>38100</xdr:rowOff>
    </xdr:from>
    <xdr:ext cx="933450" cy="5715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0</xdr:row>
      <xdr:rowOff>38100</xdr:rowOff>
    </xdr:from>
    <xdr:ext cx="914400" cy="571500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0</xdr:row>
      <xdr:rowOff>38100</xdr:rowOff>
    </xdr:from>
    <xdr:ext cx="914400" cy="571500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0</xdr:row>
      <xdr:rowOff>38100</xdr:rowOff>
    </xdr:from>
    <xdr:ext cx="914400" cy="571500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0</xdr:row>
      <xdr:rowOff>38100</xdr:rowOff>
    </xdr:from>
    <xdr:ext cx="914400" cy="571500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0</xdr:row>
      <xdr:rowOff>38100</xdr:rowOff>
    </xdr:from>
    <xdr:ext cx="914400" cy="571500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0</xdr:row>
      <xdr:rowOff>38100</xdr:rowOff>
    </xdr:from>
    <xdr:ext cx="914400" cy="571500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0</xdr:row>
      <xdr:rowOff>38100</xdr:rowOff>
    </xdr:from>
    <xdr:ext cx="914400" cy="571500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0</xdr:row>
      <xdr:rowOff>38100</xdr:rowOff>
    </xdr:from>
    <xdr:ext cx="914400" cy="571500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180975</xdr:colOff>
      <xdr:row>0</xdr:row>
      <xdr:rowOff>28575</xdr:rowOff>
    </xdr:from>
    <xdr:ext cx="1219200" cy="59055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180975</xdr:colOff>
      <xdr:row>0</xdr:row>
      <xdr:rowOff>28575</xdr:rowOff>
    </xdr:from>
    <xdr:ext cx="1219200" cy="59055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Hermocillariel1216@gamil.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2.xml"/><Relationship Id="rId11" Type="http://schemas.openxmlformats.org/officeDocument/2006/relationships/hyperlink" Target="mailto:erprnillosman21@gmail.com" TargetMode="External"/><Relationship Id="rId10" Type="http://schemas.openxmlformats.org/officeDocument/2006/relationships/hyperlink" Target="mailto:junereyjl03@gmail.com" TargetMode="External"/><Relationship Id="rId13" Type="http://schemas.openxmlformats.org/officeDocument/2006/relationships/hyperlink" Target="mailto:barrymarqueso40@gmail.com" TargetMode="External"/><Relationship Id="rId12" Type="http://schemas.openxmlformats.org/officeDocument/2006/relationships/hyperlink" Target="mailto:userrr015@gmail.com" TargetMode="External"/><Relationship Id="rId1" Type="http://schemas.openxmlformats.org/officeDocument/2006/relationships/hyperlink" Target="mailto:joselitomasing@yahoo.com" TargetMode="External"/><Relationship Id="rId2" Type="http://schemas.openxmlformats.org/officeDocument/2006/relationships/hyperlink" Target="mailto:frankie.labitan.ge2019@gmail.com" TargetMode="External"/><Relationship Id="rId3" Type="http://schemas.openxmlformats.org/officeDocument/2006/relationships/hyperlink" Target="mailto:cristinegloria5@gmail.com" TargetMode="External"/><Relationship Id="rId4" Type="http://schemas.openxmlformats.org/officeDocument/2006/relationships/hyperlink" Target="mailto:arnelbranzuela0622@gmail.com" TargetMode="External"/><Relationship Id="rId9" Type="http://schemas.openxmlformats.org/officeDocument/2006/relationships/hyperlink" Target="mailto:robertosalangsang8@gmail.com" TargetMode="External"/><Relationship Id="rId15" Type="http://schemas.openxmlformats.org/officeDocument/2006/relationships/hyperlink" Target="mailto:junereyterna39@gmail.com" TargetMode="External"/><Relationship Id="rId14" Type="http://schemas.openxmlformats.org/officeDocument/2006/relationships/hyperlink" Target="mailto:demesarecejun@gmail.com" TargetMode="External"/><Relationship Id="rId17" Type="http://schemas.openxmlformats.org/officeDocument/2006/relationships/hyperlink" Target="mailto:leahfortee@gmail.com" TargetMode="External"/><Relationship Id="rId16" Type="http://schemas.openxmlformats.org/officeDocument/2006/relationships/hyperlink" Target="mailto:russianposoc5@gmail.com" TargetMode="External"/><Relationship Id="rId5" Type="http://schemas.openxmlformats.org/officeDocument/2006/relationships/hyperlink" Target="mailto:dungomarvin03@gmail.com" TargetMode="External"/><Relationship Id="rId19" Type="http://schemas.openxmlformats.org/officeDocument/2006/relationships/hyperlink" Target="mailto:christianjaycastillo018@gmail.com" TargetMode="External"/><Relationship Id="rId6" Type="http://schemas.openxmlformats.org/officeDocument/2006/relationships/hyperlink" Target="mailto:Andymolina713@gmail.com" TargetMode="External"/><Relationship Id="rId18" Type="http://schemas.openxmlformats.org/officeDocument/2006/relationships/hyperlink" Target="mailto:olivierpigar@gmail.com" TargetMode="External"/><Relationship Id="rId7" Type="http://schemas.openxmlformats.org/officeDocument/2006/relationships/hyperlink" Target="mailto:hilariomanuel1811@gmail.com" TargetMode="External"/><Relationship Id="rId8" Type="http://schemas.openxmlformats.org/officeDocument/2006/relationships/hyperlink" Target="mailto:cortadogeorge11@gmail.com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mailto:urrizaleslie16@gmail.com" TargetMode="External"/><Relationship Id="rId22" Type="http://schemas.openxmlformats.org/officeDocument/2006/relationships/hyperlink" Target="mailto:archesche1@gmail.com" TargetMode="External"/><Relationship Id="rId21" Type="http://schemas.openxmlformats.org/officeDocument/2006/relationships/hyperlink" Target="mailto:beldadroniela03@gmail.com" TargetMode="External"/><Relationship Id="rId24" Type="http://schemas.openxmlformats.org/officeDocument/2006/relationships/hyperlink" Target="mailto:beverlyranque49@gmail.com" TargetMode="External"/><Relationship Id="rId23" Type="http://schemas.openxmlformats.org/officeDocument/2006/relationships/hyperlink" Target="mailto:peligromarivic23@gmail.com" TargetMode="External"/><Relationship Id="rId1" Type="http://schemas.openxmlformats.org/officeDocument/2006/relationships/hyperlink" Target="mailto:bongtan68@yahoo.com" TargetMode="External"/><Relationship Id="rId2" Type="http://schemas.openxmlformats.org/officeDocument/2006/relationships/hyperlink" Target="mailto:rbmariano@yahoo.com" TargetMode="External"/><Relationship Id="rId3" Type="http://schemas.openxmlformats.org/officeDocument/2006/relationships/hyperlink" Target="mailto:tongson_eduardo@yahoo.com" TargetMode="External"/><Relationship Id="rId4" Type="http://schemas.openxmlformats.org/officeDocument/2006/relationships/hyperlink" Target="mailto:linohenson@gmail.com" TargetMode="External"/><Relationship Id="rId9" Type="http://schemas.openxmlformats.org/officeDocument/2006/relationships/hyperlink" Target="mailto:castillooscar54@yahoo.com" TargetMode="External"/><Relationship Id="rId26" Type="http://schemas.openxmlformats.org/officeDocument/2006/relationships/hyperlink" Target="mailto:shairamahinaymore22@gmail.com" TargetMode="External"/><Relationship Id="rId25" Type="http://schemas.openxmlformats.org/officeDocument/2006/relationships/hyperlink" Target="mailto:ariel.valdez.ge2020@gmail.com" TargetMode="External"/><Relationship Id="rId27" Type="http://schemas.openxmlformats.org/officeDocument/2006/relationships/drawing" Target="../drawings/drawing3.xml"/><Relationship Id="rId5" Type="http://schemas.openxmlformats.org/officeDocument/2006/relationships/hyperlink" Target="mailto:raymondpingol@yahoo.com" TargetMode="External"/><Relationship Id="rId6" Type="http://schemas.openxmlformats.org/officeDocument/2006/relationships/hyperlink" Target="mailto:grimaldorichard02@gmail.com" TargetMode="External"/><Relationship Id="rId7" Type="http://schemas.openxmlformats.org/officeDocument/2006/relationships/hyperlink" Target="mailto:romaamorbatario09@gmail.com" TargetMode="External"/><Relationship Id="rId8" Type="http://schemas.openxmlformats.org/officeDocument/2006/relationships/hyperlink" Target="mailto:royeth_balaoro11@yahoo.com" TargetMode="External"/><Relationship Id="rId11" Type="http://schemas.openxmlformats.org/officeDocument/2006/relationships/hyperlink" Target="mailto:lenmer0812@gmail.com" TargetMode="External"/><Relationship Id="rId10" Type="http://schemas.openxmlformats.org/officeDocument/2006/relationships/hyperlink" Target="mailto:cynthianoriega@gmail.com" TargetMode="External"/><Relationship Id="rId13" Type="http://schemas.openxmlformats.org/officeDocument/2006/relationships/hyperlink" Target="mailto:joykristine94almira@yahoo.com" TargetMode="External"/><Relationship Id="rId12" Type="http://schemas.openxmlformats.org/officeDocument/2006/relationships/hyperlink" Target="mailto:Evecastroverde@gmail.com" TargetMode="External"/><Relationship Id="rId15" Type="http://schemas.openxmlformats.org/officeDocument/2006/relationships/hyperlink" Target="mailto:Lymarcalantoc1994@gmail.com" TargetMode="External"/><Relationship Id="rId14" Type="http://schemas.openxmlformats.org/officeDocument/2006/relationships/hyperlink" Target="mailto:Hermocillariel1216@gamil.com" TargetMode="External"/><Relationship Id="rId17" Type="http://schemas.openxmlformats.org/officeDocument/2006/relationships/hyperlink" Target="mailto:brezuelamarkvinz3@gmail.com" TargetMode="External"/><Relationship Id="rId16" Type="http://schemas.openxmlformats.org/officeDocument/2006/relationships/hyperlink" Target="mailto:jameserandio99@gmail.com" TargetMode="External"/><Relationship Id="rId19" Type="http://schemas.openxmlformats.org/officeDocument/2006/relationships/hyperlink" Target="mailto:princessjuarezfernando@gmail.com" TargetMode="External"/><Relationship Id="rId18" Type="http://schemas.openxmlformats.org/officeDocument/2006/relationships/hyperlink" Target="mailto:ljonalet122@gmail.com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mailto:urrizaleslie16@gmail.com" TargetMode="External"/><Relationship Id="rId22" Type="http://schemas.openxmlformats.org/officeDocument/2006/relationships/hyperlink" Target="mailto:romaamorbatario09@gmail.com" TargetMode="External"/><Relationship Id="rId21" Type="http://schemas.openxmlformats.org/officeDocument/2006/relationships/hyperlink" Target="mailto:princessjuarezfernando@gmail.com" TargetMode="External"/><Relationship Id="rId24" Type="http://schemas.openxmlformats.org/officeDocument/2006/relationships/hyperlink" Target="mailto:amiedaza33@gmail.com" TargetMode="External"/><Relationship Id="rId23" Type="http://schemas.openxmlformats.org/officeDocument/2006/relationships/hyperlink" Target="mailto:joykristine94almira@yahoo.com" TargetMode="External"/><Relationship Id="rId1" Type="http://schemas.openxmlformats.org/officeDocument/2006/relationships/hyperlink" Target="mailto:warlybautista12@gmail.com" TargetMode="External"/><Relationship Id="rId2" Type="http://schemas.openxmlformats.org/officeDocument/2006/relationships/hyperlink" Target="mailto:thinecayao@yahoo.com" TargetMode="External"/><Relationship Id="rId3" Type="http://schemas.openxmlformats.org/officeDocument/2006/relationships/hyperlink" Target="mailto:FarrahFrias1999@gmail.com" TargetMode="External"/><Relationship Id="rId4" Type="http://schemas.openxmlformats.org/officeDocument/2006/relationships/hyperlink" Target="mailto:tinelinart@gmail.com" TargetMode="External"/><Relationship Id="rId9" Type="http://schemas.openxmlformats.org/officeDocument/2006/relationships/hyperlink" Target="mailto:delosreyesjp02@gmail.com" TargetMode="External"/><Relationship Id="rId25" Type="http://schemas.openxmlformats.org/officeDocument/2006/relationships/drawing" Target="../drawings/drawing4.xml"/><Relationship Id="rId5" Type="http://schemas.openxmlformats.org/officeDocument/2006/relationships/hyperlink" Target="mailto:diannegel.olmedo@gmail.com" TargetMode="External"/><Relationship Id="rId6" Type="http://schemas.openxmlformats.org/officeDocument/2006/relationships/hyperlink" Target="mailto:abudcamille@gmail.com" TargetMode="External"/><Relationship Id="rId7" Type="http://schemas.openxmlformats.org/officeDocument/2006/relationships/hyperlink" Target="mailto:dankloyd@gmail.com" TargetMode="External"/><Relationship Id="rId8" Type="http://schemas.openxmlformats.org/officeDocument/2006/relationships/hyperlink" Target="mailto:anectorchrist@gmail.com" TargetMode="External"/><Relationship Id="rId11" Type="http://schemas.openxmlformats.org/officeDocument/2006/relationships/hyperlink" Target="mailto:alotintotrishacalma@gmail.com" TargetMode="External"/><Relationship Id="rId10" Type="http://schemas.openxmlformats.org/officeDocument/2006/relationships/hyperlink" Target="mailto:leosantelices47@yahoo.com" TargetMode="External"/><Relationship Id="rId13" Type="http://schemas.openxmlformats.org/officeDocument/2006/relationships/hyperlink" Target="mailto:joessephjaudian@gmail.com" TargetMode="External"/><Relationship Id="rId12" Type="http://schemas.openxmlformats.org/officeDocument/2006/relationships/hyperlink" Target="mailto:claireroxaspabilona@gmail.com" TargetMode="External"/><Relationship Id="rId15" Type="http://schemas.openxmlformats.org/officeDocument/2006/relationships/hyperlink" Target="mailto:Setyembrekatorse0@gmail.com" TargetMode="External"/><Relationship Id="rId14" Type="http://schemas.openxmlformats.org/officeDocument/2006/relationships/hyperlink" Target="mailto:gracelimpin@urbantravellershotel.com" TargetMode="External"/><Relationship Id="rId17" Type="http://schemas.openxmlformats.org/officeDocument/2006/relationships/hyperlink" Target="mailto:arnelsalazar814@gmail.com" TargetMode="External"/><Relationship Id="rId16" Type="http://schemas.openxmlformats.org/officeDocument/2006/relationships/hyperlink" Target="mailto:magdalenaolpindo@yahoo.com" TargetMode="External"/><Relationship Id="rId19" Type="http://schemas.openxmlformats.org/officeDocument/2006/relationships/hyperlink" Target="mailto:brezuelamarkvinz3@gmail.com" TargetMode="External"/><Relationship Id="rId18" Type="http://schemas.openxmlformats.org/officeDocument/2006/relationships/hyperlink" Target="mailto:mdasperilla02@gmail.com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5.xml"/><Relationship Id="rId20" Type="http://schemas.openxmlformats.org/officeDocument/2006/relationships/hyperlink" Target="mailto:jadealvinpatrickcolina@gmail.com" TargetMode="External"/><Relationship Id="rId22" Type="http://schemas.openxmlformats.org/officeDocument/2006/relationships/hyperlink" Target="mailto:randymontallana33@gmail.com" TargetMode="External"/><Relationship Id="rId21" Type="http://schemas.openxmlformats.org/officeDocument/2006/relationships/hyperlink" Target="mailto:princessjuarezfernando@gmail.com" TargetMode="External"/><Relationship Id="rId24" Type="http://schemas.openxmlformats.org/officeDocument/2006/relationships/hyperlink" Target="mailto:dannjoshuarillorta@gmail.com" TargetMode="External"/><Relationship Id="rId23" Type="http://schemas.openxmlformats.org/officeDocument/2006/relationships/hyperlink" Target="mailto:dannjoshuarillorta@gmail.com" TargetMode="External"/><Relationship Id="rId1" Type="http://schemas.openxmlformats.org/officeDocument/2006/relationships/hyperlink" Target="mailto:jbandibas2017@gmail.com" TargetMode="External"/><Relationship Id="rId2" Type="http://schemas.openxmlformats.org/officeDocument/2006/relationships/hyperlink" Target="mailto:roijohn58@gmail.com" TargetMode="External"/><Relationship Id="rId3" Type="http://schemas.openxmlformats.org/officeDocument/2006/relationships/hyperlink" Target="mailto:jedreczamora50@gmail.com" TargetMode="External"/><Relationship Id="rId4" Type="http://schemas.openxmlformats.org/officeDocument/2006/relationships/hyperlink" Target="mailto:tangcomark@gmail.com" TargetMode="External"/><Relationship Id="rId9" Type="http://schemas.openxmlformats.org/officeDocument/2006/relationships/hyperlink" Target="mailto:tatapagurayan@gmail.com" TargetMode="External"/><Relationship Id="rId26" Type="http://schemas.openxmlformats.org/officeDocument/2006/relationships/hyperlink" Target="mailto:dannjoshuarillorta@gmail.com" TargetMode="External"/><Relationship Id="rId25" Type="http://schemas.openxmlformats.org/officeDocument/2006/relationships/hyperlink" Target="mailto:dannjoshuarillorta@gmail.com" TargetMode="External"/><Relationship Id="rId28" Type="http://schemas.openxmlformats.org/officeDocument/2006/relationships/hyperlink" Target="mailto:joseasuncion1218@gmail.com" TargetMode="External"/><Relationship Id="rId27" Type="http://schemas.openxmlformats.org/officeDocument/2006/relationships/hyperlink" Target="mailto:markelezar.bago96@gmail.com" TargetMode="External"/><Relationship Id="rId5" Type="http://schemas.openxmlformats.org/officeDocument/2006/relationships/hyperlink" Target="mailto:ronanlirio23@gmail.com" TargetMode="External"/><Relationship Id="rId6" Type="http://schemas.openxmlformats.org/officeDocument/2006/relationships/hyperlink" Target="mailto:kelvintolentino11@gmail.com" TargetMode="External"/><Relationship Id="rId29" Type="http://schemas.openxmlformats.org/officeDocument/2006/relationships/hyperlink" Target="mailto:neilamiel23@gmail.com" TargetMode="External"/><Relationship Id="rId7" Type="http://schemas.openxmlformats.org/officeDocument/2006/relationships/hyperlink" Target="mailto:jameserandio99@gmail.com" TargetMode="External"/><Relationship Id="rId8" Type="http://schemas.openxmlformats.org/officeDocument/2006/relationships/hyperlink" Target="mailto:ellahpalazomendoza@gmail.com" TargetMode="External"/><Relationship Id="rId31" Type="http://schemas.openxmlformats.org/officeDocument/2006/relationships/hyperlink" Target="mailto:melquiadesymas@yahoo.com" TargetMode="External"/><Relationship Id="rId30" Type="http://schemas.openxmlformats.org/officeDocument/2006/relationships/hyperlink" Target="mailto:jimageas@gmail.com" TargetMode="External"/><Relationship Id="rId11" Type="http://schemas.openxmlformats.org/officeDocument/2006/relationships/hyperlink" Target="mailto:harveyaraman@gmail.com" TargetMode="External"/><Relationship Id="rId33" Type="http://schemas.openxmlformats.org/officeDocument/2006/relationships/hyperlink" Target="mailto:marnelasuncion900@gmail.com" TargetMode="External"/><Relationship Id="rId10" Type="http://schemas.openxmlformats.org/officeDocument/2006/relationships/hyperlink" Target="mailto:abrioljefferson@gmai.com" TargetMode="External"/><Relationship Id="rId32" Type="http://schemas.openxmlformats.org/officeDocument/2006/relationships/hyperlink" Target="mailto:santiagojayvee02@gmail.com" TargetMode="External"/><Relationship Id="rId13" Type="http://schemas.openxmlformats.org/officeDocument/2006/relationships/hyperlink" Target="mailto:jr_jambaro@yahoo.com" TargetMode="External"/><Relationship Id="rId35" Type="http://schemas.openxmlformats.org/officeDocument/2006/relationships/hyperlink" Target="mailto:ronelvaleroso3@gmail.com" TargetMode="External"/><Relationship Id="rId12" Type="http://schemas.openxmlformats.org/officeDocument/2006/relationships/hyperlink" Target="mailto:ompalingbanate08@gmail.com" TargetMode="External"/><Relationship Id="rId34" Type="http://schemas.openxmlformats.org/officeDocument/2006/relationships/hyperlink" Target="mailto:Santoschristianmark@gmail.com" TargetMode="External"/><Relationship Id="rId15" Type="http://schemas.openxmlformats.org/officeDocument/2006/relationships/hyperlink" Target="mailto:johnmichaelcalora3@gmail.com" TargetMode="External"/><Relationship Id="rId37" Type="http://schemas.openxmlformats.org/officeDocument/2006/relationships/hyperlink" Target="mailto:jaboyajiselle@gmail.com" TargetMode="External"/><Relationship Id="rId14" Type="http://schemas.openxmlformats.org/officeDocument/2006/relationships/hyperlink" Target="mailto:markanthonyytc25@gmail.com" TargetMode="External"/><Relationship Id="rId36" Type="http://schemas.openxmlformats.org/officeDocument/2006/relationships/hyperlink" Target="mailto:archesmarlon21@gmail.com" TargetMode="External"/><Relationship Id="rId17" Type="http://schemas.openxmlformats.org/officeDocument/2006/relationships/hyperlink" Target="mailto:claireroxaspabilona@gmail.com" TargetMode="External"/><Relationship Id="rId39" Type="http://schemas.openxmlformats.org/officeDocument/2006/relationships/hyperlink" Target="mailto:romnickoliverio025@gmail.com" TargetMode="External"/><Relationship Id="rId16" Type="http://schemas.openxmlformats.org/officeDocument/2006/relationships/hyperlink" Target="mailto:jhen.pabelonia@gmail.com" TargetMode="External"/><Relationship Id="rId38" Type="http://schemas.openxmlformats.org/officeDocument/2006/relationships/hyperlink" Target="mailto:legaspikarl04@gmail.com" TargetMode="External"/><Relationship Id="rId19" Type="http://schemas.openxmlformats.org/officeDocument/2006/relationships/hyperlink" Target="mailto:hendrixcaimoy98@gmail.com" TargetMode="External"/><Relationship Id="rId18" Type="http://schemas.openxmlformats.org/officeDocument/2006/relationships/hyperlink" Target="mailto:ricojaydelote32@gmail.com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mailto:jbandibas2017@gmail.com" TargetMode="External"/><Relationship Id="rId2" Type="http://schemas.openxmlformats.org/officeDocument/2006/relationships/hyperlink" Target="mailto:warlybautista12@gmail.com" TargetMode="External"/><Relationship Id="rId3" Type="http://schemas.openxmlformats.org/officeDocument/2006/relationships/hyperlink" Target="mailto:roijohn58@gmail.com" TargetMode="External"/><Relationship Id="rId4" Type="http://schemas.openxmlformats.org/officeDocument/2006/relationships/hyperlink" Target="mailto:jedreczamora50@gmail.com" TargetMode="External"/><Relationship Id="rId9" Type="http://schemas.openxmlformats.org/officeDocument/2006/relationships/hyperlink" Target="mailto:tinelinart@gmail.com" TargetMode="External"/><Relationship Id="rId5" Type="http://schemas.openxmlformats.org/officeDocument/2006/relationships/hyperlink" Target="mailto:tangcomark@gmail.com" TargetMode="External"/><Relationship Id="rId6" Type="http://schemas.openxmlformats.org/officeDocument/2006/relationships/hyperlink" Target="mailto:thinecayao@yahoo.com" TargetMode="External"/><Relationship Id="rId7" Type="http://schemas.openxmlformats.org/officeDocument/2006/relationships/hyperlink" Target="mailto:ronanlirio23@gmail.com" TargetMode="External"/><Relationship Id="rId8" Type="http://schemas.openxmlformats.org/officeDocument/2006/relationships/hyperlink" Target="mailto:FarrahFrias1999@gmail.com" TargetMode="External"/><Relationship Id="rId11" Type="http://schemas.openxmlformats.org/officeDocument/2006/relationships/hyperlink" Target="mailto:kelvintolentino11@gmail.com" TargetMode="External"/><Relationship Id="rId10" Type="http://schemas.openxmlformats.org/officeDocument/2006/relationships/hyperlink" Target="mailto:diannegel.olmedo@gmail.com" TargetMode="External"/><Relationship Id="rId13" Type="http://schemas.openxmlformats.org/officeDocument/2006/relationships/hyperlink" Target="mailto:dankloyd@gmail.com" TargetMode="External"/><Relationship Id="rId12" Type="http://schemas.openxmlformats.org/officeDocument/2006/relationships/hyperlink" Target="mailto:abudcamille@gmail.com" TargetMode="External"/><Relationship Id="rId15" Type="http://schemas.openxmlformats.org/officeDocument/2006/relationships/hyperlink" Target="mailto:anectorchrist@gmail.com" TargetMode="External"/><Relationship Id="rId14" Type="http://schemas.openxmlformats.org/officeDocument/2006/relationships/hyperlink" Target="mailto:jameserandio99@gmail.com" TargetMode="External"/><Relationship Id="rId17" Type="http://schemas.openxmlformats.org/officeDocument/2006/relationships/drawing" Target="../drawings/drawing6.xml"/><Relationship Id="rId16" Type="http://schemas.openxmlformats.org/officeDocument/2006/relationships/hyperlink" Target="mailto:ellahpalazomendoza@gmail.com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mailto:josephdypua@gmail.com" TargetMode="External"/><Relationship Id="rId20" Type="http://schemas.openxmlformats.org/officeDocument/2006/relationships/hyperlink" Target="mailto:mikobriones.ge2019@gmail.com" TargetMode="External"/><Relationship Id="rId42" Type="http://schemas.openxmlformats.org/officeDocument/2006/relationships/hyperlink" Target="mailto:marcial.avila68@yahoo.com" TargetMode="External"/><Relationship Id="rId41" Type="http://schemas.openxmlformats.org/officeDocument/2006/relationships/hyperlink" Target="mailto:bautistagary49@yahoo.com" TargetMode="External"/><Relationship Id="rId22" Type="http://schemas.openxmlformats.org/officeDocument/2006/relationships/hyperlink" Target="mailto:kevinperaltabugagon@gmail.com" TargetMode="External"/><Relationship Id="rId44" Type="http://schemas.openxmlformats.org/officeDocument/2006/relationships/hyperlink" Target="mailto:rafaelrayos76@gmail.com" TargetMode="External"/><Relationship Id="rId21" Type="http://schemas.openxmlformats.org/officeDocument/2006/relationships/hyperlink" Target="mailto:royeth_balaoro11@yahoo.com" TargetMode="External"/><Relationship Id="rId43" Type="http://schemas.openxmlformats.org/officeDocument/2006/relationships/hyperlink" Target="mailto:Perillaedmund03@gmail.com" TargetMode="External"/><Relationship Id="rId24" Type="http://schemas.openxmlformats.org/officeDocument/2006/relationships/hyperlink" Target="mailto:pescanojr@gmail.com" TargetMode="External"/><Relationship Id="rId46" Type="http://schemas.openxmlformats.org/officeDocument/2006/relationships/hyperlink" Target="mailto:jedreczamora50@gmail.com" TargetMode="External"/><Relationship Id="rId23" Type="http://schemas.openxmlformats.org/officeDocument/2006/relationships/hyperlink" Target="mailto:borloloy89@yahoo.com" TargetMode="External"/><Relationship Id="rId45" Type="http://schemas.openxmlformats.org/officeDocument/2006/relationships/hyperlink" Target="mailto:denskieblue18@gmail.com" TargetMode="External"/><Relationship Id="rId1" Type="http://schemas.openxmlformats.org/officeDocument/2006/relationships/hyperlink" Target="mailto:neilamiel082392@gmail.com" TargetMode="External"/><Relationship Id="rId2" Type="http://schemas.openxmlformats.org/officeDocument/2006/relationships/hyperlink" Target="mailto:jhunelnocete23@gmail.com" TargetMode="External"/><Relationship Id="rId3" Type="http://schemas.openxmlformats.org/officeDocument/2006/relationships/hyperlink" Target="mailto:menandro16@gmail.com" TargetMode="External"/><Relationship Id="rId4" Type="http://schemas.openxmlformats.org/officeDocument/2006/relationships/hyperlink" Target="mailto:dhelmaravilla@gmail.com" TargetMode="External"/><Relationship Id="rId9" Type="http://schemas.openxmlformats.org/officeDocument/2006/relationships/hyperlink" Target="mailto:juniorerato@yahoo.com" TargetMode="External"/><Relationship Id="rId26" Type="http://schemas.openxmlformats.org/officeDocument/2006/relationships/hyperlink" Target="mailto:cynthianoriega@gmail.com" TargetMode="External"/><Relationship Id="rId25" Type="http://schemas.openxmlformats.org/officeDocument/2006/relationships/hyperlink" Target="mailto:castillooscar54@yahoo.com" TargetMode="External"/><Relationship Id="rId47" Type="http://schemas.openxmlformats.org/officeDocument/2006/relationships/drawing" Target="../drawings/drawing7.xml"/><Relationship Id="rId28" Type="http://schemas.openxmlformats.org/officeDocument/2006/relationships/hyperlink" Target="mailto:melquiadesymas@yahoo.com" TargetMode="External"/><Relationship Id="rId27" Type="http://schemas.openxmlformats.org/officeDocument/2006/relationships/hyperlink" Target="mailto:lenmer0812@gmail.com" TargetMode="External"/><Relationship Id="rId5" Type="http://schemas.openxmlformats.org/officeDocument/2006/relationships/hyperlink" Target="mailto:lambayan.melge@gmail.com" TargetMode="External"/><Relationship Id="rId6" Type="http://schemas.openxmlformats.org/officeDocument/2006/relationships/hyperlink" Target="mailto:diomel.orensi@gmail.com" TargetMode="External"/><Relationship Id="rId29" Type="http://schemas.openxmlformats.org/officeDocument/2006/relationships/hyperlink" Target="mailto:Evecastroverde@gmail.com" TargetMode="External"/><Relationship Id="rId7" Type="http://schemas.openxmlformats.org/officeDocument/2006/relationships/hyperlink" Target="mailto:robertohandayan15@yahoo.com" TargetMode="External"/><Relationship Id="rId8" Type="http://schemas.openxmlformats.org/officeDocument/2006/relationships/hyperlink" Target="mailto:ricanormiranda@gmail.com" TargetMode="External"/><Relationship Id="rId31" Type="http://schemas.openxmlformats.org/officeDocument/2006/relationships/hyperlink" Target="mailto:dungomarvin03@gmail.com" TargetMode="External"/><Relationship Id="rId30" Type="http://schemas.openxmlformats.org/officeDocument/2006/relationships/hyperlink" Target="mailto:bongsanjuan_70@yahoo.com" TargetMode="External"/><Relationship Id="rId11" Type="http://schemas.openxmlformats.org/officeDocument/2006/relationships/hyperlink" Target="mailto:jomarkpantolliano1426@gmail.com" TargetMode="External"/><Relationship Id="rId33" Type="http://schemas.openxmlformats.org/officeDocument/2006/relationships/hyperlink" Target="mailto:esonlasala@gmail.com" TargetMode="External"/><Relationship Id="rId10" Type="http://schemas.openxmlformats.org/officeDocument/2006/relationships/hyperlink" Target="mailto:biacanr0@gmail.com" TargetMode="External"/><Relationship Id="rId32" Type="http://schemas.openxmlformats.org/officeDocument/2006/relationships/hyperlink" Target="mailto:conradlamire22@gmail.com" TargetMode="External"/><Relationship Id="rId13" Type="http://schemas.openxmlformats.org/officeDocument/2006/relationships/hyperlink" Target="mailto:jbandibas2017@gmail.com" TargetMode="External"/><Relationship Id="rId35" Type="http://schemas.openxmlformats.org/officeDocument/2006/relationships/hyperlink" Target="mailto:joykristine94almira@yahoo.com" TargetMode="External"/><Relationship Id="rId12" Type="http://schemas.openxmlformats.org/officeDocument/2006/relationships/hyperlink" Target="mailto:maglalang.nayr@gmail.com" TargetMode="External"/><Relationship Id="rId34" Type="http://schemas.openxmlformats.org/officeDocument/2006/relationships/hyperlink" Target="mailto:ocabzendymae@gmail.com" TargetMode="External"/><Relationship Id="rId15" Type="http://schemas.openxmlformats.org/officeDocument/2006/relationships/hyperlink" Target="mailto:marananreymart17@gmail.com" TargetMode="External"/><Relationship Id="rId37" Type="http://schemas.openxmlformats.org/officeDocument/2006/relationships/hyperlink" Target="mailto:eusebiomanago@gmail.com" TargetMode="External"/><Relationship Id="rId14" Type="http://schemas.openxmlformats.org/officeDocument/2006/relationships/hyperlink" Target="mailto:Mjohncuevas@gmail.com" TargetMode="External"/><Relationship Id="rId36" Type="http://schemas.openxmlformats.org/officeDocument/2006/relationships/hyperlink" Target="mailto:jolandbaylon@gmail.com" TargetMode="External"/><Relationship Id="rId17" Type="http://schemas.openxmlformats.org/officeDocument/2006/relationships/hyperlink" Target="mailto:arielturan@yahoo.com" TargetMode="External"/><Relationship Id="rId39" Type="http://schemas.openxmlformats.org/officeDocument/2006/relationships/hyperlink" Target="mailto:cristinegloria5@gmail.com" TargetMode="External"/><Relationship Id="rId16" Type="http://schemas.openxmlformats.org/officeDocument/2006/relationships/hyperlink" Target="mailto:albertjvitto@gmail.com" TargetMode="External"/><Relationship Id="rId38" Type="http://schemas.openxmlformats.org/officeDocument/2006/relationships/hyperlink" Target="mailto:joselitomasing@yahoo.com" TargetMode="External"/><Relationship Id="rId19" Type="http://schemas.openxmlformats.org/officeDocument/2006/relationships/hyperlink" Target="mailto:Paolonavor18@gmail.com" TargetMode="External"/><Relationship Id="rId18" Type="http://schemas.openxmlformats.org/officeDocument/2006/relationships/hyperlink" Target="mailto:yopiproxas0714@yahoo.com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4.0"/>
    <col customWidth="1" min="2" max="4" width="18.29"/>
    <col customWidth="1" min="5" max="6" width="8.0"/>
    <col customWidth="1" hidden="1" min="7" max="7" width="26.29"/>
    <col customWidth="1" hidden="1" min="8" max="8" width="25.43"/>
    <col customWidth="1" hidden="1" min="9" max="9" width="29.29"/>
    <col customWidth="1" min="10" max="10" width="32.86"/>
    <col customWidth="1" min="11" max="12" width="31.29"/>
    <col customWidth="1" min="13" max="13" width="20.0"/>
    <col customWidth="1" min="14" max="14" width="10.57"/>
    <col customWidth="1" min="15" max="16" width="18.29"/>
    <col customWidth="1" min="17" max="20" width="15.71"/>
    <col customWidth="1" min="21" max="21" width="18.29"/>
    <col customWidth="1" min="22" max="22" width="9.57"/>
    <col customWidth="1" min="23" max="24" width="11.71"/>
    <col customWidth="1" min="25" max="26" width="18.29"/>
    <col customWidth="1" min="27" max="27" width="19.57"/>
    <col customWidth="1" min="28" max="34" width="18.29"/>
    <col customWidth="1" min="35" max="38" width="16.29"/>
    <col customWidth="1" min="39" max="39" width="13.86"/>
    <col customWidth="1" min="40" max="40" width="9.86"/>
    <col customWidth="1" min="41" max="41" width="60.14"/>
    <col customWidth="1" min="42" max="42" width="47.43"/>
    <col customWidth="1" min="43" max="43" width="27.43"/>
    <col customWidth="1" min="44" max="44" width="36.71"/>
    <col customWidth="1" min="45" max="45" width="22.71"/>
    <col customWidth="1" min="46" max="46" width="33.86"/>
    <col customWidth="1" min="47" max="55" width="18.29"/>
    <col customWidth="1" min="56" max="57" width="9.0"/>
  </cols>
  <sheetData>
    <row r="1" ht="50.25" customHeight="1">
      <c r="A1" s="1"/>
      <c r="B1" s="1"/>
      <c r="C1" s="2" t="s">
        <v>0</v>
      </c>
      <c r="D1" s="1"/>
      <c r="E1" s="3"/>
      <c r="F1" s="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1"/>
      <c r="X1" s="1"/>
      <c r="Y1" s="1"/>
      <c r="Z1" s="1"/>
      <c r="AA1" s="1"/>
      <c r="AB1" s="1"/>
      <c r="AC1" s="1"/>
      <c r="AD1" s="1"/>
      <c r="AE1" s="3"/>
      <c r="AF1" s="1"/>
      <c r="AG1" s="3"/>
      <c r="AH1" s="1"/>
      <c r="AI1" s="3"/>
      <c r="AJ1" s="3"/>
      <c r="AK1" s="3"/>
      <c r="AL1" s="3"/>
      <c r="AM1" s="1"/>
      <c r="AN1" s="1"/>
      <c r="AO1" s="4"/>
      <c r="AP1" s="4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ht="50.25" customHeight="1">
      <c r="A2" s="1"/>
      <c r="B2" s="1"/>
      <c r="C2" s="2" t="s">
        <v>0</v>
      </c>
      <c r="D2" s="1"/>
      <c r="E2" s="3"/>
      <c r="F2" s="3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1"/>
      <c r="X2" s="1"/>
      <c r="Y2" s="1"/>
      <c r="Z2" s="1"/>
      <c r="AA2" s="1"/>
      <c r="AB2" s="1"/>
      <c r="AC2" s="1"/>
      <c r="AD2" s="1"/>
      <c r="AE2" s="3"/>
      <c r="AF2" s="1"/>
      <c r="AG2" s="3"/>
      <c r="AH2" s="1"/>
      <c r="AI2" s="3"/>
      <c r="AJ2" s="3"/>
      <c r="AK2" s="3"/>
      <c r="AL2" s="3"/>
      <c r="AM2" s="1"/>
      <c r="AN2" s="1"/>
      <c r="AO2" s="4"/>
      <c r="AP2" s="4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</row>
    <row r="3" ht="30.75" customHeight="1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7</v>
      </c>
      <c r="I3" s="5" t="s">
        <v>7</v>
      </c>
      <c r="J3" s="5" t="s">
        <v>8</v>
      </c>
      <c r="K3" s="5" t="s">
        <v>9</v>
      </c>
      <c r="L3" s="5" t="s">
        <v>10</v>
      </c>
      <c r="M3" s="5" t="s">
        <v>11</v>
      </c>
      <c r="N3" s="5" t="s">
        <v>12</v>
      </c>
      <c r="O3" s="7" t="s">
        <v>13</v>
      </c>
      <c r="P3" s="5" t="s">
        <v>14</v>
      </c>
      <c r="Q3" s="8" t="s">
        <v>15</v>
      </c>
      <c r="R3" s="9"/>
      <c r="S3" s="8" t="s">
        <v>16</v>
      </c>
      <c r="T3" s="9"/>
      <c r="U3" s="5" t="s">
        <v>17</v>
      </c>
      <c r="V3" s="5" t="s">
        <v>18</v>
      </c>
      <c r="W3" s="5" t="s">
        <v>19</v>
      </c>
      <c r="X3" s="5" t="s">
        <v>20</v>
      </c>
      <c r="Y3" s="5" t="s">
        <v>21</v>
      </c>
      <c r="Z3" s="5" t="s">
        <v>22</v>
      </c>
      <c r="AA3" s="5" t="s">
        <v>23</v>
      </c>
      <c r="AB3" s="5" t="s">
        <v>24</v>
      </c>
      <c r="AC3" s="5" t="s">
        <v>23</v>
      </c>
      <c r="AD3" s="5" t="s">
        <v>25</v>
      </c>
      <c r="AE3" s="5" t="s">
        <v>26</v>
      </c>
      <c r="AF3" s="5" t="s">
        <v>27</v>
      </c>
      <c r="AG3" s="10" t="s">
        <v>28</v>
      </c>
      <c r="AH3" s="5" t="s">
        <v>29</v>
      </c>
      <c r="AI3" s="5" t="s">
        <v>30</v>
      </c>
      <c r="AJ3" s="11" t="s">
        <v>31</v>
      </c>
      <c r="AK3" s="11" t="s">
        <v>32</v>
      </c>
      <c r="AL3" s="5" t="s">
        <v>33</v>
      </c>
      <c r="AM3" s="5" t="s">
        <v>34</v>
      </c>
      <c r="AN3" s="5" t="s">
        <v>35</v>
      </c>
      <c r="AO3" s="12" t="s">
        <v>36</v>
      </c>
      <c r="AP3" s="13" t="s">
        <v>37</v>
      </c>
      <c r="AQ3" s="5" t="s">
        <v>38</v>
      </c>
      <c r="AR3" s="5" t="s">
        <v>39</v>
      </c>
      <c r="AS3" s="10" t="s">
        <v>40</v>
      </c>
      <c r="AT3" s="5" t="s">
        <v>41</v>
      </c>
      <c r="AU3" s="5" t="s">
        <v>42</v>
      </c>
      <c r="AV3" s="5" t="s">
        <v>43</v>
      </c>
      <c r="AW3" s="5" t="s">
        <v>44</v>
      </c>
      <c r="AX3" s="5" t="s">
        <v>45</v>
      </c>
      <c r="AY3" s="10" t="s">
        <v>46</v>
      </c>
      <c r="AZ3" s="5" t="s">
        <v>47</v>
      </c>
      <c r="BA3" s="5" t="s">
        <v>48</v>
      </c>
      <c r="BB3" s="5" t="s">
        <v>49</v>
      </c>
      <c r="BC3" s="5" t="s">
        <v>50</v>
      </c>
    </row>
    <row r="4" ht="14.25" customHeight="1">
      <c r="A4" s="14">
        <v>1.0</v>
      </c>
      <c r="B4" s="15" t="s">
        <v>51</v>
      </c>
      <c r="C4" s="16" t="s">
        <v>52</v>
      </c>
      <c r="D4" s="16" t="s">
        <v>53</v>
      </c>
      <c r="E4" s="17" t="s">
        <v>54</v>
      </c>
      <c r="F4" s="17"/>
      <c r="G4" s="16" t="str">
        <f>CONCATENATE(B4,", ",C4," ",E4,".")</f>
        <v>Hermocilla, Ariel D.</v>
      </c>
      <c r="H4" s="16" t="str">
        <f>CONCATENATE(C4," ",E4,". ",B4)</f>
        <v>Ariel D. Hermocilla</v>
      </c>
      <c r="I4" s="16" t="str">
        <f>CONCATENATE(B4,", ",C4," ",D4)</f>
        <v>Hermocilla, Ariel De La Cruz</v>
      </c>
      <c r="J4" s="18" t="s">
        <v>55</v>
      </c>
      <c r="K4" s="18" t="s">
        <v>55</v>
      </c>
      <c r="L4" s="19" t="s">
        <v>56</v>
      </c>
      <c r="M4" s="19" t="s">
        <v>57</v>
      </c>
      <c r="N4" s="19" t="s">
        <v>58</v>
      </c>
      <c r="O4" s="19">
        <v>1.052722248E9</v>
      </c>
      <c r="P4" s="20">
        <v>44708.0</v>
      </c>
      <c r="Q4" s="20">
        <v>44692.0</v>
      </c>
      <c r="R4" s="20">
        <v>44707.0</v>
      </c>
      <c r="S4" s="20">
        <v>44708.0</v>
      </c>
      <c r="T4" s="20">
        <f>EDATE(S4-1,6)</f>
        <v>44891</v>
      </c>
      <c r="U4" s="20">
        <f>TODAY()</f>
        <v>46132</v>
      </c>
      <c r="V4" s="21">
        <f>DATEDIF(P4,U4,"y")</f>
        <v>3</v>
      </c>
      <c r="W4" s="19">
        <f>DATEDIF(P4,U4,"ym")</f>
        <v>10</v>
      </c>
      <c r="X4" s="19">
        <f>DATEDIF(P4,U4,"MD")</f>
        <v>24</v>
      </c>
      <c r="Y4" s="19">
        <v>44892.0</v>
      </c>
      <c r="Z4" s="16"/>
      <c r="AA4" s="16"/>
      <c r="AB4" s="16"/>
      <c r="AC4" s="16"/>
      <c r="AD4" s="16"/>
      <c r="AE4" s="22"/>
      <c r="AF4" s="23"/>
      <c r="AG4" s="22"/>
      <c r="AH4" s="22"/>
      <c r="AI4" s="19" t="s">
        <v>59</v>
      </c>
      <c r="AJ4" s="24" t="s">
        <v>60</v>
      </c>
      <c r="AK4" s="24" t="s">
        <v>61</v>
      </c>
      <c r="AL4" s="19" t="s">
        <v>62</v>
      </c>
      <c r="AM4" s="20">
        <v>30666.0</v>
      </c>
      <c r="AN4" s="25">
        <f>((TODAY()-AM4)/365)</f>
        <v>42.37260274</v>
      </c>
      <c r="AO4" s="26" t="s">
        <v>63</v>
      </c>
      <c r="AP4" s="26" t="s">
        <v>64</v>
      </c>
      <c r="AQ4" s="27">
        <v>9.615428383E9</v>
      </c>
      <c r="AR4" s="28" t="s">
        <v>65</v>
      </c>
      <c r="AS4" s="16" t="s">
        <v>66</v>
      </c>
      <c r="AT4" s="16" t="s">
        <v>67</v>
      </c>
      <c r="AU4" s="19" t="s">
        <v>68</v>
      </c>
      <c r="AV4" s="19" t="s">
        <v>69</v>
      </c>
      <c r="AW4" s="19" t="s">
        <v>70</v>
      </c>
      <c r="AX4" s="19" t="s">
        <v>71</v>
      </c>
      <c r="AY4" s="16"/>
      <c r="AZ4" s="16" t="s">
        <v>72</v>
      </c>
      <c r="BA4" s="16" t="s">
        <v>73</v>
      </c>
      <c r="BB4" s="16">
        <v>9.954853211E9</v>
      </c>
      <c r="BC4" s="16"/>
      <c r="BD4" s="29"/>
      <c r="BE4" s="29"/>
    </row>
    <row r="5" ht="14.25" customHeight="1">
      <c r="A5" s="30">
        <v>2.0</v>
      </c>
      <c r="B5" s="30" t="s">
        <v>74</v>
      </c>
      <c r="C5" s="30" t="s">
        <v>75</v>
      </c>
      <c r="D5" s="30" t="s">
        <v>76</v>
      </c>
      <c r="E5" s="31" t="s">
        <v>77</v>
      </c>
      <c r="F5" s="32"/>
      <c r="G5" s="33"/>
      <c r="H5" s="33"/>
      <c r="I5" s="33"/>
      <c r="J5" s="34" t="s">
        <v>55</v>
      </c>
      <c r="K5" s="35" t="s">
        <v>55</v>
      </c>
      <c r="L5" s="35" t="s">
        <v>56</v>
      </c>
      <c r="M5" s="34" t="s">
        <v>57</v>
      </c>
      <c r="N5" s="35" t="s">
        <v>58</v>
      </c>
      <c r="O5" s="35">
        <v>1.0527237E9</v>
      </c>
      <c r="P5" s="36">
        <v>45073.0</v>
      </c>
      <c r="Q5" s="37"/>
      <c r="R5" s="38"/>
      <c r="S5" s="39"/>
      <c r="T5" s="40"/>
      <c r="U5" s="37"/>
      <c r="V5" s="41"/>
      <c r="W5" s="42"/>
      <c r="X5" s="42"/>
      <c r="Y5" s="43"/>
      <c r="Z5" s="33"/>
      <c r="AA5" s="33"/>
      <c r="AB5" s="33"/>
      <c r="AC5" s="33"/>
      <c r="AD5" s="33"/>
      <c r="AE5" s="44"/>
      <c r="AF5" s="45"/>
      <c r="AG5" s="44"/>
      <c r="AH5" s="44"/>
      <c r="AI5" s="42"/>
      <c r="AJ5" s="46"/>
      <c r="AK5" s="46"/>
      <c r="AL5" s="42"/>
      <c r="AM5" s="37"/>
      <c r="AN5" s="47"/>
      <c r="AO5" s="48"/>
      <c r="AP5" s="48"/>
      <c r="AQ5" s="49"/>
      <c r="AR5" s="50"/>
      <c r="AS5" s="33"/>
      <c r="AT5" s="33"/>
      <c r="AU5" s="42"/>
      <c r="AV5" s="42"/>
      <c r="AW5" s="41"/>
      <c r="AX5" s="42"/>
      <c r="AY5" s="33"/>
      <c r="AZ5" s="33"/>
      <c r="BA5" s="33"/>
      <c r="BB5" s="33"/>
      <c r="BC5" s="39"/>
      <c r="BD5" s="29"/>
      <c r="BE5" s="29"/>
    </row>
    <row r="6" ht="14.25" customHeight="1">
      <c r="A6" s="30">
        <v>3.0</v>
      </c>
      <c r="B6" s="30" t="s">
        <v>78</v>
      </c>
      <c r="C6" s="30" t="s">
        <v>79</v>
      </c>
      <c r="D6" s="30" t="s">
        <v>80</v>
      </c>
      <c r="E6" s="35" t="s">
        <v>81</v>
      </c>
      <c r="F6" s="42"/>
      <c r="G6" s="39"/>
      <c r="H6" s="39"/>
      <c r="I6" s="39"/>
      <c r="J6" s="34" t="s">
        <v>82</v>
      </c>
      <c r="K6" s="51" t="s">
        <v>83</v>
      </c>
      <c r="L6" s="51" t="s">
        <v>56</v>
      </c>
      <c r="M6" s="34" t="s">
        <v>57</v>
      </c>
      <c r="N6" s="51" t="s">
        <v>58</v>
      </c>
      <c r="O6" s="51">
        <v>1.052724701E9</v>
      </c>
      <c r="P6" s="52">
        <v>45439.0</v>
      </c>
      <c r="Q6" s="39"/>
      <c r="R6" s="39"/>
      <c r="S6" s="39"/>
      <c r="T6" s="39"/>
      <c r="U6" s="42"/>
      <c r="V6" s="42"/>
      <c r="W6" s="39"/>
      <c r="X6" s="39"/>
      <c r="Y6" s="39"/>
      <c r="Z6" s="39"/>
      <c r="AA6" s="39"/>
      <c r="AB6" s="39"/>
      <c r="AC6" s="39"/>
      <c r="AD6" s="39"/>
      <c r="AE6" s="42"/>
      <c r="AF6" s="39"/>
      <c r="AG6" s="42"/>
      <c r="AH6" s="39"/>
      <c r="AI6" s="42"/>
      <c r="AJ6" s="42"/>
      <c r="AK6" s="42"/>
      <c r="AL6" s="42"/>
      <c r="AM6" s="39"/>
      <c r="AN6" s="39"/>
      <c r="AO6" s="53"/>
      <c r="AP6" s="53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</row>
    <row r="7" ht="14.25" customHeight="1">
      <c r="A7" s="30">
        <v>4.0</v>
      </c>
      <c r="B7" s="30" t="s">
        <v>84</v>
      </c>
      <c r="C7" s="30" t="s">
        <v>85</v>
      </c>
      <c r="D7" s="30" t="s">
        <v>86</v>
      </c>
      <c r="E7" s="35" t="s">
        <v>87</v>
      </c>
      <c r="F7" s="42"/>
      <c r="G7" s="39"/>
      <c r="H7" s="39"/>
      <c r="I7" s="39"/>
      <c r="J7" s="34" t="s">
        <v>88</v>
      </c>
      <c r="K7" s="51" t="s">
        <v>89</v>
      </c>
      <c r="L7" s="51" t="s">
        <v>56</v>
      </c>
      <c r="M7" s="34" t="s">
        <v>57</v>
      </c>
      <c r="N7" s="51" t="s">
        <v>58</v>
      </c>
      <c r="O7" s="51">
        <v>1.052725702E9</v>
      </c>
      <c r="P7" s="52">
        <v>45804.0</v>
      </c>
      <c r="Q7" s="39"/>
      <c r="R7" s="39"/>
      <c r="S7" s="39"/>
      <c r="T7" s="39"/>
      <c r="U7" s="42"/>
      <c r="V7" s="42"/>
      <c r="W7" s="39"/>
      <c r="X7" s="39"/>
      <c r="Y7" s="39"/>
      <c r="Z7" s="39"/>
      <c r="AA7" s="39"/>
      <c r="AB7" s="39"/>
      <c r="AC7" s="39"/>
      <c r="AD7" s="39"/>
      <c r="AE7" s="42"/>
      <c r="AF7" s="39"/>
      <c r="AG7" s="42"/>
      <c r="AH7" s="39"/>
      <c r="AI7" s="42"/>
      <c r="AJ7" s="42"/>
      <c r="AK7" s="42"/>
      <c r="AL7" s="42"/>
      <c r="AM7" s="39"/>
      <c r="AN7" s="39"/>
      <c r="AO7" s="53"/>
      <c r="AP7" s="53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</row>
    <row r="8" ht="14.25" customHeight="1">
      <c r="A8" s="30">
        <v>5.0</v>
      </c>
      <c r="B8" s="30" t="s">
        <v>90</v>
      </c>
      <c r="C8" s="30" t="s">
        <v>91</v>
      </c>
      <c r="D8" s="30" t="s">
        <v>92</v>
      </c>
      <c r="E8" s="35" t="s">
        <v>93</v>
      </c>
      <c r="F8" s="42"/>
      <c r="G8" s="39"/>
      <c r="H8" s="39"/>
      <c r="I8" s="39"/>
      <c r="J8" s="34" t="s">
        <v>94</v>
      </c>
      <c r="K8" s="51" t="s">
        <v>95</v>
      </c>
      <c r="L8" s="51" t="s">
        <v>56</v>
      </c>
      <c r="M8" s="34" t="s">
        <v>57</v>
      </c>
      <c r="N8" s="51" t="s">
        <v>58</v>
      </c>
      <c r="O8" s="51">
        <v>1.040126703E9</v>
      </c>
      <c r="P8" s="52">
        <v>46113.0</v>
      </c>
      <c r="Q8" s="39"/>
      <c r="R8" s="39"/>
      <c r="S8" s="39"/>
      <c r="T8" s="39"/>
      <c r="U8" s="42"/>
      <c r="V8" s="42"/>
      <c r="W8" s="39"/>
      <c r="X8" s="39"/>
      <c r="Y8" s="39"/>
      <c r="Z8" s="39"/>
      <c r="AA8" s="39"/>
      <c r="AB8" s="39"/>
      <c r="AC8" s="39"/>
      <c r="AD8" s="39"/>
      <c r="AE8" s="42"/>
      <c r="AF8" s="39"/>
      <c r="AG8" s="42"/>
      <c r="AH8" s="39"/>
      <c r="AI8" s="42"/>
      <c r="AJ8" s="42"/>
      <c r="AK8" s="42"/>
      <c r="AL8" s="42"/>
      <c r="AM8" s="39"/>
      <c r="AN8" s="39"/>
      <c r="AO8" s="53"/>
      <c r="AP8" s="53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</row>
    <row r="9" ht="14.25" customHeight="1">
      <c r="E9" s="54"/>
      <c r="F9" s="54"/>
      <c r="U9" s="54"/>
      <c r="V9" s="54"/>
      <c r="AE9" s="54"/>
      <c r="AG9" s="54"/>
      <c r="AI9" s="54"/>
      <c r="AJ9" s="54"/>
      <c r="AK9" s="54"/>
      <c r="AL9" s="54"/>
      <c r="AO9" s="53"/>
      <c r="AP9" s="55"/>
    </row>
    <row r="10" ht="14.25" customHeight="1">
      <c r="E10" s="54"/>
      <c r="F10" s="54"/>
      <c r="U10" s="54"/>
      <c r="V10" s="54"/>
      <c r="AE10" s="54"/>
      <c r="AG10" s="54"/>
      <c r="AI10" s="54"/>
      <c r="AJ10" s="54"/>
      <c r="AK10" s="54"/>
      <c r="AL10" s="54"/>
      <c r="AO10" s="53"/>
      <c r="AP10" s="55"/>
    </row>
    <row r="11" ht="14.25" customHeight="1">
      <c r="E11" s="54"/>
      <c r="F11" s="54"/>
      <c r="U11" s="54"/>
      <c r="V11" s="54"/>
      <c r="AE11" s="54"/>
      <c r="AG11" s="54"/>
      <c r="AI11" s="54"/>
      <c r="AJ11" s="54"/>
      <c r="AK11" s="54"/>
      <c r="AL11" s="54"/>
      <c r="AO11" s="53"/>
      <c r="AP11" s="55"/>
    </row>
    <row r="12" ht="14.25" customHeight="1">
      <c r="E12" s="54"/>
      <c r="F12" s="54"/>
      <c r="U12" s="54"/>
      <c r="V12" s="54"/>
      <c r="AE12" s="54"/>
      <c r="AG12" s="54"/>
      <c r="AI12" s="54"/>
      <c r="AJ12" s="54"/>
      <c r="AK12" s="54"/>
      <c r="AL12" s="54"/>
      <c r="AO12" s="53"/>
      <c r="AP12" s="55"/>
    </row>
    <row r="13" ht="14.25" customHeight="1">
      <c r="E13" s="54"/>
      <c r="F13" s="54"/>
      <c r="U13" s="54"/>
      <c r="V13" s="54"/>
      <c r="AE13" s="54"/>
      <c r="AG13" s="54"/>
      <c r="AI13" s="54"/>
      <c r="AJ13" s="54"/>
      <c r="AK13" s="54"/>
      <c r="AL13" s="54"/>
      <c r="AO13" s="53"/>
      <c r="AP13" s="55"/>
    </row>
    <row r="14" ht="14.25" customHeight="1">
      <c r="E14" s="54"/>
      <c r="F14" s="54"/>
      <c r="U14" s="54"/>
      <c r="V14" s="54"/>
      <c r="AE14" s="54"/>
      <c r="AG14" s="54"/>
      <c r="AI14" s="54"/>
      <c r="AJ14" s="54"/>
      <c r="AK14" s="54"/>
      <c r="AL14" s="54"/>
      <c r="AO14" s="53"/>
      <c r="AP14" s="55"/>
    </row>
    <row r="15" ht="14.25" customHeight="1">
      <c r="E15" s="54"/>
      <c r="F15" s="54"/>
      <c r="U15" s="54"/>
      <c r="V15" s="54"/>
      <c r="AE15" s="54"/>
      <c r="AG15" s="54"/>
      <c r="AI15" s="54"/>
      <c r="AJ15" s="54"/>
      <c r="AK15" s="54"/>
      <c r="AL15" s="54"/>
      <c r="AO15" s="53"/>
      <c r="AP15" s="55"/>
    </row>
    <row r="16" ht="14.25" customHeight="1">
      <c r="E16" s="54"/>
      <c r="F16" s="54"/>
      <c r="U16" s="54"/>
      <c r="V16" s="54"/>
      <c r="AE16" s="54"/>
      <c r="AG16" s="54"/>
      <c r="AI16" s="54"/>
      <c r="AJ16" s="54"/>
      <c r="AK16" s="54"/>
      <c r="AL16" s="54"/>
      <c r="AO16" s="53"/>
      <c r="AP16" s="55"/>
    </row>
    <row r="17" ht="14.25" customHeight="1">
      <c r="E17" s="54"/>
      <c r="F17" s="54"/>
      <c r="U17" s="54"/>
      <c r="V17" s="54"/>
      <c r="AE17" s="54"/>
      <c r="AG17" s="54"/>
      <c r="AI17" s="54"/>
      <c r="AJ17" s="54"/>
      <c r="AK17" s="54"/>
      <c r="AL17" s="54"/>
      <c r="AO17" s="55"/>
      <c r="AP17" s="55"/>
    </row>
    <row r="18" ht="14.25" customHeight="1">
      <c r="E18" s="54"/>
      <c r="F18" s="54"/>
      <c r="U18" s="54"/>
      <c r="V18" s="54"/>
      <c r="AE18" s="54"/>
      <c r="AG18" s="54"/>
      <c r="AI18" s="54"/>
      <c r="AJ18" s="54"/>
      <c r="AK18" s="54"/>
      <c r="AL18" s="54"/>
      <c r="AO18" s="55"/>
      <c r="AP18" s="55"/>
    </row>
    <row r="19" ht="14.25" customHeight="1">
      <c r="E19" s="54"/>
      <c r="F19" s="54"/>
      <c r="U19" s="54"/>
      <c r="V19" s="54"/>
      <c r="AE19" s="54"/>
      <c r="AG19" s="54"/>
      <c r="AI19" s="54"/>
      <c r="AJ19" s="54"/>
      <c r="AK19" s="54"/>
      <c r="AL19" s="54"/>
      <c r="AO19" s="55"/>
      <c r="AP19" s="55"/>
    </row>
    <row r="20" ht="14.25" customHeight="1">
      <c r="E20" s="54"/>
      <c r="F20" s="54"/>
      <c r="U20" s="54"/>
      <c r="V20" s="54"/>
      <c r="AE20" s="54"/>
      <c r="AG20" s="54"/>
      <c r="AI20" s="54"/>
      <c r="AJ20" s="54"/>
      <c r="AK20" s="54"/>
      <c r="AL20" s="54"/>
      <c r="AO20" s="55"/>
      <c r="AP20" s="55"/>
    </row>
    <row r="21" ht="14.25" customHeight="1">
      <c r="E21" s="54"/>
      <c r="F21" s="54"/>
      <c r="U21" s="54"/>
      <c r="V21" s="54"/>
      <c r="AE21" s="54"/>
      <c r="AG21" s="54"/>
      <c r="AI21" s="54"/>
      <c r="AJ21" s="54"/>
      <c r="AK21" s="54"/>
      <c r="AL21" s="54"/>
      <c r="AO21" s="55"/>
      <c r="AP21" s="55"/>
    </row>
    <row r="22" ht="14.25" customHeight="1">
      <c r="E22" s="54"/>
      <c r="F22" s="54"/>
      <c r="U22" s="54"/>
      <c r="V22" s="54"/>
      <c r="AE22" s="54"/>
      <c r="AG22" s="54"/>
      <c r="AI22" s="54"/>
      <c r="AJ22" s="54"/>
      <c r="AK22" s="54"/>
      <c r="AL22" s="54"/>
      <c r="AO22" s="55"/>
      <c r="AP22" s="55"/>
    </row>
    <row r="23" ht="14.25" customHeight="1">
      <c r="E23" s="54"/>
      <c r="F23" s="54"/>
      <c r="U23" s="54"/>
      <c r="V23" s="54"/>
      <c r="AE23" s="54"/>
      <c r="AG23" s="54"/>
      <c r="AI23" s="54"/>
      <c r="AJ23" s="54"/>
      <c r="AK23" s="54"/>
      <c r="AL23" s="54"/>
      <c r="AO23" s="55"/>
      <c r="AP23" s="55"/>
    </row>
    <row r="24" ht="14.25" customHeight="1">
      <c r="E24" s="54"/>
      <c r="F24" s="54"/>
      <c r="U24" s="54"/>
      <c r="V24" s="54"/>
      <c r="AE24" s="54"/>
      <c r="AG24" s="54"/>
      <c r="AI24" s="54"/>
      <c r="AJ24" s="54"/>
      <c r="AK24" s="54"/>
      <c r="AL24" s="54"/>
      <c r="AO24" s="55"/>
      <c r="AP24" s="55"/>
    </row>
    <row r="25" ht="14.25" customHeight="1">
      <c r="E25" s="56"/>
      <c r="F25" s="56"/>
      <c r="U25" s="54"/>
      <c r="V25" s="54"/>
      <c r="AE25" s="54"/>
      <c r="AG25" s="54"/>
      <c r="AI25" s="54"/>
      <c r="AJ25" s="54"/>
      <c r="AK25" s="54"/>
      <c r="AL25" s="54"/>
      <c r="AO25" s="55"/>
      <c r="AP25" s="55"/>
    </row>
    <row r="26" ht="14.25" customHeight="1">
      <c r="E26" s="56"/>
      <c r="F26" s="56"/>
      <c r="U26" s="54"/>
      <c r="V26" s="54"/>
      <c r="AE26" s="54"/>
      <c r="AG26" s="54"/>
      <c r="AI26" s="54"/>
      <c r="AJ26" s="54"/>
      <c r="AK26" s="54"/>
      <c r="AL26" s="54"/>
      <c r="AO26" s="55"/>
      <c r="AP26" s="55"/>
    </row>
    <row r="27" ht="14.25" customHeight="1">
      <c r="E27" s="56"/>
      <c r="F27" s="56"/>
      <c r="U27" s="54"/>
      <c r="V27" s="54"/>
      <c r="AE27" s="54"/>
      <c r="AG27" s="54"/>
      <c r="AI27" s="54"/>
      <c r="AJ27" s="54"/>
      <c r="AK27" s="54"/>
      <c r="AL27" s="54"/>
      <c r="AO27" s="55"/>
      <c r="AP27" s="55"/>
    </row>
    <row r="28" ht="14.25" customHeight="1">
      <c r="E28" s="56"/>
      <c r="F28" s="56"/>
      <c r="U28" s="54"/>
      <c r="V28" s="54"/>
      <c r="AE28" s="54"/>
      <c r="AG28" s="54"/>
      <c r="AI28" s="54"/>
      <c r="AJ28" s="54"/>
      <c r="AK28" s="54"/>
      <c r="AL28" s="54"/>
      <c r="AO28" s="55"/>
      <c r="AP28" s="55"/>
    </row>
    <row r="29" ht="14.25" customHeight="1">
      <c r="E29" s="56"/>
      <c r="F29" s="56"/>
      <c r="U29" s="54"/>
      <c r="V29" s="54"/>
      <c r="AE29" s="54"/>
      <c r="AG29" s="54"/>
      <c r="AI29" s="54"/>
      <c r="AJ29" s="54"/>
      <c r="AK29" s="54"/>
      <c r="AL29" s="54"/>
      <c r="AO29" s="55"/>
      <c r="AP29" s="55"/>
    </row>
    <row r="30" ht="14.25" customHeight="1">
      <c r="E30" s="56"/>
      <c r="F30" s="56"/>
      <c r="U30" s="54"/>
      <c r="V30" s="54"/>
      <c r="AE30" s="54"/>
      <c r="AG30" s="54"/>
      <c r="AI30" s="54"/>
      <c r="AJ30" s="54"/>
      <c r="AK30" s="54"/>
      <c r="AL30" s="54"/>
      <c r="AO30" s="55"/>
      <c r="AP30" s="55"/>
    </row>
    <row r="31" ht="14.25" customHeight="1">
      <c r="E31" s="56"/>
      <c r="F31" s="56"/>
      <c r="U31" s="54"/>
      <c r="V31" s="54"/>
      <c r="AE31" s="54"/>
      <c r="AG31" s="54"/>
      <c r="AI31" s="54"/>
      <c r="AJ31" s="54"/>
      <c r="AK31" s="54"/>
      <c r="AL31" s="54"/>
      <c r="AO31" s="55"/>
      <c r="AP31" s="55"/>
    </row>
    <row r="32" ht="14.25" customHeight="1">
      <c r="E32" s="56"/>
      <c r="F32" s="56"/>
      <c r="U32" s="54"/>
      <c r="V32" s="54"/>
      <c r="AE32" s="54"/>
      <c r="AG32" s="54"/>
      <c r="AI32" s="54"/>
      <c r="AJ32" s="54"/>
      <c r="AK32" s="54"/>
      <c r="AL32" s="54"/>
      <c r="AO32" s="55"/>
      <c r="AP32" s="55"/>
    </row>
    <row r="33" ht="14.25" customHeight="1">
      <c r="E33" s="56"/>
      <c r="F33" s="56"/>
      <c r="U33" s="54"/>
      <c r="V33" s="54"/>
      <c r="AE33" s="54"/>
      <c r="AG33" s="54"/>
      <c r="AI33" s="54"/>
      <c r="AJ33" s="54"/>
      <c r="AK33" s="54"/>
      <c r="AL33" s="54"/>
      <c r="AO33" s="55"/>
      <c r="AP33" s="55"/>
    </row>
    <row r="34" ht="14.25" customHeight="1">
      <c r="E34" s="56"/>
      <c r="F34" s="56"/>
      <c r="U34" s="54"/>
      <c r="V34" s="54"/>
      <c r="AE34" s="54"/>
      <c r="AG34" s="54"/>
      <c r="AI34" s="54"/>
      <c r="AJ34" s="54"/>
      <c r="AK34" s="54"/>
      <c r="AL34" s="54"/>
      <c r="AO34" s="55"/>
      <c r="AP34" s="55"/>
    </row>
    <row r="35" ht="14.25" customHeight="1">
      <c r="E35" s="56"/>
      <c r="F35" s="56"/>
      <c r="U35" s="54"/>
      <c r="V35" s="54"/>
      <c r="AE35" s="54"/>
      <c r="AG35" s="54"/>
      <c r="AI35" s="54"/>
      <c r="AJ35" s="54"/>
      <c r="AK35" s="54"/>
      <c r="AL35" s="54"/>
      <c r="AO35" s="55"/>
      <c r="AP35" s="55"/>
    </row>
    <row r="36" ht="14.25" customHeight="1">
      <c r="E36" s="56"/>
      <c r="F36" s="56"/>
      <c r="U36" s="54"/>
      <c r="V36" s="54"/>
      <c r="AE36" s="54"/>
      <c r="AG36" s="54"/>
      <c r="AI36" s="54"/>
      <c r="AJ36" s="54"/>
      <c r="AK36" s="54"/>
      <c r="AL36" s="54"/>
      <c r="AO36" s="55"/>
      <c r="AP36" s="55"/>
    </row>
    <row r="37" ht="14.25" customHeight="1">
      <c r="E37" s="56"/>
      <c r="F37" s="56"/>
      <c r="U37" s="54"/>
      <c r="V37" s="54"/>
      <c r="AE37" s="54"/>
      <c r="AG37" s="54"/>
      <c r="AI37" s="54"/>
      <c r="AJ37" s="54"/>
      <c r="AK37" s="54"/>
      <c r="AL37" s="54"/>
      <c r="AO37" s="55"/>
      <c r="AP37" s="55"/>
    </row>
    <row r="38" ht="14.25" customHeight="1">
      <c r="E38" s="56"/>
      <c r="F38" s="56"/>
      <c r="U38" s="54"/>
      <c r="V38" s="54"/>
      <c r="AE38" s="54"/>
      <c r="AG38" s="54"/>
      <c r="AI38" s="54"/>
      <c r="AJ38" s="54"/>
      <c r="AK38" s="54"/>
      <c r="AL38" s="54"/>
      <c r="AO38" s="55"/>
      <c r="AP38" s="55"/>
    </row>
    <row r="39" ht="14.25" customHeight="1">
      <c r="E39" s="56"/>
      <c r="F39" s="56"/>
      <c r="U39" s="54"/>
      <c r="V39" s="54"/>
      <c r="AE39" s="54"/>
      <c r="AG39" s="54"/>
      <c r="AI39" s="54"/>
      <c r="AJ39" s="54"/>
      <c r="AK39" s="54"/>
      <c r="AL39" s="54"/>
      <c r="AO39" s="55"/>
      <c r="AP39" s="55"/>
    </row>
    <row r="40" ht="14.25" customHeight="1">
      <c r="E40" s="56"/>
      <c r="F40" s="56"/>
      <c r="U40" s="54"/>
      <c r="V40" s="54"/>
      <c r="AE40" s="54"/>
      <c r="AG40" s="54"/>
      <c r="AI40" s="54"/>
      <c r="AJ40" s="54"/>
      <c r="AK40" s="54"/>
      <c r="AL40" s="54"/>
      <c r="AO40" s="55"/>
      <c r="AP40" s="55"/>
    </row>
    <row r="41" ht="14.25" customHeight="1">
      <c r="E41" s="56"/>
      <c r="F41" s="56"/>
      <c r="U41" s="54"/>
      <c r="V41" s="54"/>
      <c r="AE41" s="54"/>
      <c r="AG41" s="54"/>
      <c r="AI41" s="54"/>
      <c r="AJ41" s="54"/>
      <c r="AK41" s="54"/>
      <c r="AL41" s="54"/>
      <c r="AO41" s="55"/>
      <c r="AP41" s="55"/>
    </row>
    <row r="42" ht="14.25" customHeight="1">
      <c r="E42" s="56"/>
      <c r="F42" s="56"/>
      <c r="U42" s="54"/>
      <c r="V42" s="54"/>
      <c r="AE42" s="54"/>
      <c r="AG42" s="54"/>
      <c r="AI42" s="54"/>
      <c r="AJ42" s="54"/>
      <c r="AK42" s="54"/>
      <c r="AL42" s="54"/>
      <c r="AO42" s="55"/>
      <c r="AP42" s="55"/>
    </row>
    <row r="43" ht="14.25" customHeight="1">
      <c r="E43" s="56"/>
      <c r="F43" s="56"/>
      <c r="U43" s="54"/>
      <c r="V43" s="54"/>
      <c r="AE43" s="54"/>
      <c r="AG43" s="54"/>
      <c r="AI43" s="54"/>
      <c r="AJ43" s="54"/>
      <c r="AK43" s="54"/>
      <c r="AL43" s="54"/>
      <c r="AO43" s="55"/>
      <c r="AP43" s="55"/>
    </row>
    <row r="44" ht="14.25" customHeight="1">
      <c r="E44" s="56"/>
      <c r="F44" s="56"/>
      <c r="U44" s="54"/>
      <c r="V44" s="54"/>
      <c r="AE44" s="54"/>
      <c r="AG44" s="54"/>
      <c r="AI44" s="54"/>
      <c r="AJ44" s="54"/>
      <c r="AK44" s="54"/>
      <c r="AL44" s="54"/>
      <c r="AO44" s="55"/>
      <c r="AP44" s="55"/>
    </row>
    <row r="45" ht="14.25" customHeight="1">
      <c r="E45" s="56"/>
      <c r="F45" s="56"/>
      <c r="U45" s="54"/>
      <c r="V45" s="54"/>
      <c r="AE45" s="54"/>
      <c r="AG45" s="54"/>
      <c r="AI45" s="54"/>
      <c r="AJ45" s="54"/>
      <c r="AK45" s="54"/>
      <c r="AL45" s="54"/>
      <c r="AO45" s="55"/>
      <c r="AP45" s="55"/>
    </row>
    <row r="46" ht="14.25" customHeight="1">
      <c r="E46" s="56"/>
      <c r="F46" s="56"/>
      <c r="U46" s="54"/>
      <c r="V46" s="54"/>
      <c r="AE46" s="54"/>
      <c r="AG46" s="54"/>
      <c r="AI46" s="54"/>
      <c r="AJ46" s="54"/>
      <c r="AK46" s="54"/>
      <c r="AL46" s="54"/>
      <c r="AO46" s="55"/>
      <c r="AP46" s="55"/>
    </row>
    <row r="47" ht="14.25" customHeight="1">
      <c r="E47" s="56"/>
      <c r="F47" s="56"/>
      <c r="U47" s="54"/>
      <c r="V47" s="54"/>
      <c r="AE47" s="54"/>
      <c r="AG47" s="54"/>
      <c r="AI47" s="54"/>
      <c r="AJ47" s="54"/>
      <c r="AK47" s="54"/>
      <c r="AL47" s="54"/>
      <c r="AO47" s="55"/>
      <c r="AP47" s="55"/>
    </row>
    <row r="48" ht="14.25" customHeight="1">
      <c r="E48" s="56"/>
      <c r="F48" s="56"/>
      <c r="U48" s="54"/>
      <c r="V48" s="54"/>
      <c r="AE48" s="54"/>
      <c r="AG48" s="54"/>
      <c r="AI48" s="54"/>
      <c r="AJ48" s="54"/>
      <c r="AK48" s="54"/>
      <c r="AL48" s="54"/>
      <c r="AO48" s="55"/>
      <c r="AP48" s="55"/>
    </row>
    <row r="49" ht="14.25" customHeight="1">
      <c r="E49" s="56"/>
      <c r="F49" s="56"/>
      <c r="U49" s="54"/>
      <c r="V49" s="54"/>
      <c r="AE49" s="54"/>
      <c r="AG49" s="54"/>
      <c r="AI49" s="54"/>
      <c r="AJ49" s="54"/>
      <c r="AK49" s="54"/>
      <c r="AL49" s="54"/>
      <c r="AO49" s="55"/>
      <c r="AP49" s="55"/>
    </row>
    <row r="50" ht="14.25" customHeight="1">
      <c r="E50" s="56"/>
      <c r="F50" s="56"/>
      <c r="U50" s="54"/>
      <c r="V50" s="54"/>
      <c r="AE50" s="54"/>
      <c r="AG50" s="54"/>
      <c r="AI50" s="54"/>
      <c r="AJ50" s="54"/>
      <c r="AK50" s="54"/>
      <c r="AL50" s="54"/>
      <c r="AO50" s="55"/>
      <c r="AP50" s="55"/>
    </row>
    <row r="51" ht="14.25" customHeight="1">
      <c r="E51" s="56"/>
      <c r="F51" s="56"/>
      <c r="U51" s="54"/>
      <c r="V51" s="54"/>
      <c r="AE51" s="54"/>
      <c r="AG51" s="54"/>
      <c r="AI51" s="54"/>
      <c r="AJ51" s="54"/>
      <c r="AK51" s="54"/>
      <c r="AL51" s="54"/>
      <c r="AO51" s="55"/>
      <c r="AP51" s="55"/>
    </row>
    <row r="52" ht="14.25" customHeight="1">
      <c r="E52" s="56"/>
      <c r="F52" s="56"/>
      <c r="U52" s="54"/>
      <c r="V52" s="54"/>
      <c r="AE52" s="54"/>
      <c r="AG52" s="54"/>
      <c r="AI52" s="54"/>
      <c r="AJ52" s="54"/>
      <c r="AK52" s="54"/>
      <c r="AL52" s="54"/>
      <c r="AO52" s="55"/>
      <c r="AP52" s="55"/>
    </row>
    <row r="53" ht="14.25" customHeight="1">
      <c r="E53" s="56"/>
      <c r="F53" s="56"/>
      <c r="U53" s="54"/>
      <c r="V53" s="54"/>
      <c r="AE53" s="54"/>
      <c r="AG53" s="54"/>
      <c r="AI53" s="54"/>
      <c r="AJ53" s="54"/>
      <c r="AK53" s="54"/>
      <c r="AL53" s="54"/>
      <c r="AO53" s="55"/>
      <c r="AP53" s="55"/>
    </row>
    <row r="54" ht="14.25" customHeight="1">
      <c r="E54" s="56"/>
      <c r="F54" s="56"/>
      <c r="U54" s="54"/>
      <c r="V54" s="54"/>
      <c r="AE54" s="54"/>
      <c r="AG54" s="54"/>
      <c r="AI54" s="54"/>
      <c r="AJ54" s="54"/>
      <c r="AK54" s="54"/>
      <c r="AL54" s="54"/>
      <c r="AO54" s="55"/>
      <c r="AP54" s="55"/>
    </row>
    <row r="55" ht="14.25" customHeight="1">
      <c r="E55" s="56"/>
      <c r="F55" s="56"/>
      <c r="U55" s="54"/>
      <c r="V55" s="54"/>
      <c r="AE55" s="54"/>
      <c r="AG55" s="54"/>
      <c r="AI55" s="54"/>
      <c r="AJ55" s="54"/>
      <c r="AK55" s="54"/>
      <c r="AL55" s="54"/>
      <c r="AO55" s="55"/>
      <c r="AP55" s="55"/>
    </row>
    <row r="56" ht="14.25" customHeight="1">
      <c r="E56" s="56"/>
      <c r="F56" s="56"/>
      <c r="U56" s="54"/>
      <c r="V56" s="54"/>
      <c r="AE56" s="54"/>
      <c r="AG56" s="54"/>
      <c r="AI56" s="54"/>
      <c r="AJ56" s="54"/>
      <c r="AK56" s="54"/>
      <c r="AL56" s="54"/>
      <c r="AO56" s="55"/>
      <c r="AP56" s="55"/>
    </row>
    <row r="57" ht="14.25" customHeight="1">
      <c r="E57" s="56"/>
      <c r="F57" s="56"/>
      <c r="U57" s="54"/>
      <c r="V57" s="54"/>
      <c r="AE57" s="54"/>
      <c r="AG57" s="54"/>
      <c r="AI57" s="54"/>
      <c r="AJ57" s="54"/>
      <c r="AK57" s="54"/>
      <c r="AL57" s="54"/>
      <c r="AO57" s="55"/>
      <c r="AP57" s="55"/>
    </row>
    <row r="58" ht="14.25" customHeight="1">
      <c r="E58" s="56"/>
      <c r="F58" s="56"/>
      <c r="U58" s="54"/>
      <c r="V58" s="54"/>
      <c r="AE58" s="54"/>
      <c r="AG58" s="54"/>
      <c r="AI58" s="54"/>
      <c r="AJ58" s="54"/>
      <c r="AK58" s="54"/>
      <c r="AL58" s="54"/>
      <c r="AO58" s="55"/>
      <c r="AP58" s="55"/>
    </row>
    <row r="59" ht="14.25" customHeight="1">
      <c r="E59" s="56"/>
      <c r="F59" s="56"/>
      <c r="U59" s="54"/>
      <c r="V59" s="54"/>
      <c r="AE59" s="54"/>
      <c r="AG59" s="54"/>
      <c r="AI59" s="54"/>
      <c r="AJ59" s="54"/>
      <c r="AK59" s="54"/>
      <c r="AL59" s="54"/>
      <c r="AO59" s="55"/>
      <c r="AP59" s="55"/>
    </row>
    <row r="60" ht="14.25" customHeight="1">
      <c r="E60" s="56"/>
      <c r="F60" s="56"/>
      <c r="U60" s="54"/>
      <c r="V60" s="54"/>
      <c r="AE60" s="54"/>
      <c r="AG60" s="54"/>
      <c r="AI60" s="54"/>
      <c r="AJ60" s="54"/>
      <c r="AK60" s="54"/>
      <c r="AL60" s="54"/>
      <c r="AO60" s="55"/>
      <c r="AP60" s="55"/>
    </row>
    <row r="61" ht="14.25" customHeight="1">
      <c r="E61" s="56"/>
      <c r="F61" s="56"/>
      <c r="U61" s="54"/>
      <c r="V61" s="54"/>
      <c r="AE61" s="54"/>
      <c r="AG61" s="54"/>
      <c r="AI61" s="54"/>
      <c r="AJ61" s="54"/>
      <c r="AK61" s="54"/>
      <c r="AL61" s="54"/>
      <c r="AO61" s="55"/>
      <c r="AP61" s="55"/>
    </row>
    <row r="62" ht="14.25" customHeight="1">
      <c r="E62" s="56"/>
      <c r="F62" s="56"/>
      <c r="U62" s="54"/>
      <c r="V62" s="54"/>
      <c r="AE62" s="54"/>
      <c r="AG62" s="54"/>
      <c r="AI62" s="54"/>
      <c r="AJ62" s="54"/>
      <c r="AK62" s="54"/>
      <c r="AL62" s="54"/>
      <c r="AO62" s="55"/>
      <c r="AP62" s="55"/>
    </row>
    <row r="63" ht="14.25" customHeight="1">
      <c r="E63" s="56"/>
      <c r="F63" s="56"/>
      <c r="U63" s="54"/>
      <c r="V63" s="54"/>
      <c r="AE63" s="54"/>
      <c r="AG63" s="54"/>
      <c r="AI63" s="54"/>
      <c r="AJ63" s="54"/>
      <c r="AK63" s="54"/>
      <c r="AL63" s="54"/>
      <c r="AO63" s="55"/>
      <c r="AP63" s="55"/>
    </row>
    <row r="64" ht="14.25" customHeight="1">
      <c r="E64" s="56"/>
      <c r="F64" s="56"/>
      <c r="U64" s="54"/>
      <c r="V64" s="54"/>
      <c r="AE64" s="54"/>
      <c r="AG64" s="54"/>
      <c r="AI64" s="54"/>
      <c r="AJ64" s="54"/>
      <c r="AK64" s="54"/>
      <c r="AL64" s="54"/>
      <c r="AO64" s="55"/>
      <c r="AP64" s="55"/>
    </row>
    <row r="65" ht="14.25" customHeight="1">
      <c r="E65" s="56"/>
      <c r="F65" s="56"/>
      <c r="U65" s="54"/>
      <c r="V65" s="54"/>
      <c r="AE65" s="54"/>
      <c r="AG65" s="54"/>
      <c r="AI65" s="54"/>
      <c r="AJ65" s="54"/>
      <c r="AK65" s="54"/>
      <c r="AL65" s="54"/>
      <c r="AO65" s="55"/>
      <c r="AP65" s="55"/>
    </row>
    <row r="66" ht="14.25" customHeight="1">
      <c r="E66" s="56"/>
      <c r="F66" s="56"/>
      <c r="U66" s="54"/>
      <c r="V66" s="54"/>
      <c r="AE66" s="54"/>
      <c r="AG66" s="54"/>
      <c r="AI66" s="54"/>
      <c r="AJ66" s="54"/>
      <c r="AK66" s="54"/>
      <c r="AL66" s="54"/>
      <c r="AO66" s="55"/>
      <c r="AP66" s="55"/>
    </row>
    <row r="67" ht="14.25" customHeight="1">
      <c r="E67" s="56"/>
      <c r="F67" s="56"/>
      <c r="U67" s="54"/>
      <c r="V67" s="54"/>
      <c r="AE67" s="54"/>
      <c r="AG67" s="54"/>
      <c r="AI67" s="54"/>
      <c r="AJ67" s="54"/>
      <c r="AK67" s="54"/>
      <c r="AL67" s="54"/>
      <c r="AO67" s="55"/>
      <c r="AP67" s="55"/>
    </row>
    <row r="68" ht="14.25" customHeight="1">
      <c r="E68" s="56"/>
      <c r="F68" s="56"/>
      <c r="U68" s="54"/>
      <c r="V68" s="54"/>
      <c r="AE68" s="54"/>
      <c r="AG68" s="54"/>
      <c r="AI68" s="54"/>
      <c r="AJ68" s="54"/>
      <c r="AK68" s="54"/>
      <c r="AL68" s="54"/>
      <c r="AO68" s="55"/>
      <c r="AP68" s="55"/>
    </row>
    <row r="69" ht="14.25" customHeight="1">
      <c r="E69" s="56"/>
      <c r="F69" s="56"/>
      <c r="U69" s="54"/>
      <c r="V69" s="54"/>
      <c r="AE69" s="54"/>
      <c r="AG69" s="54"/>
      <c r="AI69" s="54"/>
      <c r="AJ69" s="54"/>
      <c r="AK69" s="54"/>
      <c r="AL69" s="54"/>
      <c r="AO69" s="55"/>
      <c r="AP69" s="55"/>
    </row>
    <row r="70" ht="14.25" customHeight="1">
      <c r="E70" s="56"/>
      <c r="F70" s="56"/>
      <c r="U70" s="54"/>
      <c r="V70" s="54"/>
      <c r="AE70" s="54"/>
      <c r="AG70" s="54"/>
      <c r="AI70" s="54"/>
      <c r="AJ70" s="54"/>
      <c r="AK70" s="54"/>
      <c r="AL70" s="54"/>
      <c r="AO70" s="55"/>
      <c r="AP70" s="55"/>
    </row>
    <row r="71" ht="14.25" customHeight="1">
      <c r="E71" s="56"/>
      <c r="F71" s="56"/>
      <c r="U71" s="54"/>
      <c r="V71" s="54"/>
      <c r="AE71" s="54"/>
      <c r="AG71" s="54"/>
      <c r="AI71" s="54"/>
      <c r="AJ71" s="54"/>
      <c r="AK71" s="54"/>
      <c r="AL71" s="54"/>
      <c r="AO71" s="55"/>
      <c r="AP71" s="55"/>
    </row>
    <row r="72" ht="14.25" customHeight="1">
      <c r="E72" s="56"/>
      <c r="F72" s="56"/>
      <c r="U72" s="54"/>
      <c r="V72" s="54"/>
      <c r="AE72" s="54"/>
      <c r="AG72" s="54"/>
      <c r="AI72" s="54"/>
      <c r="AJ72" s="54"/>
      <c r="AK72" s="54"/>
      <c r="AL72" s="54"/>
      <c r="AO72" s="55"/>
      <c r="AP72" s="55"/>
    </row>
    <row r="73" ht="14.25" customHeight="1">
      <c r="E73" s="56"/>
      <c r="F73" s="56"/>
      <c r="U73" s="54"/>
      <c r="V73" s="54"/>
      <c r="AE73" s="54"/>
      <c r="AG73" s="54"/>
      <c r="AI73" s="54"/>
      <c r="AJ73" s="54"/>
      <c r="AK73" s="54"/>
      <c r="AL73" s="54"/>
      <c r="AO73" s="55"/>
      <c r="AP73" s="55"/>
    </row>
    <row r="74" ht="14.25" customHeight="1">
      <c r="E74" s="56"/>
      <c r="F74" s="56"/>
      <c r="U74" s="54"/>
      <c r="V74" s="54"/>
      <c r="AE74" s="54"/>
      <c r="AG74" s="54"/>
      <c r="AI74" s="54"/>
      <c r="AJ74" s="54"/>
      <c r="AK74" s="54"/>
      <c r="AL74" s="54"/>
      <c r="AO74" s="55"/>
      <c r="AP74" s="55"/>
    </row>
    <row r="75" ht="14.25" customHeight="1">
      <c r="E75" s="56"/>
      <c r="F75" s="56"/>
      <c r="U75" s="54"/>
      <c r="V75" s="54"/>
      <c r="AE75" s="54"/>
      <c r="AG75" s="54"/>
      <c r="AI75" s="54"/>
      <c r="AJ75" s="54"/>
      <c r="AK75" s="54"/>
      <c r="AL75" s="54"/>
      <c r="AO75" s="55"/>
      <c r="AP75" s="55"/>
    </row>
    <row r="76" ht="14.25" customHeight="1">
      <c r="E76" s="56"/>
      <c r="F76" s="56"/>
      <c r="U76" s="54"/>
      <c r="V76" s="54"/>
      <c r="AE76" s="54"/>
      <c r="AG76" s="54"/>
      <c r="AI76" s="54"/>
      <c r="AJ76" s="54"/>
      <c r="AK76" s="54"/>
      <c r="AL76" s="54"/>
      <c r="AO76" s="55"/>
      <c r="AP76" s="55"/>
    </row>
    <row r="77" ht="14.25" customHeight="1">
      <c r="E77" s="56"/>
      <c r="F77" s="56"/>
      <c r="U77" s="54"/>
      <c r="V77" s="54"/>
      <c r="AE77" s="54"/>
      <c r="AG77" s="54"/>
      <c r="AI77" s="54"/>
      <c r="AJ77" s="54"/>
      <c r="AK77" s="54"/>
      <c r="AL77" s="54"/>
      <c r="AO77" s="55"/>
      <c r="AP77" s="55"/>
    </row>
    <row r="78" ht="14.25" customHeight="1">
      <c r="E78" s="56"/>
      <c r="F78" s="56"/>
      <c r="U78" s="54"/>
      <c r="V78" s="54"/>
      <c r="AE78" s="54"/>
      <c r="AG78" s="54"/>
      <c r="AI78" s="54"/>
      <c r="AJ78" s="54"/>
      <c r="AK78" s="54"/>
      <c r="AL78" s="54"/>
      <c r="AO78" s="55"/>
      <c r="AP78" s="55"/>
    </row>
    <row r="79" ht="14.25" customHeight="1">
      <c r="E79" s="56"/>
      <c r="F79" s="56"/>
      <c r="U79" s="54"/>
      <c r="V79" s="54"/>
      <c r="AE79" s="54"/>
      <c r="AG79" s="54"/>
      <c r="AI79" s="54"/>
      <c r="AJ79" s="54"/>
      <c r="AK79" s="54"/>
      <c r="AL79" s="54"/>
      <c r="AO79" s="55"/>
      <c r="AP79" s="55"/>
    </row>
    <row r="80" ht="14.25" customHeight="1">
      <c r="E80" s="56"/>
      <c r="F80" s="56"/>
      <c r="U80" s="54"/>
      <c r="V80" s="54"/>
      <c r="AE80" s="54"/>
      <c r="AG80" s="54"/>
      <c r="AI80" s="54"/>
      <c r="AJ80" s="54"/>
      <c r="AK80" s="54"/>
      <c r="AL80" s="54"/>
      <c r="AO80" s="55"/>
      <c r="AP80" s="55"/>
    </row>
    <row r="81" ht="14.25" customHeight="1">
      <c r="E81" s="56"/>
      <c r="F81" s="56"/>
      <c r="U81" s="54"/>
      <c r="V81" s="54"/>
      <c r="AE81" s="54"/>
      <c r="AG81" s="54"/>
      <c r="AI81" s="54"/>
      <c r="AJ81" s="54"/>
      <c r="AK81" s="54"/>
      <c r="AL81" s="54"/>
      <c r="AO81" s="55"/>
      <c r="AP81" s="55"/>
    </row>
    <row r="82" ht="14.25" customHeight="1">
      <c r="E82" s="56"/>
      <c r="F82" s="56"/>
      <c r="U82" s="54"/>
      <c r="V82" s="54"/>
      <c r="AE82" s="54"/>
      <c r="AG82" s="54"/>
      <c r="AI82" s="54"/>
      <c r="AJ82" s="54"/>
      <c r="AK82" s="54"/>
      <c r="AL82" s="54"/>
      <c r="AO82" s="55"/>
      <c r="AP82" s="55"/>
    </row>
    <row r="83" ht="14.25" customHeight="1">
      <c r="E83" s="56"/>
      <c r="F83" s="56"/>
      <c r="U83" s="54"/>
      <c r="V83" s="54"/>
      <c r="AE83" s="54"/>
      <c r="AG83" s="54"/>
      <c r="AI83" s="54"/>
      <c r="AJ83" s="54"/>
      <c r="AK83" s="54"/>
      <c r="AL83" s="54"/>
      <c r="AO83" s="55"/>
      <c r="AP83" s="55"/>
    </row>
    <row r="84" ht="14.25" customHeight="1">
      <c r="E84" s="56"/>
      <c r="F84" s="56"/>
      <c r="U84" s="54"/>
      <c r="V84" s="54"/>
      <c r="AE84" s="54"/>
      <c r="AG84" s="54"/>
      <c r="AI84" s="54"/>
      <c r="AJ84" s="54"/>
      <c r="AK84" s="54"/>
      <c r="AL84" s="54"/>
      <c r="AO84" s="55"/>
      <c r="AP84" s="55"/>
    </row>
    <row r="85" ht="14.25" customHeight="1">
      <c r="E85" s="56"/>
      <c r="F85" s="56"/>
      <c r="U85" s="54"/>
      <c r="V85" s="54"/>
      <c r="AE85" s="54"/>
      <c r="AG85" s="54"/>
      <c r="AI85" s="54"/>
      <c r="AJ85" s="54"/>
      <c r="AK85" s="54"/>
      <c r="AL85" s="54"/>
      <c r="AO85" s="55"/>
      <c r="AP85" s="55"/>
    </row>
    <row r="86" ht="14.25" customHeight="1">
      <c r="E86" s="56"/>
      <c r="F86" s="56"/>
      <c r="U86" s="54"/>
      <c r="V86" s="54"/>
      <c r="AE86" s="54"/>
      <c r="AG86" s="54"/>
      <c r="AI86" s="54"/>
      <c r="AJ86" s="54"/>
      <c r="AK86" s="54"/>
      <c r="AL86" s="54"/>
      <c r="AO86" s="55"/>
      <c r="AP86" s="55"/>
    </row>
    <row r="87" ht="14.25" customHeight="1">
      <c r="E87" s="56"/>
      <c r="F87" s="56"/>
      <c r="U87" s="54"/>
      <c r="V87" s="54"/>
      <c r="AE87" s="54"/>
      <c r="AG87" s="54"/>
      <c r="AI87" s="54"/>
      <c r="AJ87" s="54"/>
      <c r="AK87" s="54"/>
      <c r="AL87" s="54"/>
      <c r="AO87" s="55"/>
      <c r="AP87" s="55"/>
    </row>
    <row r="88" ht="14.25" customHeight="1">
      <c r="E88" s="56"/>
      <c r="F88" s="56"/>
      <c r="U88" s="54"/>
      <c r="V88" s="54"/>
      <c r="AE88" s="54"/>
      <c r="AG88" s="54"/>
      <c r="AI88" s="54"/>
      <c r="AJ88" s="54"/>
      <c r="AK88" s="54"/>
      <c r="AL88" s="54"/>
      <c r="AO88" s="55"/>
      <c r="AP88" s="55"/>
    </row>
    <row r="89" ht="14.25" customHeight="1">
      <c r="E89" s="56"/>
      <c r="F89" s="56"/>
      <c r="U89" s="54"/>
      <c r="V89" s="54"/>
      <c r="AE89" s="54"/>
      <c r="AG89" s="54"/>
      <c r="AI89" s="54"/>
      <c r="AJ89" s="54"/>
      <c r="AK89" s="54"/>
      <c r="AL89" s="54"/>
      <c r="AO89" s="55"/>
      <c r="AP89" s="55"/>
    </row>
    <row r="90" ht="14.25" customHeight="1">
      <c r="E90" s="56"/>
      <c r="F90" s="56"/>
      <c r="U90" s="54"/>
      <c r="V90" s="54"/>
      <c r="AE90" s="54"/>
      <c r="AG90" s="54"/>
      <c r="AI90" s="54"/>
      <c r="AJ90" s="54"/>
      <c r="AK90" s="54"/>
      <c r="AL90" s="54"/>
      <c r="AO90" s="55"/>
      <c r="AP90" s="55"/>
    </row>
    <row r="91" ht="14.25" customHeight="1">
      <c r="E91" s="56"/>
      <c r="F91" s="56"/>
      <c r="U91" s="54"/>
      <c r="V91" s="54"/>
      <c r="AE91" s="54"/>
      <c r="AG91" s="54"/>
      <c r="AI91" s="54"/>
      <c r="AJ91" s="54"/>
      <c r="AK91" s="54"/>
      <c r="AL91" s="54"/>
      <c r="AO91" s="55"/>
      <c r="AP91" s="55"/>
    </row>
    <row r="92" ht="14.25" customHeight="1">
      <c r="E92" s="56"/>
      <c r="F92" s="56"/>
      <c r="U92" s="54"/>
      <c r="V92" s="54"/>
      <c r="AE92" s="54"/>
      <c r="AG92" s="54"/>
      <c r="AI92" s="54"/>
      <c r="AJ92" s="54"/>
      <c r="AK92" s="54"/>
      <c r="AL92" s="54"/>
      <c r="AO92" s="55"/>
      <c r="AP92" s="55"/>
    </row>
    <row r="93" ht="14.25" customHeight="1">
      <c r="E93" s="56"/>
      <c r="F93" s="56"/>
      <c r="U93" s="54"/>
      <c r="V93" s="54"/>
      <c r="AE93" s="54"/>
      <c r="AG93" s="54"/>
      <c r="AI93" s="54"/>
      <c r="AJ93" s="54"/>
      <c r="AK93" s="54"/>
      <c r="AL93" s="54"/>
      <c r="AO93" s="55"/>
      <c r="AP93" s="55"/>
    </row>
    <row r="94" ht="14.25" customHeight="1">
      <c r="E94" s="56"/>
      <c r="F94" s="56"/>
      <c r="U94" s="54"/>
      <c r="V94" s="54"/>
      <c r="AE94" s="54"/>
      <c r="AG94" s="54"/>
      <c r="AI94" s="54"/>
      <c r="AJ94" s="54"/>
      <c r="AK94" s="54"/>
      <c r="AL94" s="54"/>
      <c r="AO94" s="55"/>
      <c r="AP94" s="55"/>
    </row>
    <row r="95" ht="14.25" customHeight="1">
      <c r="E95" s="56"/>
      <c r="F95" s="56"/>
      <c r="U95" s="54"/>
      <c r="V95" s="54"/>
      <c r="AE95" s="54"/>
      <c r="AG95" s="54"/>
      <c r="AI95" s="54"/>
      <c r="AJ95" s="54"/>
      <c r="AK95" s="54"/>
      <c r="AL95" s="54"/>
      <c r="AO95" s="55"/>
      <c r="AP95" s="55"/>
    </row>
    <row r="96" ht="14.25" customHeight="1">
      <c r="E96" s="56"/>
      <c r="F96" s="56"/>
      <c r="U96" s="54"/>
      <c r="V96" s="54"/>
      <c r="AE96" s="54"/>
      <c r="AG96" s="54"/>
      <c r="AI96" s="54"/>
      <c r="AJ96" s="54"/>
      <c r="AK96" s="54"/>
      <c r="AL96" s="54"/>
      <c r="AO96" s="55"/>
      <c r="AP96" s="55"/>
    </row>
    <row r="97" ht="14.25" customHeight="1">
      <c r="E97" s="56"/>
      <c r="F97" s="56"/>
      <c r="U97" s="54"/>
      <c r="V97" s="54"/>
      <c r="AE97" s="54"/>
      <c r="AG97" s="54"/>
      <c r="AI97" s="54"/>
      <c r="AJ97" s="54"/>
      <c r="AK97" s="54"/>
      <c r="AL97" s="54"/>
      <c r="AO97" s="55"/>
      <c r="AP97" s="55"/>
    </row>
    <row r="98" ht="14.25" customHeight="1">
      <c r="E98" s="56"/>
      <c r="F98" s="56"/>
      <c r="U98" s="54"/>
      <c r="V98" s="54"/>
      <c r="AE98" s="54"/>
      <c r="AG98" s="54"/>
      <c r="AI98" s="54"/>
      <c r="AJ98" s="54"/>
      <c r="AK98" s="54"/>
      <c r="AL98" s="54"/>
      <c r="AO98" s="55"/>
      <c r="AP98" s="55"/>
    </row>
    <row r="99" ht="14.25" customHeight="1">
      <c r="E99" s="56"/>
      <c r="F99" s="56"/>
      <c r="U99" s="54"/>
      <c r="V99" s="54"/>
      <c r="AE99" s="54"/>
      <c r="AG99" s="54"/>
      <c r="AI99" s="54"/>
      <c r="AJ99" s="54"/>
      <c r="AK99" s="54"/>
      <c r="AL99" s="54"/>
      <c r="AO99" s="55"/>
      <c r="AP99" s="55"/>
    </row>
    <row r="100" ht="14.25" customHeight="1">
      <c r="E100" s="56"/>
      <c r="F100" s="56"/>
      <c r="U100" s="54"/>
      <c r="V100" s="54"/>
      <c r="AE100" s="54"/>
      <c r="AG100" s="54"/>
      <c r="AI100" s="54"/>
      <c r="AJ100" s="54"/>
      <c r="AK100" s="54"/>
      <c r="AL100" s="54"/>
      <c r="AO100" s="55"/>
      <c r="AP100" s="55"/>
    </row>
    <row r="101" ht="14.25" customHeight="1">
      <c r="E101" s="56"/>
      <c r="F101" s="56"/>
      <c r="U101" s="54"/>
      <c r="V101" s="54"/>
      <c r="AE101" s="54"/>
      <c r="AG101" s="54"/>
      <c r="AI101" s="54"/>
      <c r="AJ101" s="54"/>
      <c r="AK101" s="54"/>
      <c r="AL101" s="54"/>
      <c r="AO101" s="55"/>
      <c r="AP101" s="55"/>
    </row>
    <row r="102" ht="14.25" customHeight="1">
      <c r="E102" s="56"/>
      <c r="F102" s="56"/>
      <c r="U102" s="54"/>
      <c r="V102" s="54"/>
      <c r="AE102" s="54"/>
      <c r="AG102" s="54"/>
      <c r="AI102" s="54"/>
      <c r="AJ102" s="54"/>
      <c r="AK102" s="54"/>
      <c r="AL102" s="54"/>
      <c r="AO102" s="55"/>
      <c r="AP102" s="55"/>
    </row>
    <row r="103" ht="14.25" customHeight="1">
      <c r="E103" s="56"/>
      <c r="F103" s="56"/>
      <c r="U103" s="54"/>
      <c r="V103" s="54"/>
      <c r="AE103" s="54"/>
      <c r="AG103" s="54"/>
      <c r="AI103" s="54"/>
      <c r="AJ103" s="54"/>
      <c r="AK103" s="54"/>
      <c r="AL103" s="54"/>
      <c r="AO103" s="55"/>
      <c r="AP103" s="55"/>
    </row>
    <row r="104" ht="14.25" customHeight="1">
      <c r="E104" s="56"/>
      <c r="F104" s="56"/>
      <c r="U104" s="54"/>
      <c r="V104" s="54"/>
      <c r="AE104" s="54"/>
      <c r="AG104" s="54"/>
      <c r="AI104" s="54"/>
      <c r="AJ104" s="54"/>
      <c r="AK104" s="54"/>
      <c r="AL104" s="54"/>
      <c r="AO104" s="55"/>
      <c r="AP104" s="55"/>
    </row>
    <row r="105" ht="14.25" customHeight="1">
      <c r="E105" s="56"/>
      <c r="F105" s="56"/>
      <c r="U105" s="54"/>
      <c r="V105" s="54"/>
      <c r="AE105" s="54"/>
      <c r="AG105" s="54"/>
      <c r="AI105" s="54"/>
      <c r="AJ105" s="54"/>
      <c r="AK105" s="54"/>
      <c r="AL105" s="54"/>
      <c r="AO105" s="55"/>
      <c r="AP105" s="55"/>
    </row>
    <row r="106" ht="14.25" customHeight="1">
      <c r="E106" s="56"/>
      <c r="F106" s="56"/>
      <c r="U106" s="54"/>
      <c r="V106" s="54"/>
      <c r="AE106" s="54"/>
      <c r="AG106" s="54"/>
      <c r="AI106" s="54"/>
      <c r="AJ106" s="54"/>
      <c r="AK106" s="54"/>
      <c r="AL106" s="54"/>
      <c r="AO106" s="55"/>
      <c r="AP106" s="55"/>
    </row>
    <row r="107" ht="14.25" customHeight="1">
      <c r="E107" s="56"/>
      <c r="F107" s="56"/>
      <c r="U107" s="54"/>
      <c r="V107" s="54"/>
      <c r="AE107" s="54"/>
      <c r="AG107" s="54"/>
      <c r="AI107" s="54"/>
      <c r="AJ107" s="54"/>
      <c r="AK107" s="54"/>
      <c r="AL107" s="54"/>
      <c r="AO107" s="55"/>
      <c r="AP107" s="55"/>
    </row>
    <row r="108" ht="14.25" customHeight="1">
      <c r="E108" s="56"/>
      <c r="F108" s="56"/>
      <c r="U108" s="54"/>
      <c r="V108" s="54"/>
      <c r="AE108" s="54"/>
      <c r="AG108" s="54"/>
      <c r="AI108" s="54"/>
      <c r="AJ108" s="54"/>
      <c r="AK108" s="54"/>
      <c r="AL108" s="54"/>
      <c r="AO108" s="55"/>
      <c r="AP108" s="55"/>
    </row>
    <row r="109" ht="14.25" customHeight="1">
      <c r="E109" s="56"/>
      <c r="F109" s="56"/>
      <c r="U109" s="54"/>
      <c r="V109" s="54"/>
      <c r="AE109" s="54"/>
      <c r="AG109" s="54"/>
      <c r="AI109" s="54"/>
      <c r="AJ109" s="54"/>
      <c r="AK109" s="54"/>
      <c r="AL109" s="54"/>
      <c r="AO109" s="55"/>
      <c r="AP109" s="55"/>
    </row>
    <row r="110" ht="14.25" customHeight="1">
      <c r="E110" s="56"/>
      <c r="F110" s="56"/>
      <c r="U110" s="54"/>
      <c r="V110" s="54"/>
      <c r="AE110" s="54"/>
      <c r="AG110" s="54"/>
      <c r="AI110" s="54"/>
      <c r="AJ110" s="54"/>
      <c r="AK110" s="54"/>
      <c r="AL110" s="54"/>
      <c r="AO110" s="55"/>
      <c r="AP110" s="55"/>
    </row>
    <row r="111" ht="14.25" customHeight="1">
      <c r="E111" s="56"/>
      <c r="F111" s="56"/>
      <c r="U111" s="54"/>
      <c r="V111" s="54"/>
      <c r="AE111" s="54"/>
      <c r="AG111" s="54"/>
      <c r="AI111" s="54"/>
      <c r="AJ111" s="54"/>
      <c r="AK111" s="54"/>
      <c r="AL111" s="54"/>
      <c r="AO111" s="55"/>
      <c r="AP111" s="55"/>
    </row>
    <row r="112" ht="14.25" customHeight="1">
      <c r="E112" s="56"/>
      <c r="F112" s="56"/>
      <c r="U112" s="54"/>
      <c r="V112" s="54"/>
      <c r="AE112" s="54"/>
      <c r="AG112" s="54"/>
      <c r="AI112" s="54"/>
      <c r="AJ112" s="54"/>
      <c r="AK112" s="54"/>
      <c r="AL112" s="54"/>
      <c r="AO112" s="55"/>
      <c r="AP112" s="55"/>
    </row>
    <row r="113" ht="14.25" customHeight="1">
      <c r="E113" s="56"/>
      <c r="F113" s="56"/>
      <c r="U113" s="54"/>
      <c r="V113" s="54"/>
      <c r="AE113" s="54"/>
      <c r="AG113" s="54"/>
      <c r="AI113" s="54"/>
      <c r="AJ113" s="54"/>
      <c r="AK113" s="54"/>
      <c r="AL113" s="54"/>
      <c r="AO113" s="55"/>
      <c r="AP113" s="55"/>
    </row>
    <row r="114" ht="14.25" customHeight="1">
      <c r="E114" s="56"/>
      <c r="F114" s="56"/>
      <c r="U114" s="54"/>
      <c r="V114" s="54"/>
      <c r="AE114" s="54"/>
      <c r="AG114" s="54"/>
      <c r="AI114" s="54"/>
      <c r="AJ114" s="54"/>
      <c r="AK114" s="54"/>
      <c r="AL114" s="54"/>
      <c r="AO114" s="55"/>
      <c r="AP114" s="55"/>
    </row>
    <row r="115" ht="14.25" customHeight="1">
      <c r="E115" s="56"/>
      <c r="F115" s="56"/>
      <c r="U115" s="54"/>
      <c r="V115" s="54"/>
      <c r="AE115" s="54"/>
      <c r="AG115" s="54"/>
      <c r="AI115" s="54"/>
      <c r="AJ115" s="54"/>
      <c r="AK115" s="54"/>
      <c r="AL115" s="54"/>
      <c r="AO115" s="55"/>
      <c r="AP115" s="55"/>
    </row>
    <row r="116" ht="14.25" customHeight="1">
      <c r="E116" s="56"/>
      <c r="F116" s="56"/>
      <c r="U116" s="54"/>
      <c r="V116" s="54"/>
      <c r="AE116" s="54"/>
      <c r="AG116" s="54"/>
      <c r="AI116" s="54"/>
      <c r="AJ116" s="54"/>
      <c r="AK116" s="54"/>
      <c r="AL116" s="54"/>
      <c r="AO116" s="55"/>
      <c r="AP116" s="55"/>
    </row>
    <row r="117" ht="14.25" customHeight="1">
      <c r="E117" s="56"/>
      <c r="F117" s="56"/>
      <c r="U117" s="54"/>
      <c r="V117" s="54"/>
      <c r="AE117" s="54"/>
      <c r="AG117" s="54"/>
      <c r="AI117" s="54"/>
      <c r="AJ117" s="54"/>
      <c r="AK117" s="54"/>
      <c r="AL117" s="54"/>
      <c r="AO117" s="55"/>
      <c r="AP117" s="55"/>
    </row>
    <row r="118" ht="14.25" customHeight="1">
      <c r="E118" s="56"/>
      <c r="F118" s="56"/>
      <c r="U118" s="54"/>
      <c r="V118" s="54"/>
      <c r="AE118" s="54"/>
      <c r="AG118" s="54"/>
      <c r="AI118" s="54"/>
      <c r="AJ118" s="54"/>
      <c r="AK118" s="54"/>
      <c r="AL118" s="54"/>
      <c r="AO118" s="55"/>
      <c r="AP118" s="55"/>
    </row>
    <row r="119" ht="14.25" customHeight="1">
      <c r="E119" s="56"/>
      <c r="F119" s="56"/>
      <c r="U119" s="54"/>
      <c r="V119" s="54"/>
      <c r="AE119" s="54"/>
      <c r="AG119" s="54"/>
      <c r="AI119" s="54"/>
      <c r="AJ119" s="54"/>
      <c r="AK119" s="54"/>
      <c r="AL119" s="54"/>
      <c r="AO119" s="55"/>
      <c r="AP119" s="55"/>
    </row>
    <row r="120" ht="14.25" customHeight="1">
      <c r="E120" s="56"/>
      <c r="F120" s="56"/>
      <c r="U120" s="54"/>
      <c r="V120" s="54"/>
      <c r="AE120" s="54"/>
      <c r="AG120" s="54"/>
      <c r="AI120" s="54"/>
      <c r="AJ120" s="54"/>
      <c r="AK120" s="54"/>
      <c r="AL120" s="54"/>
      <c r="AO120" s="55"/>
      <c r="AP120" s="55"/>
    </row>
    <row r="121" ht="14.25" customHeight="1">
      <c r="E121" s="56"/>
      <c r="F121" s="56"/>
      <c r="U121" s="54"/>
      <c r="V121" s="54"/>
      <c r="AE121" s="54"/>
      <c r="AG121" s="54"/>
      <c r="AI121" s="54"/>
      <c r="AJ121" s="54"/>
      <c r="AK121" s="54"/>
      <c r="AL121" s="54"/>
      <c r="AO121" s="55"/>
      <c r="AP121" s="55"/>
    </row>
    <row r="122" ht="14.25" customHeight="1">
      <c r="E122" s="56"/>
      <c r="F122" s="56"/>
      <c r="U122" s="54"/>
      <c r="V122" s="54"/>
      <c r="AE122" s="54"/>
      <c r="AG122" s="54"/>
      <c r="AI122" s="54"/>
      <c r="AJ122" s="54"/>
      <c r="AK122" s="54"/>
      <c r="AL122" s="54"/>
      <c r="AO122" s="55"/>
      <c r="AP122" s="55"/>
    </row>
    <row r="123" ht="14.25" customHeight="1">
      <c r="E123" s="56"/>
      <c r="F123" s="56"/>
      <c r="U123" s="54"/>
      <c r="V123" s="54"/>
      <c r="AE123" s="54"/>
      <c r="AG123" s="54"/>
      <c r="AI123" s="54"/>
      <c r="AJ123" s="54"/>
      <c r="AK123" s="54"/>
      <c r="AL123" s="54"/>
      <c r="AO123" s="55"/>
      <c r="AP123" s="55"/>
    </row>
    <row r="124" ht="14.25" customHeight="1">
      <c r="E124" s="56"/>
      <c r="F124" s="56"/>
      <c r="U124" s="54"/>
      <c r="V124" s="54"/>
      <c r="AE124" s="54"/>
      <c r="AG124" s="54"/>
      <c r="AI124" s="54"/>
      <c r="AJ124" s="54"/>
      <c r="AK124" s="54"/>
      <c r="AL124" s="54"/>
      <c r="AO124" s="55"/>
      <c r="AP124" s="55"/>
    </row>
    <row r="125" ht="14.25" customHeight="1">
      <c r="E125" s="56"/>
      <c r="F125" s="56"/>
      <c r="U125" s="54"/>
      <c r="V125" s="54"/>
      <c r="AE125" s="54"/>
      <c r="AG125" s="54"/>
      <c r="AI125" s="54"/>
      <c r="AJ125" s="54"/>
      <c r="AK125" s="54"/>
      <c r="AL125" s="54"/>
      <c r="AO125" s="55"/>
      <c r="AP125" s="55"/>
    </row>
    <row r="126" ht="14.25" customHeight="1">
      <c r="E126" s="56"/>
      <c r="F126" s="56"/>
      <c r="U126" s="54"/>
      <c r="V126" s="54"/>
      <c r="AE126" s="54"/>
      <c r="AG126" s="54"/>
      <c r="AI126" s="54"/>
      <c r="AJ126" s="54"/>
      <c r="AK126" s="54"/>
      <c r="AL126" s="54"/>
      <c r="AO126" s="55"/>
      <c r="AP126" s="55"/>
    </row>
    <row r="127" ht="14.25" customHeight="1">
      <c r="E127" s="56"/>
      <c r="F127" s="56"/>
      <c r="U127" s="54"/>
      <c r="V127" s="54"/>
      <c r="AE127" s="54"/>
      <c r="AG127" s="54"/>
      <c r="AI127" s="54"/>
      <c r="AJ127" s="54"/>
      <c r="AK127" s="54"/>
      <c r="AL127" s="54"/>
      <c r="AO127" s="55"/>
      <c r="AP127" s="55"/>
    </row>
    <row r="128" ht="14.25" customHeight="1">
      <c r="E128" s="56"/>
      <c r="F128" s="56"/>
      <c r="U128" s="54"/>
      <c r="V128" s="54"/>
      <c r="AE128" s="54"/>
      <c r="AG128" s="54"/>
      <c r="AI128" s="54"/>
      <c r="AJ128" s="54"/>
      <c r="AK128" s="54"/>
      <c r="AL128" s="54"/>
      <c r="AO128" s="55"/>
      <c r="AP128" s="55"/>
    </row>
    <row r="129" ht="14.25" customHeight="1">
      <c r="E129" s="56"/>
      <c r="F129" s="56"/>
      <c r="U129" s="54"/>
      <c r="V129" s="54"/>
      <c r="AE129" s="54"/>
      <c r="AG129" s="54"/>
      <c r="AI129" s="54"/>
      <c r="AJ129" s="54"/>
      <c r="AK129" s="54"/>
      <c r="AL129" s="54"/>
      <c r="AO129" s="55"/>
      <c r="AP129" s="55"/>
    </row>
    <row r="130" ht="14.25" customHeight="1">
      <c r="E130" s="56"/>
      <c r="F130" s="56"/>
      <c r="U130" s="54"/>
      <c r="V130" s="54"/>
      <c r="AE130" s="54"/>
      <c r="AG130" s="54"/>
      <c r="AI130" s="54"/>
      <c r="AJ130" s="54"/>
      <c r="AK130" s="54"/>
      <c r="AL130" s="54"/>
      <c r="AO130" s="55"/>
      <c r="AP130" s="55"/>
    </row>
    <row r="131" ht="14.25" customHeight="1">
      <c r="E131" s="56"/>
      <c r="F131" s="56"/>
      <c r="U131" s="54"/>
      <c r="V131" s="54"/>
      <c r="AE131" s="54"/>
      <c r="AG131" s="54"/>
      <c r="AI131" s="54"/>
      <c r="AJ131" s="54"/>
      <c r="AK131" s="54"/>
      <c r="AL131" s="54"/>
      <c r="AO131" s="55"/>
      <c r="AP131" s="55"/>
    </row>
    <row r="132" ht="14.25" customHeight="1">
      <c r="E132" s="56"/>
      <c r="F132" s="56"/>
      <c r="U132" s="54"/>
      <c r="V132" s="54"/>
      <c r="AE132" s="54"/>
      <c r="AG132" s="54"/>
      <c r="AI132" s="54"/>
      <c r="AJ132" s="54"/>
      <c r="AK132" s="54"/>
      <c r="AL132" s="54"/>
      <c r="AO132" s="55"/>
      <c r="AP132" s="55"/>
    </row>
    <row r="133" ht="14.25" customHeight="1">
      <c r="E133" s="56"/>
      <c r="F133" s="56"/>
      <c r="U133" s="54"/>
      <c r="V133" s="54"/>
      <c r="AE133" s="54"/>
      <c r="AG133" s="54"/>
      <c r="AI133" s="54"/>
      <c r="AJ133" s="54"/>
      <c r="AK133" s="54"/>
      <c r="AL133" s="54"/>
      <c r="AO133" s="55"/>
      <c r="AP133" s="55"/>
    </row>
    <row r="134" ht="14.25" customHeight="1">
      <c r="E134" s="56"/>
      <c r="F134" s="56"/>
      <c r="U134" s="54"/>
      <c r="V134" s="54"/>
      <c r="AE134" s="54"/>
      <c r="AG134" s="54"/>
      <c r="AI134" s="54"/>
      <c r="AJ134" s="54"/>
      <c r="AK134" s="54"/>
      <c r="AL134" s="54"/>
      <c r="AO134" s="55"/>
      <c r="AP134" s="55"/>
    </row>
    <row r="135" ht="14.25" customHeight="1">
      <c r="E135" s="56"/>
      <c r="F135" s="56"/>
      <c r="U135" s="54"/>
      <c r="V135" s="54"/>
      <c r="AE135" s="54"/>
      <c r="AG135" s="54"/>
      <c r="AI135" s="54"/>
      <c r="AJ135" s="54"/>
      <c r="AK135" s="54"/>
      <c r="AL135" s="54"/>
      <c r="AO135" s="55"/>
      <c r="AP135" s="55"/>
    </row>
    <row r="136" ht="14.25" customHeight="1">
      <c r="E136" s="56"/>
      <c r="F136" s="56"/>
      <c r="U136" s="54"/>
      <c r="V136" s="54"/>
      <c r="AE136" s="54"/>
      <c r="AG136" s="54"/>
      <c r="AI136" s="54"/>
      <c r="AJ136" s="54"/>
      <c r="AK136" s="54"/>
      <c r="AL136" s="54"/>
      <c r="AO136" s="55"/>
      <c r="AP136" s="55"/>
    </row>
    <row r="137" ht="14.25" customHeight="1">
      <c r="E137" s="56"/>
      <c r="F137" s="56"/>
      <c r="U137" s="54"/>
      <c r="V137" s="54"/>
      <c r="AE137" s="54"/>
      <c r="AG137" s="54"/>
      <c r="AI137" s="54"/>
      <c r="AJ137" s="54"/>
      <c r="AK137" s="54"/>
      <c r="AL137" s="54"/>
      <c r="AO137" s="55"/>
      <c r="AP137" s="55"/>
    </row>
    <row r="138" ht="14.25" customHeight="1">
      <c r="E138" s="56"/>
      <c r="F138" s="56"/>
      <c r="U138" s="54"/>
      <c r="V138" s="54"/>
      <c r="AE138" s="54"/>
      <c r="AG138" s="54"/>
      <c r="AI138" s="54"/>
      <c r="AJ138" s="54"/>
      <c r="AK138" s="54"/>
      <c r="AL138" s="54"/>
      <c r="AO138" s="55"/>
      <c r="AP138" s="55"/>
    </row>
    <row r="139" ht="14.25" customHeight="1">
      <c r="E139" s="56"/>
      <c r="F139" s="56"/>
      <c r="U139" s="54"/>
      <c r="V139" s="54"/>
      <c r="AE139" s="54"/>
      <c r="AG139" s="54"/>
      <c r="AI139" s="54"/>
      <c r="AJ139" s="54"/>
      <c r="AK139" s="54"/>
      <c r="AL139" s="54"/>
      <c r="AO139" s="55"/>
      <c r="AP139" s="55"/>
    </row>
    <row r="140" ht="14.25" customHeight="1">
      <c r="E140" s="56"/>
      <c r="F140" s="56"/>
      <c r="U140" s="54"/>
      <c r="V140" s="54"/>
      <c r="AE140" s="54"/>
      <c r="AG140" s="54"/>
      <c r="AI140" s="54"/>
      <c r="AJ140" s="54"/>
      <c r="AK140" s="54"/>
      <c r="AL140" s="54"/>
      <c r="AO140" s="55"/>
      <c r="AP140" s="55"/>
    </row>
    <row r="141" ht="14.25" customHeight="1">
      <c r="E141" s="56"/>
      <c r="F141" s="56"/>
      <c r="U141" s="54"/>
      <c r="V141" s="54"/>
      <c r="AE141" s="54"/>
      <c r="AG141" s="54"/>
      <c r="AI141" s="54"/>
      <c r="AJ141" s="54"/>
      <c r="AK141" s="54"/>
      <c r="AL141" s="54"/>
      <c r="AO141" s="55"/>
      <c r="AP141" s="55"/>
    </row>
    <row r="142" ht="14.25" customHeight="1">
      <c r="E142" s="56"/>
      <c r="F142" s="56"/>
      <c r="U142" s="54"/>
      <c r="V142" s="54"/>
      <c r="AE142" s="54"/>
      <c r="AG142" s="54"/>
      <c r="AI142" s="54"/>
      <c r="AJ142" s="54"/>
      <c r="AK142" s="54"/>
      <c r="AL142" s="54"/>
      <c r="AO142" s="55"/>
      <c r="AP142" s="55"/>
    </row>
    <row r="143" ht="14.25" customHeight="1">
      <c r="E143" s="56"/>
      <c r="F143" s="56"/>
      <c r="U143" s="54"/>
      <c r="V143" s="54"/>
      <c r="AE143" s="54"/>
      <c r="AG143" s="54"/>
      <c r="AI143" s="54"/>
      <c r="AJ143" s="54"/>
      <c r="AK143" s="54"/>
      <c r="AL143" s="54"/>
      <c r="AO143" s="55"/>
      <c r="AP143" s="55"/>
    </row>
    <row r="144" ht="14.25" customHeight="1">
      <c r="E144" s="56"/>
      <c r="F144" s="56"/>
      <c r="U144" s="54"/>
      <c r="V144" s="54"/>
      <c r="AE144" s="54"/>
      <c r="AG144" s="54"/>
      <c r="AI144" s="54"/>
      <c r="AJ144" s="54"/>
      <c r="AK144" s="54"/>
      <c r="AL144" s="54"/>
      <c r="AO144" s="55"/>
      <c r="AP144" s="55"/>
    </row>
    <row r="145" ht="14.25" customHeight="1">
      <c r="E145" s="56"/>
      <c r="F145" s="56"/>
      <c r="U145" s="54"/>
      <c r="V145" s="54"/>
      <c r="AE145" s="54"/>
      <c r="AG145" s="54"/>
      <c r="AI145" s="54"/>
      <c r="AJ145" s="54"/>
      <c r="AK145" s="54"/>
      <c r="AL145" s="54"/>
      <c r="AO145" s="55"/>
      <c r="AP145" s="55"/>
    </row>
    <row r="146" ht="14.25" customHeight="1">
      <c r="E146" s="56"/>
      <c r="F146" s="56"/>
      <c r="U146" s="54"/>
      <c r="V146" s="54"/>
      <c r="AE146" s="54"/>
      <c r="AG146" s="54"/>
      <c r="AI146" s="54"/>
      <c r="AJ146" s="54"/>
      <c r="AK146" s="54"/>
      <c r="AL146" s="54"/>
      <c r="AO146" s="55"/>
      <c r="AP146" s="55"/>
    </row>
    <row r="147" ht="14.25" customHeight="1">
      <c r="E147" s="56"/>
      <c r="F147" s="56"/>
      <c r="U147" s="54"/>
      <c r="V147" s="54"/>
      <c r="AE147" s="54"/>
      <c r="AG147" s="54"/>
      <c r="AI147" s="54"/>
      <c r="AJ147" s="54"/>
      <c r="AK147" s="54"/>
      <c r="AL147" s="54"/>
      <c r="AO147" s="55"/>
      <c r="AP147" s="55"/>
    </row>
    <row r="148" ht="14.25" customHeight="1">
      <c r="E148" s="56"/>
      <c r="F148" s="56"/>
      <c r="U148" s="54"/>
      <c r="V148" s="54"/>
      <c r="AE148" s="54"/>
      <c r="AG148" s="54"/>
      <c r="AI148" s="54"/>
      <c r="AJ148" s="54"/>
      <c r="AK148" s="54"/>
      <c r="AL148" s="54"/>
      <c r="AO148" s="55"/>
      <c r="AP148" s="55"/>
    </row>
    <row r="149" ht="14.25" customHeight="1">
      <c r="E149" s="56"/>
      <c r="F149" s="56"/>
      <c r="U149" s="54"/>
      <c r="V149" s="54"/>
      <c r="AE149" s="54"/>
      <c r="AG149" s="54"/>
      <c r="AI149" s="54"/>
      <c r="AJ149" s="54"/>
      <c r="AK149" s="54"/>
      <c r="AL149" s="54"/>
      <c r="AO149" s="55"/>
      <c r="AP149" s="55"/>
    </row>
    <row r="150" ht="14.25" customHeight="1">
      <c r="E150" s="56"/>
      <c r="F150" s="56"/>
      <c r="U150" s="54"/>
      <c r="V150" s="54"/>
      <c r="AE150" s="54"/>
      <c r="AG150" s="54"/>
      <c r="AI150" s="54"/>
      <c r="AJ150" s="54"/>
      <c r="AK150" s="54"/>
      <c r="AL150" s="54"/>
      <c r="AO150" s="55"/>
      <c r="AP150" s="55"/>
    </row>
    <row r="151" ht="14.25" customHeight="1">
      <c r="E151" s="56"/>
      <c r="F151" s="56"/>
      <c r="U151" s="54"/>
      <c r="V151" s="54"/>
      <c r="AE151" s="54"/>
      <c r="AG151" s="54"/>
      <c r="AI151" s="54"/>
      <c r="AJ151" s="54"/>
      <c r="AK151" s="54"/>
      <c r="AL151" s="54"/>
      <c r="AO151" s="55"/>
      <c r="AP151" s="55"/>
    </row>
    <row r="152" ht="14.25" customHeight="1">
      <c r="E152" s="56"/>
      <c r="F152" s="56"/>
      <c r="U152" s="54"/>
      <c r="V152" s="54"/>
      <c r="AE152" s="54"/>
      <c r="AG152" s="54"/>
      <c r="AI152" s="54"/>
      <c r="AJ152" s="54"/>
      <c r="AK152" s="54"/>
      <c r="AL152" s="54"/>
      <c r="AO152" s="55"/>
      <c r="AP152" s="55"/>
    </row>
    <row r="153" ht="14.25" customHeight="1">
      <c r="E153" s="56"/>
      <c r="F153" s="56"/>
      <c r="U153" s="54"/>
      <c r="V153" s="54"/>
      <c r="AE153" s="54"/>
      <c r="AG153" s="54"/>
      <c r="AI153" s="54"/>
      <c r="AJ153" s="54"/>
      <c r="AK153" s="54"/>
      <c r="AL153" s="54"/>
      <c r="AO153" s="55"/>
      <c r="AP153" s="55"/>
    </row>
    <row r="154" ht="14.25" customHeight="1">
      <c r="E154" s="56"/>
      <c r="F154" s="56"/>
      <c r="U154" s="54"/>
      <c r="V154" s="54"/>
      <c r="AE154" s="54"/>
      <c r="AG154" s="54"/>
      <c r="AI154" s="54"/>
      <c r="AJ154" s="54"/>
      <c r="AK154" s="54"/>
      <c r="AL154" s="54"/>
      <c r="AO154" s="55"/>
      <c r="AP154" s="55"/>
    </row>
    <row r="155" ht="14.25" customHeight="1">
      <c r="E155" s="56"/>
      <c r="F155" s="56"/>
      <c r="U155" s="54"/>
      <c r="V155" s="54"/>
      <c r="AE155" s="54"/>
      <c r="AG155" s="54"/>
      <c r="AI155" s="54"/>
      <c r="AJ155" s="54"/>
      <c r="AK155" s="54"/>
      <c r="AL155" s="54"/>
      <c r="AO155" s="55"/>
      <c r="AP155" s="55"/>
    </row>
    <row r="156" ht="14.25" customHeight="1">
      <c r="E156" s="56"/>
      <c r="F156" s="56"/>
      <c r="U156" s="54"/>
      <c r="V156" s="54"/>
      <c r="AE156" s="54"/>
      <c r="AG156" s="54"/>
      <c r="AI156" s="54"/>
      <c r="AJ156" s="54"/>
      <c r="AK156" s="54"/>
      <c r="AL156" s="54"/>
      <c r="AO156" s="55"/>
      <c r="AP156" s="55"/>
    </row>
    <row r="157" ht="14.25" customHeight="1">
      <c r="E157" s="56"/>
      <c r="F157" s="56"/>
      <c r="U157" s="54"/>
      <c r="V157" s="54"/>
      <c r="AE157" s="54"/>
      <c r="AG157" s="54"/>
      <c r="AI157" s="54"/>
      <c r="AJ157" s="54"/>
      <c r="AK157" s="54"/>
      <c r="AL157" s="54"/>
      <c r="AO157" s="55"/>
      <c r="AP157" s="55"/>
    </row>
    <row r="158" ht="14.25" customHeight="1">
      <c r="E158" s="56"/>
      <c r="F158" s="56"/>
      <c r="U158" s="54"/>
      <c r="V158" s="54"/>
      <c r="AE158" s="54"/>
      <c r="AG158" s="54"/>
      <c r="AI158" s="54"/>
      <c r="AJ158" s="54"/>
      <c r="AK158" s="54"/>
      <c r="AL158" s="54"/>
      <c r="AO158" s="55"/>
      <c r="AP158" s="55"/>
    </row>
    <row r="159" ht="14.25" customHeight="1">
      <c r="E159" s="56"/>
      <c r="F159" s="56"/>
      <c r="U159" s="54"/>
      <c r="V159" s="54"/>
      <c r="AE159" s="54"/>
      <c r="AG159" s="54"/>
      <c r="AI159" s="54"/>
      <c r="AJ159" s="54"/>
      <c r="AK159" s="54"/>
      <c r="AL159" s="54"/>
      <c r="AO159" s="55"/>
      <c r="AP159" s="55"/>
    </row>
    <row r="160" ht="14.25" customHeight="1">
      <c r="E160" s="56"/>
      <c r="F160" s="56"/>
      <c r="U160" s="54"/>
      <c r="V160" s="54"/>
      <c r="AE160" s="54"/>
      <c r="AG160" s="54"/>
      <c r="AI160" s="54"/>
      <c r="AJ160" s="54"/>
      <c r="AK160" s="54"/>
      <c r="AL160" s="54"/>
      <c r="AO160" s="55"/>
      <c r="AP160" s="55"/>
    </row>
    <row r="161" ht="14.25" customHeight="1">
      <c r="E161" s="56"/>
      <c r="F161" s="56"/>
      <c r="U161" s="54"/>
      <c r="V161" s="54"/>
      <c r="AE161" s="54"/>
      <c r="AG161" s="54"/>
      <c r="AI161" s="54"/>
      <c r="AJ161" s="54"/>
      <c r="AK161" s="54"/>
      <c r="AL161" s="54"/>
      <c r="AO161" s="55"/>
      <c r="AP161" s="55"/>
    </row>
    <row r="162" ht="14.25" customHeight="1">
      <c r="E162" s="56"/>
      <c r="F162" s="56"/>
      <c r="U162" s="54"/>
      <c r="V162" s="54"/>
      <c r="AE162" s="54"/>
      <c r="AG162" s="54"/>
      <c r="AI162" s="54"/>
      <c r="AJ162" s="54"/>
      <c r="AK162" s="54"/>
      <c r="AL162" s="54"/>
      <c r="AO162" s="55"/>
      <c r="AP162" s="55"/>
    </row>
    <row r="163" ht="14.25" customHeight="1">
      <c r="E163" s="56"/>
      <c r="F163" s="56"/>
      <c r="U163" s="54"/>
      <c r="V163" s="54"/>
      <c r="AE163" s="54"/>
      <c r="AG163" s="54"/>
      <c r="AI163" s="54"/>
      <c r="AJ163" s="54"/>
      <c r="AK163" s="54"/>
      <c r="AL163" s="54"/>
      <c r="AO163" s="55"/>
      <c r="AP163" s="55"/>
    </row>
    <row r="164" ht="14.25" customHeight="1">
      <c r="E164" s="56"/>
      <c r="F164" s="56"/>
      <c r="U164" s="54"/>
      <c r="V164" s="54"/>
      <c r="AE164" s="54"/>
      <c r="AG164" s="54"/>
      <c r="AI164" s="54"/>
      <c r="AJ164" s="54"/>
      <c r="AK164" s="54"/>
      <c r="AL164" s="54"/>
      <c r="AO164" s="55"/>
      <c r="AP164" s="55"/>
    </row>
    <row r="165" ht="14.25" customHeight="1">
      <c r="E165" s="56"/>
      <c r="F165" s="56"/>
      <c r="U165" s="54"/>
      <c r="V165" s="54"/>
      <c r="AE165" s="54"/>
      <c r="AG165" s="54"/>
      <c r="AI165" s="54"/>
      <c r="AJ165" s="54"/>
      <c r="AK165" s="54"/>
      <c r="AL165" s="54"/>
      <c r="AO165" s="55"/>
      <c r="AP165" s="55"/>
    </row>
    <row r="166" ht="14.25" customHeight="1">
      <c r="E166" s="56"/>
      <c r="F166" s="56"/>
      <c r="U166" s="54"/>
      <c r="V166" s="54"/>
      <c r="AE166" s="54"/>
      <c r="AG166" s="54"/>
      <c r="AI166" s="54"/>
      <c r="AJ166" s="54"/>
      <c r="AK166" s="54"/>
      <c r="AL166" s="54"/>
      <c r="AO166" s="55"/>
      <c r="AP166" s="55"/>
    </row>
    <row r="167" ht="14.25" customHeight="1">
      <c r="E167" s="56"/>
      <c r="F167" s="56"/>
      <c r="U167" s="54"/>
      <c r="V167" s="54"/>
      <c r="AE167" s="54"/>
      <c r="AG167" s="54"/>
      <c r="AI167" s="54"/>
      <c r="AJ167" s="54"/>
      <c r="AK167" s="54"/>
      <c r="AL167" s="54"/>
      <c r="AO167" s="55"/>
      <c r="AP167" s="55"/>
    </row>
    <row r="168" ht="14.25" customHeight="1">
      <c r="E168" s="56"/>
      <c r="F168" s="56"/>
      <c r="U168" s="54"/>
      <c r="V168" s="54"/>
      <c r="AE168" s="54"/>
      <c r="AG168" s="54"/>
      <c r="AI168" s="54"/>
      <c r="AJ168" s="54"/>
      <c r="AK168" s="54"/>
      <c r="AL168" s="54"/>
      <c r="AO168" s="55"/>
      <c r="AP168" s="55"/>
    </row>
    <row r="169" ht="14.25" customHeight="1">
      <c r="E169" s="56"/>
      <c r="F169" s="56"/>
      <c r="U169" s="54"/>
      <c r="V169" s="54"/>
      <c r="AE169" s="54"/>
      <c r="AG169" s="54"/>
      <c r="AI169" s="54"/>
      <c r="AJ169" s="54"/>
      <c r="AK169" s="54"/>
      <c r="AL169" s="54"/>
      <c r="AO169" s="55"/>
      <c r="AP169" s="55"/>
    </row>
    <row r="170" ht="14.25" customHeight="1">
      <c r="E170" s="56"/>
      <c r="F170" s="56"/>
      <c r="U170" s="54"/>
      <c r="V170" s="54"/>
      <c r="AE170" s="54"/>
      <c r="AG170" s="54"/>
      <c r="AI170" s="54"/>
      <c r="AJ170" s="54"/>
      <c r="AK170" s="54"/>
      <c r="AL170" s="54"/>
      <c r="AO170" s="55"/>
      <c r="AP170" s="55"/>
    </row>
    <row r="171" ht="14.25" customHeight="1">
      <c r="E171" s="56"/>
      <c r="F171" s="56"/>
      <c r="U171" s="54"/>
      <c r="V171" s="54"/>
      <c r="AE171" s="54"/>
      <c r="AG171" s="54"/>
      <c r="AI171" s="54"/>
      <c r="AJ171" s="54"/>
      <c r="AK171" s="54"/>
      <c r="AL171" s="54"/>
      <c r="AO171" s="55"/>
      <c r="AP171" s="55"/>
    </row>
    <row r="172" ht="14.25" customHeight="1">
      <c r="E172" s="56"/>
      <c r="F172" s="56"/>
      <c r="U172" s="54"/>
      <c r="V172" s="54"/>
      <c r="AE172" s="54"/>
      <c r="AG172" s="54"/>
      <c r="AI172" s="54"/>
      <c r="AJ172" s="54"/>
      <c r="AK172" s="54"/>
      <c r="AL172" s="54"/>
      <c r="AO172" s="55"/>
      <c r="AP172" s="55"/>
    </row>
    <row r="173" ht="14.25" customHeight="1">
      <c r="E173" s="56"/>
      <c r="F173" s="56"/>
      <c r="U173" s="54"/>
      <c r="V173" s="54"/>
      <c r="AE173" s="54"/>
      <c r="AG173" s="54"/>
      <c r="AI173" s="54"/>
      <c r="AJ173" s="54"/>
      <c r="AK173" s="54"/>
      <c r="AL173" s="54"/>
      <c r="AO173" s="55"/>
      <c r="AP173" s="55"/>
    </row>
    <row r="174" ht="14.25" customHeight="1">
      <c r="E174" s="56"/>
      <c r="F174" s="56"/>
      <c r="U174" s="54"/>
      <c r="V174" s="54"/>
      <c r="AE174" s="54"/>
      <c r="AG174" s="54"/>
      <c r="AI174" s="54"/>
      <c r="AJ174" s="54"/>
      <c r="AK174" s="54"/>
      <c r="AL174" s="54"/>
      <c r="AO174" s="55"/>
      <c r="AP174" s="55"/>
    </row>
    <row r="175" ht="14.25" customHeight="1">
      <c r="E175" s="56"/>
      <c r="F175" s="56"/>
      <c r="U175" s="54"/>
      <c r="V175" s="54"/>
      <c r="AE175" s="54"/>
      <c r="AG175" s="54"/>
      <c r="AI175" s="54"/>
      <c r="AJ175" s="54"/>
      <c r="AK175" s="54"/>
      <c r="AL175" s="54"/>
      <c r="AO175" s="55"/>
      <c r="AP175" s="55"/>
    </row>
    <row r="176" ht="14.25" customHeight="1">
      <c r="E176" s="56"/>
      <c r="F176" s="56"/>
      <c r="U176" s="54"/>
      <c r="V176" s="54"/>
      <c r="AE176" s="54"/>
      <c r="AG176" s="54"/>
      <c r="AI176" s="54"/>
      <c r="AJ176" s="54"/>
      <c r="AK176" s="54"/>
      <c r="AL176" s="54"/>
      <c r="AO176" s="55"/>
      <c r="AP176" s="55"/>
    </row>
    <row r="177" ht="14.25" customHeight="1">
      <c r="E177" s="56"/>
      <c r="F177" s="56"/>
      <c r="U177" s="54"/>
      <c r="V177" s="54"/>
      <c r="AE177" s="54"/>
      <c r="AG177" s="54"/>
      <c r="AI177" s="54"/>
      <c r="AJ177" s="54"/>
      <c r="AK177" s="54"/>
      <c r="AL177" s="54"/>
      <c r="AO177" s="55"/>
      <c r="AP177" s="55"/>
    </row>
    <row r="178" ht="14.25" customHeight="1">
      <c r="E178" s="56"/>
      <c r="F178" s="56"/>
      <c r="U178" s="54"/>
      <c r="V178" s="54"/>
      <c r="AE178" s="54"/>
      <c r="AG178" s="54"/>
      <c r="AI178" s="54"/>
      <c r="AJ178" s="54"/>
      <c r="AK178" s="54"/>
      <c r="AL178" s="54"/>
      <c r="AO178" s="55"/>
      <c r="AP178" s="55"/>
    </row>
    <row r="179" ht="14.25" customHeight="1">
      <c r="E179" s="56"/>
      <c r="F179" s="56"/>
      <c r="U179" s="54"/>
      <c r="V179" s="54"/>
      <c r="AE179" s="54"/>
      <c r="AG179" s="54"/>
      <c r="AI179" s="54"/>
      <c r="AJ179" s="54"/>
      <c r="AK179" s="54"/>
      <c r="AL179" s="54"/>
      <c r="AO179" s="55"/>
      <c r="AP179" s="55"/>
    </row>
    <row r="180" ht="14.25" customHeight="1">
      <c r="E180" s="56"/>
      <c r="F180" s="56"/>
      <c r="U180" s="54"/>
      <c r="V180" s="54"/>
      <c r="AE180" s="54"/>
      <c r="AG180" s="54"/>
      <c r="AI180" s="54"/>
      <c r="AJ180" s="54"/>
      <c r="AK180" s="54"/>
      <c r="AL180" s="54"/>
      <c r="AO180" s="55"/>
      <c r="AP180" s="55"/>
    </row>
    <row r="181" ht="14.25" customHeight="1">
      <c r="E181" s="56"/>
      <c r="F181" s="56"/>
      <c r="U181" s="54"/>
      <c r="V181" s="54"/>
      <c r="AE181" s="54"/>
      <c r="AG181" s="54"/>
      <c r="AI181" s="54"/>
      <c r="AJ181" s="54"/>
      <c r="AK181" s="54"/>
      <c r="AL181" s="54"/>
      <c r="AO181" s="55"/>
      <c r="AP181" s="55"/>
    </row>
    <row r="182" ht="14.25" customHeight="1">
      <c r="E182" s="56"/>
      <c r="F182" s="56"/>
      <c r="U182" s="54"/>
      <c r="V182" s="54"/>
      <c r="AE182" s="54"/>
      <c r="AG182" s="54"/>
      <c r="AI182" s="54"/>
      <c r="AJ182" s="54"/>
      <c r="AK182" s="54"/>
      <c r="AL182" s="54"/>
      <c r="AO182" s="55"/>
      <c r="AP182" s="55"/>
    </row>
    <row r="183" ht="14.25" customHeight="1">
      <c r="E183" s="56"/>
      <c r="F183" s="56"/>
      <c r="U183" s="54"/>
      <c r="V183" s="54"/>
      <c r="AE183" s="54"/>
      <c r="AG183" s="54"/>
      <c r="AI183" s="54"/>
      <c r="AJ183" s="54"/>
      <c r="AK183" s="54"/>
      <c r="AL183" s="54"/>
      <c r="AO183" s="55"/>
      <c r="AP183" s="55"/>
    </row>
    <row r="184" ht="14.25" customHeight="1">
      <c r="E184" s="56"/>
      <c r="F184" s="56"/>
      <c r="U184" s="54"/>
      <c r="V184" s="54"/>
      <c r="AE184" s="54"/>
      <c r="AG184" s="54"/>
      <c r="AI184" s="54"/>
      <c r="AJ184" s="54"/>
      <c r="AK184" s="54"/>
      <c r="AL184" s="54"/>
      <c r="AO184" s="55"/>
      <c r="AP184" s="55"/>
    </row>
    <row r="185" ht="14.25" customHeight="1">
      <c r="E185" s="56"/>
      <c r="F185" s="56"/>
      <c r="U185" s="54"/>
      <c r="V185" s="54"/>
      <c r="AE185" s="54"/>
      <c r="AG185" s="54"/>
      <c r="AI185" s="54"/>
      <c r="AJ185" s="54"/>
      <c r="AK185" s="54"/>
      <c r="AL185" s="54"/>
      <c r="AO185" s="55"/>
      <c r="AP185" s="55"/>
    </row>
    <row r="186" ht="14.25" customHeight="1">
      <c r="E186" s="56"/>
      <c r="F186" s="56"/>
      <c r="U186" s="54"/>
      <c r="V186" s="54"/>
      <c r="AE186" s="54"/>
      <c r="AG186" s="54"/>
      <c r="AI186" s="54"/>
      <c r="AJ186" s="54"/>
      <c r="AK186" s="54"/>
      <c r="AL186" s="54"/>
      <c r="AO186" s="55"/>
      <c r="AP186" s="55"/>
    </row>
    <row r="187" ht="14.25" customHeight="1">
      <c r="E187" s="56"/>
      <c r="F187" s="56"/>
      <c r="U187" s="54"/>
      <c r="V187" s="54"/>
      <c r="AE187" s="54"/>
      <c r="AG187" s="54"/>
      <c r="AI187" s="54"/>
      <c r="AJ187" s="54"/>
      <c r="AK187" s="54"/>
      <c r="AL187" s="54"/>
      <c r="AO187" s="55"/>
      <c r="AP187" s="55"/>
    </row>
    <row r="188" ht="14.25" customHeight="1">
      <c r="E188" s="56"/>
      <c r="F188" s="56"/>
      <c r="U188" s="54"/>
      <c r="V188" s="54"/>
      <c r="AE188" s="54"/>
      <c r="AG188" s="54"/>
      <c r="AI188" s="54"/>
      <c r="AJ188" s="54"/>
      <c r="AK188" s="54"/>
      <c r="AL188" s="54"/>
      <c r="AO188" s="55"/>
      <c r="AP188" s="55"/>
    </row>
    <row r="189" ht="14.25" customHeight="1">
      <c r="E189" s="56"/>
      <c r="F189" s="56"/>
      <c r="U189" s="54"/>
      <c r="V189" s="54"/>
      <c r="AE189" s="54"/>
      <c r="AG189" s="54"/>
      <c r="AI189" s="54"/>
      <c r="AJ189" s="54"/>
      <c r="AK189" s="54"/>
      <c r="AL189" s="54"/>
      <c r="AO189" s="55"/>
      <c r="AP189" s="55"/>
    </row>
    <row r="190" ht="14.25" customHeight="1">
      <c r="E190" s="56"/>
      <c r="F190" s="56"/>
      <c r="U190" s="54"/>
      <c r="V190" s="54"/>
      <c r="AE190" s="54"/>
      <c r="AG190" s="54"/>
      <c r="AI190" s="54"/>
      <c r="AJ190" s="54"/>
      <c r="AK190" s="54"/>
      <c r="AL190" s="54"/>
      <c r="AO190" s="55"/>
      <c r="AP190" s="55"/>
    </row>
    <row r="191" ht="14.25" customHeight="1">
      <c r="E191" s="56"/>
      <c r="F191" s="56"/>
      <c r="U191" s="54"/>
      <c r="V191" s="54"/>
      <c r="AE191" s="54"/>
      <c r="AG191" s="54"/>
      <c r="AI191" s="54"/>
      <c r="AJ191" s="54"/>
      <c r="AK191" s="54"/>
      <c r="AL191" s="54"/>
      <c r="AO191" s="55"/>
      <c r="AP191" s="55"/>
    </row>
    <row r="192" ht="14.25" customHeight="1">
      <c r="E192" s="56"/>
      <c r="F192" s="56"/>
      <c r="U192" s="54"/>
      <c r="V192" s="54"/>
      <c r="AE192" s="54"/>
      <c r="AG192" s="54"/>
      <c r="AI192" s="54"/>
      <c r="AJ192" s="54"/>
      <c r="AK192" s="54"/>
      <c r="AL192" s="54"/>
      <c r="AO192" s="55"/>
      <c r="AP192" s="55"/>
    </row>
    <row r="193" ht="14.25" customHeight="1">
      <c r="E193" s="56"/>
      <c r="F193" s="56"/>
      <c r="U193" s="54"/>
      <c r="V193" s="54"/>
      <c r="AE193" s="54"/>
      <c r="AG193" s="54"/>
      <c r="AI193" s="54"/>
      <c r="AJ193" s="54"/>
      <c r="AK193" s="54"/>
      <c r="AL193" s="54"/>
      <c r="AO193" s="55"/>
      <c r="AP193" s="55"/>
    </row>
    <row r="194" ht="14.25" customHeight="1">
      <c r="E194" s="56"/>
      <c r="F194" s="56"/>
      <c r="U194" s="54"/>
      <c r="V194" s="54"/>
      <c r="AE194" s="54"/>
      <c r="AG194" s="54"/>
      <c r="AI194" s="54"/>
      <c r="AJ194" s="54"/>
      <c r="AK194" s="54"/>
      <c r="AL194" s="54"/>
      <c r="AO194" s="55"/>
      <c r="AP194" s="55"/>
    </row>
    <row r="195" ht="14.25" customHeight="1">
      <c r="E195" s="56"/>
      <c r="F195" s="56"/>
      <c r="U195" s="54"/>
      <c r="V195" s="54"/>
      <c r="AE195" s="54"/>
      <c r="AG195" s="54"/>
      <c r="AI195" s="54"/>
      <c r="AJ195" s="54"/>
      <c r="AK195" s="54"/>
      <c r="AL195" s="54"/>
      <c r="AO195" s="55"/>
      <c r="AP195" s="55"/>
    </row>
    <row r="196" ht="14.25" customHeight="1">
      <c r="E196" s="56"/>
      <c r="F196" s="56"/>
      <c r="U196" s="54"/>
      <c r="V196" s="54"/>
      <c r="AE196" s="54"/>
      <c r="AG196" s="54"/>
      <c r="AI196" s="54"/>
      <c r="AJ196" s="54"/>
      <c r="AK196" s="54"/>
      <c r="AL196" s="54"/>
      <c r="AO196" s="55"/>
      <c r="AP196" s="55"/>
    </row>
    <row r="197" ht="14.25" customHeight="1">
      <c r="E197" s="56"/>
      <c r="F197" s="56"/>
      <c r="U197" s="54"/>
      <c r="V197" s="54"/>
      <c r="AE197" s="54"/>
      <c r="AG197" s="54"/>
      <c r="AI197" s="54"/>
      <c r="AJ197" s="54"/>
      <c r="AK197" s="54"/>
      <c r="AL197" s="54"/>
      <c r="AO197" s="55"/>
      <c r="AP197" s="55"/>
    </row>
    <row r="198" ht="14.25" customHeight="1">
      <c r="E198" s="56"/>
      <c r="F198" s="56"/>
      <c r="U198" s="54"/>
      <c r="V198" s="54"/>
      <c r="AE198" s="54"/>
      <c r="AG198" s="54"/>
      <c r="AI198" s="54"/>
      <c r="AJ198" s="54"/>
      <c r="AK198" s="54"/>
      <c r="AL198" s="54"/>
      <c r="AO198" s="55"/>
      <c r="AP198" s="55"/>
    </row>
    <row r="199" ht="14.25" customHeight="1">
      <c r="E199" s="56"/>
      <c r="F199" s="56"/>
      <c r="U199" s="54"/>
      <c r="V199" s="54"/>
      <c r="AE199" s="54"/>
      <c r="AG199" s="54"/>
      <c r="AI199" s="54"/>
      <c r="AJ199" s="54"/>
      <c r="AK199" s="54"/>
      <c r="AL199" s="54"/>
      <c r="AO199" s="55"/>
      <c r="AP199" s="55"/>
    </row>
    <row r="200" ht="14.25" customHeight="1">
      <c r="E200" s="56"/>
      <c r="F200" s="56"/>
      <c r="U200" s="54"/>
      <c r="V200" s="54"/>
      <c r="AE200" s="54"/>
      <c r="AG200" s="54"/>
      <c r="AI200" s="54"/>
      <c r="AJ200" s="54"/>
      <c r="AK200" s="54"/>
      <c r="AL200" s="54"/>
      <c r="AO200" s="55"/>
      <c r="AP200" s="55"/>
    </row>
    <row r="201" ht="14.25" customHeight="1">
      <c r="E201" s="56"/>
      <c r="F201" s="56"/>
      <c r="U201" s="54"/>
      <c r="V201" s="54"/>
      <c r="AE201" s="54"/>
      <c r="AG201" s="54"/>
      <c r="AI201" s="54"/>
      <c r="AJ201" s="54"/>
      <c r="AK201" s="54"/>
      <c r="AL201" s="54"/>
      <c r="AO201" s="55"/>
      <c r="AP201" s="55"/>
    </row>
    <row r="202" ht="14.25" customHeight="1">
      <c r="E202" s="56"/>
      <c r="F202" s="56"/>
      <c r="U202" s="54"/>
      <c r="V202" s="54"/>
      <c r="AE202" s="54"/>
      <c r="AG202" s="54"/>
      <c r="AI202" s="54"/>
      <c r="AJ202" s="54"/>
      <c r="AK202" s="54"/>
      <c r="AL202" s="54"/>
      <c r="AO202" s="55"/>
      <c r="AP202" s="55"/>
    </row>
    <row r="203" ht="14.25" customHeight="1">
      <c r="E203" s="56"/>
      <c r="F203" s="56"/>
      <c r="U203" s="54"/>
      <c r="V203" s="54"/>
      <c r="AE203" s="54"/>
      <c r="AG203" s="54"/>
      <c r="AI203" s="54"/>
      <c r="AJ203" s="54"/>
      <c r="AK203" s="54"/>
      <c r="AL203" s="54"/>
      <c r="AO203" s="55"/>
      <c r="AP203" s="55"/>
    </row>
    <row r="204" ht="14.25" customHeight="1">
      <c r="E204" s="56"/>
      <c r="F204" s="56"/>
      <c r="U204" s="54"/>
      <c r="V204" s="54"/>
      <c r="AE204" s="54"/>
      <c r="AG204" s="54"/>
      <c r="AI204" s="54"/>
      <c r="AJ204" s="54"/>
      <c r="AK204" s="54"/>
      <c r="AL204" s="54"/>
      <c r="AO204" s="55"/>
      <c r="AP204" s="55"/>
    </row>
    <row r="205" ht="14.25" customHeight="1">
      <c r="E205" s="56"/>
      <c r="F205" s="56"/>
      <c r="U205" s="54"/>
      <c r="V205" s="54"/>
      <c r="AE205" s="54"/>
      <c r="AG205" s="54"/>
      <c r="AI205" s="54"/>
      <c r="AJ205" s="54"/>
      <c r="AK205" s="54"/>
      <c r="AL205" s="54"/>
      <c r="AO205" s="55"/>
      <c r="AP205" s="55"/>
    </row>
    <row r="206" ht="14.25" customHeight="1">
      <c r="E206" s="56"/>
      <c r="F206" s="56"/>
      <c r="U206" s="54"/>
      <c r="V206" s="54"/>
      <c r="AE206" s="54"/>
      <c r="AG206" s="54"/>
      <c r="AI206" s="54"/>
      <c r="AJ206" s="54"/>
      <c r="AK206" s="54"/>
      <c r="AL206" s="54"/>
      <c r="AO206" s="55"/>
      <c r="AP206" s="55"/>
    </row>
    <row r="207" ht="14.25" customHeight="1">
      <c r="E207" s="56"/>
      <c r="F207" s="56"/>
      <c r="U207" s="54"/>
      <c r="V207" s="54"/>
      <c r="AE207" s="54"/>
      <c r="AG207" s="54"/>
      <c r="AI207" s="54"/>
      <c r="AJ207" s="54"/>
      <c r="AK207" s="54"/>
      <c r="AL207" s="54"/>
      <c r="AO207" s="55"/>
      <c r="AP207" s="55"/>
    </row>
    <row r="208" ht="14.25" customHeight="1">
      <c r="E208" s="56"/>
      <c r="F208" s="56"/>
      <c r="U208" s="54"/>
      <c r="V208" s="54"/>
      <c r="AE208" s="54"/>
      <c r="AG208" s="54"/>
      <c r="AI208" s="54"/>
      <c r="AJ208" s="54"/>
      <c r="AK208" s="54"/>
      <c r="AL208" s="54"/>
      <c r="AO208" s="55"/>
      <c r="AP208" s="55"/>
    </row>
    <row r="209" ht="14.25" customHeight="1">
      <c r="E209" s="56"/>
      <c r="F209" s="56"/>
      <c r="U209" s="54"/>
      <c r="V209" s="54"/>
      <c r="AE209" s="54"/>
      <c r="AG209" s="54"/>
      <c r="AI209" s="54"/>
      <c r="AJ209" s="54"/>
      <c r="AK209" s="54"/>
      <c r="AL209" s="54"/>
      <c r="AO209" s="55"/>
      <c r="AP209" s="55"/>
    </row>
    <row r="210" ht="14.25" customHeight="1">
      <c r="E210" s="56"/>
      <c r="F210" s="56"/>
      <c r="U210" s="54"/>
      <c r="V210" s="54"/>
      <c r="AE210" s="54"/>
      <c r="AG210" s="54"/>
      <c r="AI210" s="54"/>
      <c r="AJ210" s="54"/>
      <c r="AK210" s="54"/>
      <c r="AL210" s="54"/>
      <c r="AO210" s="55"/>
      <c r="AP210" s="55"/>
    </row>
    <row r="211" ht="14.25" customHeight="1">
      <c r="E211" s="56"/>
      <c r="F211" s="56"/>
      <c r="U211" s="54"/>
      <c r="V211" s="54"/>
      <c r="AE211" s="54"/>
      <c r="AG211" s="54"/>
      <c r="AI211" s="54"/>
      <c r="AJ211" s="54"/>
      <c r="AK211" s="54"/>
      <c r="AL211" s="54"/>
      <c r="AO211" s="55"/>
      <c r="AP211" s="55"/>
    </row>
    <row r="212" ht="14.25" customHeight="1">
      <c r="E212" s="56"/>
      <c r="F212" s="56"/>
      <c r="U212" s="54"/>
      <c r="V212" s="54"/>
      <c r="AE212" s="54"/>
      <c r="AG212" s="54"/>
      <c r="AI212" s="54"/>
      <c r="AJ212" s="54"/>
      <c r="AK212" s="54"/>
      <c r="AL212" s="54"/>
      <c r="AO212" s="55"/>
      <c r="AP212" s="55"/>
    </row>
    <row r="213" ht="14.25" customHeight="1">
      <c r="E213" s="56"/>
      <c r="F213" s="56"/>
      <c r="U213" s="54"/>
      <c r="V213" s="54"/>
      <c r="AE213" s="54"/>
      <c r="AG213" s="54"/>
      <c r="AI213" s="54"/>
      <c r="AJ213" s="54"/>
      <c r="AK213" s="54"/>
      <c r="AL213" s="54"/>
      <c r="AO213" s="55"/>
      <c r="AP213" s="55"/>
    </row>
    <row r="214" ht="14.25" customHeight="1">
      <c r="E214" s="56"/>
      <c r="F214" s="56"/>
      <c r="U214" s="54"/>
      <c r="V214" s="54"/>
      <c r="AE214" s="54"/>
      <c r="AG214" s="54"/>
      <c r="AI214" s="54"/>
      <c r="AJ214" s="54"/>
      <c r="AK214" s="54"/>
      <c r="AL214" s="54"/>
      <c r="AO214" s="55"/>
      <c r="AP214" s="55"/>
    </row>
    <row r="215" ht="14.25" customHeight="1">
      <c r="E215" s="56"/>
      <c r="F215" s="56"/>
      <c r="U215" s="54"/>
      <c r="V215" s="54"/>
      <c r="AE215" s="54"/>
      <c r="AG215" s="54"/>
      <c r="AI215" s="54"/>
      <c r="AJ215" s="54"/>
      <c r="AK215" s="54"/>
      <c r="AL215" s="54"/>
      <c r="AO215" s="55"/>
      <c r="AP215" s="55"/>
    </row>
    <row r="216" ht="14.25" customHeight="1">
      <c r="E216" s="56"/>
      <c r="F216" s="56"/>
      <c r="U216" s="54"/>
      <c r="V216" s="54"/>
      <c r="AE216" s="54"/>
      <c r="AG216" s="54"/>
      <c r="AI216" s="54"/>
      <c r="AJ216" s="54"/>
      <c r="AK216" s="54"/>
      <c r="AL216" s="54"/>
      <c r="AO216" s="55"/>
      <c r="AP216" s="55"/>
    </row>
    <row r="217" ht="14.25" customHeight="1">
      <c r="E217" s="56"/>
      <c r="F217" s="56"/>
      <c r="U217" s="54"/>
      <c r="V217" s="54"/>
      <c r="AE217" s="54"/>
      <c r="AG217" s="54"/>
      <c r="AI217" s="54"/>
      <c r="AJ217" s="54"/>
      <c r="AK217" s="54"/>
      <c r="AL217" s="54"/>
      <c r="AO217" s="55"/>
      <c r="AP217" s="55"/>
    </row>
    <row r="218" ht="14.25" customHeight="1">
      <c r="E218" s="56"/>
      <c r="F218" s="56"/>
      <c r="U218" s="54"/>
      <c r="V218" s="54"/>
      <c r="AE218" s="54"/>
      <c r="AG218" s="54"/>
      <c r="AI218" s="54"/>
      <c r="AJ218" s="54"/>
      <c r="AK218" s="54"/>
      <c r="AL218" s="54"/>
      <c r="AO218" s="55"/>
      <c r="AP218" s="55"/>
    </row>
    <row r="219" ht="14.25" customHeight="1">
      <c r="E219" s="56"/>
      <c r="F219" s="56"/>
      <c r="U219" s="54"/>
      <c r="V219" s="54"/>
      <c r="AE219" s="54"/>
      <c r="AG219" s="54"/>
      <c r="AI219" s="54"/>
      <c r="AJ219" s="54"/>
      <c r="AK219" s="54"/>
      <c r="AL219" s="54"/>
      <c r="AO219" s="55"/>
      <c r="AP219" s="55"/>
    </row>
    <row r="220" ht="14.25" customHeight="1">
      <c r="E220" s="56"/>
      <c r="F220" s="56"/>
      <c r="U220" s="54"/>
      <c r="V220" s="54"/>
      <c r="AE220" s="54"/>
      <c r="AG220" s="54"/>
      <c r="AI220" s="54"/>
      <c r="AJ220" s="54"/>
      <c r="AK220" s="54"/>
      <c r="AL220" s="54"/>
      <c r="AO220" s="55"/>
      <c r="AP220" s="55"/>
    </row>
    <row r="221" ht="14.25" customHeight="1">
      <c r="E221" s="56"/>
      <c r="F221" s="56"/>
      <c r="U221" s="54"/>
      <c r="V221" s="54"/>
      <c r="AE221" s="54"/>
      <c r="AG221" s="54"/>
      <c r="AI221" s="54"/>
      <c r="AJ221" s="54"/>
      <c r="AK221" s="54"/>
      <c r="AL221" s="54"/>
      <c r="AO221" s="55"/>
      <c r="AP221" s="55"/>
    </row>
    <row r="222" ht="14.25" customHeight="1">
      <c r="E222" s="56"/>
      <c r="F222" s="56"/>
      <c r="U222" s="54"/>
      <c r="V222" s="54"/>
      <c r="AE222" s="54"/>
      <c r="AG222" s="54"/>
      <c r="AI222" s="54"/>
      <c r="AJ222" s="54"/>
      <c r="AK222" s="54"/>
      <c r="AL222" s="54"/>
      <c r="AO222" s="55"/>
      <c r="AP222" s="55"/>
    </row>
    <row r="223" ht="14.25" customHeight="1">
      <c r="E223" s="56"/>
      <c r="F223" s="56"/>
      <c r="U223" s="54"/>
      <c r="V223" s="54"/>
      <c r="AE223" s="54"/>
      <c r="AG223" s="54"/>
      <c r="AI223" s="54"/>
      <c r="AJ223" s="54"/>
      <c r="AK223" s="54"/>
      <c r="AL223" s="54"/>
      <c r="AO223" s="55"/>
      <c r="AP223" s="55"/>
    </row>
    <row r="224" ht="14.25" customHeight="1">
      <c r="E224" s="56"/>
      <c r="F224" s="56"/>
      <c r="U224" s="54"/>
      <c r="V224" s="54"/>
      <c r="AE224" s="54"/>
      <c r="AG224" s="54"/>
      <c r="AI224" s="54"/>
      <c r="AJ224" s="54"/>
      <c r="AK224" s="54"/>
      <c r="AL224" s="54"/>
      <c r="AO224" s="55"/>
      <c r="AP224" s="55"/>
    </row>
    <row r="225" ht="14.25" customHeight="1">
      <c r="E225" s="56"/>
      <c r="F225" s="56"/>
      <c r="U225" s="54"/>
      <c r="V225" s="54"/>
      <c r="AE225" s="54"/>
      <c r="AG225" s="54"/>
      <c r="AI225" s="54"/>
      <c r="AJ225" s="54"/>
      <c r="AK225" s="54"/>
      <c r="AL225" s="54"/>
      <c r="AO225" s="55"/>
      <c r="AP225" s="55"/>
    </row>
    <row r="226" ht="14.25" customHeight="1">
      <c r="E226" s="56"/>
      <c r="F226" s="56"/>
      <c r="U226" s="54"/>
      <c r="V226" s="54"/>
      <c r="AE226" s="54"/>
      <c r="AG226" s="54"/>
      <c r="AI226" s="54"/>
      <c r="AJ226" s="54"/>
      <c r="AK226" s="54"/>
      <c r="AL226" s="54"/>
      <c r="AO226" s="55"/>
      <c r="AP226" s="55"/>
    </row>
    <row r="227" ht="14.25" customHeight="1">
      <c r="E227" s="56"/>
      <c r="F227" s="56"/>
      <c r="U227" s="54"/>
      <c r="V227" s="54"/>
      <c r="AE227" s="54"/>
      <c r="AG227" s="54"/>
      <c r="AI227" s="54"/>
      <c r="AJ227" s="54"/>
      <c r="AK227" s="54"/>
      <c r="AL227" s="54"/>
      <c r="AO227" s="55"/>
      <c r="AP227" s="55"/>
    </row>
    <row r="228" ht="14.25" customHeight="1">
      <c r="E228" s="56"/>
      <c r="F228" s="56"/>
      <c r="U228" s="54"/>
      <c r="V228" s="54"/>
      <c r="AE228" s="54"/>
      <c r="AG228" s="54"/>
      <c r="AI228" s="54"/>
      <c r="AJ228" s="54"/>
      <c r="AK228" s="54"/>
      <c r="AL228" s="54"/>
      <c r="AO228" s="55"/>
      <c r="AP228" s="55"/>
    </row>
    <row r="229" ht="14.25" customHeight="1">
      <c r="E229" s="56"/>
      <c r="F229" s="56"/>
      <c r="U229" s="54"/>
      <c r="V229" s="54"/>
      <c r="AE229" s="54"/>
      <c r="AG229" s="54"/>
      <c r="AI229" s="54"/>
      <c r="AJ229" s="54"/>
      <c r="AK229" s="54"/>
      <c r="AL229" s="54"/>
      <c r="AO229" s="55"/>
      <c r="AP229" s="55"/>
    </row>
    <row r="230" ht="14.25" customHeight="1">
      <c r="E230" s="56"/>
      <c r="F230" s="56"/>
      <c r="U230" s="54"/>
      <c r="V230" s="54"/>
      <c r="AE230" s="54"/>
      <c r="AG230" s="54"/>
      <c r="AI230" s="54"/>
      <c r="AJ230" s="54"/>
      <c r="AK230" s="54"/>
      <c r="AL230" s="54"/>
      <c r="AO230" s="55"/>
      <c r="AP230" s="55"/>
    </row>
    <row r="231" ht="14.25" customHeight="1">
      <c r="E231" s="56"/>
      <c r="F231" s="56"/>
      <c r="U231" s="54"/>
      <c r="V231" s="54"/>
      <c r="AE231" s="54"/>
      <c r="AG231" s="54"/>
      <c r="AI231" s="54"/>
      <c r="AJ231" s="54"/>
      <c r="AK231" s="54"/>
      <c r="AL231" s="54"/>
      <c r="AO231" s="55"/>
      <c r="AP231" s="55"/>
    </row>
    <row r="232" ht="14.25" customHeight="1">
      <c r="E232" s="56"/>
      <c r="F232" s="56"/>
      <c r="U232" s="54"/>
      <c r="V232" s="54"/>
      <c r="AE232" s="54"/>
      <c r="AG232" s="54"/>
      <c r="AI232" s="54"/>
      <c r="AJ232" s="54"/>
      <c r="AK232" s="54"/>
      <c r="AL232" s="54"/>
      <c r="AO232" s="55"/>
      <c r="AP232" s="55"/>
    </row>
    <row r="233" ht="14.25" customHeight="1">
      <c r="E233" s="56"/>
      <c r="F233" s="56"/>
      <c r="U233" s="54"/>
      <c r="V233" s="54"/>
      <c r="AE233" s="54"/>
      <c r="AG233" s="54"/>
      <c r="AI233" s="54"/>
      <c r="AJ233" s="54"/>
      <c r="AK233" s="54"/>
      <c r="AL233" s="54"/>
      <c r="AO233" s="55"/>
      <c r="AP233" s="55"/>
    </row>
    <row r="234" ht="14.25" customHeight="1">
      <c r="E234" s="56"/>
      <c r="F234" s="56"/>
      <c r="U234" s="54"/>
      <c r="V234" s="54"/>
      <c r="AE234" s="54"/>
      <c r="AG234" s="54"/>
      <c r="AI234" s="54"/>
      <c r="AJ234" s="54"/>
      <c r="AK234" s="54"/>
      <c r="AL234" s="54"/>
      <c r="AO234" s="55"/>
      <c r="AP234" s="55"/>
    </row>
    <row r="235" ht="14.25" customHeight="1">
      <c r="E235" s="56"/>
      <c r="F235" s="56"/>
      <c r="U235" s="54"/>
      <c r="V235" s="54"/>
      <c r="AE235" s="54"/>
      <c r="AG235" s="54"/>
      <c r="AI235" s="54"/>
      <c r="AJ235" s="54"/>
      <c r="AK235" s="54"/>
      <c r="AL235" s="54"/>
      <c r="AO235" s="55"/>
      <c r="AP235" s="55"/>
    </row>
    <row r="236" ht="14.25" customHeight="1">
      <c r="E236" s="56"/>
      <c r="F236" s="56"/>
      <c r="U236" s="54"/>
      <c r="V236" s="54"/>
      <c r="AE236" s="54"/>
      <c r="AG236" s="54"/>
      <c r="AI236" s="54"/>
      <c r="AJ236" s="54"/>
      <c r="AK236" s="54"/>
      <c r="AL236" s="54"/>
      <c r="AO236" s="55"/>
      <c r="AP236" s="55"/>
    </row>
    <row r="237" ht="14.25" customHeight="1">
      <c r="E237" s="56"/>
      <c r="F237" s="56"/>
      <c r="U237" s="54"/>
      <c r="V237" s="54"/>
      <c r="AE237" s="54"/>
      <c r="AG237" s="54"/>
      <c r="AI237" s="54"/>
      <c r="AJ237" s="54"/>
      <c r="AK237" s="54"/>
      <c r="AL237" s="54"/>
      <c r="AO237" s="55"/>
      <c r="AP237" s="55"/>
    </row>
    <row r="238" ht="14.25" customHeight="1">
      <c r="E238" s="56"/>
      <c r="F238" s="56"/>
      <c r="U238" s="54"/>
      <c r="V238" s="54"/>
      <c r="AE238" s="54"/>
      <c r="AG238" s="54"/>
      <c r="AI238" s="54"/>
      <c r="AJ238" s="54"/>
      <c r="AK238" s="54"/>
      <c r="AL238" s="54"/>
      <c r="AO238" s="55"/>
      <c r="AP238" s="55"/>
    </row>
    <row r="239" ht="14.25" customHeight="1">
      <c r="E239" s="56"/>
      <c r="F239" s="56"/>
      <c r="U239" s="54"/>
      <c r="V239" s="54"/>
      <c r="AE239" s="54"/>
      <c r="AG239" s="54"/>
      <c r="AI239" s="54"/>
      <c r="AJ239" s="54"/>
      <c r="AK239" s="54"/>
      <c r="AL239" s="54"/>
      <c r="AO239" s="55"/>
      <c r="AP239" s="55"/>
    </row>
    <row r="240" ht="14.25" customHeight="1">
      <c r="E240" s="56"/>
      <c r="F240" s="56"/>
      <c r="U240" s="54"/>
      <c r="V240" s="54"/>
      <c r="AE240" s="54"/>
      <c r="AG240" s="54"/>
      <c r="AI240" s="54"/>
      <c r="AJ240" s="54"/>
      <c r="AK240" s="54"/>
      <c r="AL240" s="54"/>
      <c r="AO240" s="55"/>
      <c r="AP240" s="55"/>
    </row>
    <row r="241" ht="14.25" customHeight="1">
      <c r="E241" s="56"/>
      <c r="F241" s="56"/>
      <c r="U241" s="54"/>
      <c r="V241" s="54"/>
      <c r="AE241" s="54"/>
      <c r="AG241" s="54"/>
      <c r="AI241" s="54"/>
      <c r="AJ241" s="54"/>
      <c r="AK241" s="54"/>
      <c r="AL241" s="54"/>
      <c r="AO241" s="55"/>
      <c r="AP241" s="55"/>
    </row>
    <row r="242" ht="14.25" customHeight="1">
      <c r="E242" s="56"/>
      <c r="F242" s="56"/>
      <c r="U242" s="54"/>
      <c r="V242" s="54"/>
      <c r="AE242" s="54"/>
      <c r="AG242" s="54"/>
      <c r="AI242" s="54"/>
      <c r="AJ242" s="54"/>
      <c r="AK242" s="54"/>
      <c r="AL242" s="54"/>
      <c r="AO242" s="55"/>
      <c r="AP242" s="55"/>
    </row>
    <row r="243" ht="14.25" customHeight="1">
      <c r="E243" s="56"/>
      <c r="F243" s="56"/>
      <c r="U243" s="54"/>
      <c r="V243" s="54"/>
      <c r="AE243" s="54"/>
      <c r="AG243" s="54"/>
      <c r="AI243" s="54"/>
      <c r="AJ243" s="54"/>
      <c r="AK243" s="54"/>
      <c r="AL243" s="54"/>
      <c r="AO243" s="55"/>
      <c r="AP243" s="55"/>
    </row>
    <row r="244" ht="14.25" customHeight="1">
      <c r="E244" s="56"/>
      <c r="F244" s="56"/>
      <c r="U244" s="54"/>
      <c r="V244" s="54"/>
      <c r="AE244" s="54"/>
      <c r="AG244" s="54"/>
      <c r="AI244" s="54"/>
      <c r="AJ244" s="54"/>
      <c r="AK244" s="54"/>
      <c r="AL244" s="54"/>
      <c r="AO244" s="55"/>
      <c r="AP244" s="55"/>
    </row>
    <row r="245" ht="14.25" customHeight="1">
      <c r="E245" s="56"/>
      <c r="F245" s="56"/>
      <c r="U245" s="54"/>
      <c r="V245" s="54"/>
      <c r="AE245" s="54"/>
      <c r="AG245" s="54"/>
      <c r="AI245" s="54"/>
      <c r="AJ245" s="54"/>
      <c r="AK245" s="54"/>
      <c r="AL245" s="54"/>
      <c r="AO245" s="55"/>
      <c r="AP245" s="55"/>
    </row>
    <row r="246" ht="14.25" customHeight="1">
      <c r="E246" s="56"/>
      <c r="F246" s="56"/>
      <c r="U246" s="54"/>
      <c r="V246" s="54"/>
      <c r="AE246" s="54"/>
      <c r="AG246" s="54"/>
      <c r="AI246" s="54"/>
      <c r="AJ246" s="54"/>
      <c r="AK246" s="54"/>
      <c r="AL246" s="54"/>
      <c r="AO246" s="55"/>
      <c r="AP246" s="55"/>
    </row>
    <row r="247" ht="14.25" customHeight="1">
      <c r="E247" s="56"/>
      <c r="F247" s="56"/>
      <c r="U247" s="54"/>
      <c r="V247" s="54"/>
      <c r="AE247" s="54"/>
      <c r="AG247" s="54"/>
      <c r="AI247" s="54"/>
      <c r="AJ247" s="54"/>
      <c r="AK247" s="54"/>
      <c r="AL247" s="54"/>
      <c r="AO247" s="55"/>
      <c r="AP247" s="55"/>
    </row>
    <row r="248" ht="14.25" customHeight="1">
      <c r="E248" s="56"/>
      <c r="F248" s="56"/>
      <c r="U248" s="54"/>
      <c r="V248" s="54"/>
      <c r="AE248" s="54"/>
      <c r="AG248" s="54"/>
      <c r="AI248" s="54"/>
      <c r="AJ248" s="54"/>
      <c r="AK248" s="54"/>
      <c r="AL248" s="54"/>
      <c r="AO248" s="55"/>
      <c r="AP248" s="55"/>
    </row>
    <row r="249" ht="14.25" customHeight="1">
      <c r="E249" s="56"/>
      <c r="F249" s="56"/>
      <c r="U249" s="54"/>
      <c r="V249" s="54"/>
      <c r="AE249" s="54"/>
      <c r="AG249" s="54"/>
      <c r="AI249" s="54"/>
      <c r="AJ249" s="54"/>
      <c r="AK249" s="54"/>
      <c r="AL249" s="54"/>
      <c r="AO249" s="55"/>
      <c r="AP249" s="55"/>
    </row>
    <row r="250" ht="14.25" customHeight="1">
      <c r="E250" s="56"/>
      <c r="F250" s="56"/>
      <c r="U250" s="54"/>
      <c r="V250" s="54"/>
      <c r="AE250" s="54"/>
      <c r="AG250" s="54"/>
      <c r="AI250" s="54"/>
      <c r="AJ250" s="54"/>
      <c r="AK250" s="54"/>
      <c r="AL250" s="54"/>
      <c r="AO250" s="55"/>
      <c r="AP250" s="55"/>
    </row>
    <row r="251" ht="14.25" customHeight="1">
      <c r="E251" s="56"/>
      <c r="F251" s="56"/>
      <c r="U251" s="54"/>
      <c r="V251" s="54"/>
      <c r="AE251" s="54"/>
      <c r="AG251" s="54"/>
      <c r="AI251" s="54"/>
      <c r="AJ251" s="54"/>
      <c r="AK251" s="54"/>
      <c r="AL251" s="54"/>
      <c r="AO251" s="55"/>
      <c r="AP251" s="55"/>
    </row>
    <row r="252" ht="14.25" customHeight="1">
      <c r="E252" s="56"/>
      <c r="F252" s="56"/>
      <c r="U252" s="54"/>
      <c r="V252" s="54"/>
      <c r="AE252" s="54"/>
      <c r="AG252" s="54"/>
      <c r="AI252" s="54"/>
      <c r="AJ252" s="54"/>
      <c r="AK252" s="54"/>
      <c r="AL252" s="54"/>
      <c r="AO252" s="55"/>
      <c r="AP252" s="55"/>
    </row>
    <row r="253" ht="14.25" customHeight="1">
      <c r="E253" s="56"/>
      <c r="F253" s="56"/>
      <c r="U253" s="54"/>
      <c r="V253" s="54"/>
      <c r="AE253" s="54"/>
      <c r="AG253" s="54"/>
      <c r="AI253" s="54"/>
      <c r="AJ253" s="54"/>
      <c r="AK253" s="54"/>
      <c r="AL253" s="54"/>
      <c r="AO253" s="55"/>
      <c r="AP253" s="55"/>
    </row>
    <row r="254" ht="14.25" customHeight="1">
      <c r="E254" s="56"/>
      <c r="F254" s="56"/>
      <c r="U254" s="54"/>
      <c r="V254" s="54"/>
      <c r="AE254" s="54"/>
      <c r="AG254" s="54"/>
      <c r="AI254" s="54"/>
      <c r="AJ254" s="54"/>
      <c r="AK254" s="54"/>
      <c r="AL254" s="54"/>
      <c r="AO254" s="55"/>
      <c r="AP254" s="55"/>
    </row>
    <row r="255" ht="14.25" customHeight="1">
      <c r="E255" s="56"/>
      <c r="F255" s="56"/>
      <c r="U255" s="54"/>
      <c r="V255" s="54"/>
      <c r="AE255" s="54"/>
      <c r="AG255" s="54"/>
      <c r="AI255" s="54"/>
      <c r="AJ255" s="54"/>
      <c r="AK255" s="54"/>
      <c r="AL255" s="54"/>
      <c r="AO255" s="55"/>
      <c r="AP255" s="55"/>
    </row>
    <row r="256" ht="14.25" customHeight="1">
      <c r="E256" s="56"/>
      <c r="F256" s="56"/>
      <c r="U256" s="54"/>
      <c r="V256" s="54"/>
      <c r="AE256" s="54"/>
      <c r="AG256" s="54"/>
      <c r="AI256" s="54"/>
      <c r="AJ256" s="54"/>
      <c r="AK256" s="54"/>
      <c r="AL256" s="54"/>
      <c r="AO256" s="55"/>
      <c r="AP256" s="55"/>
    </row>
    <row r="257" ht="14.25" customHeight="1">
      <c r="E257" s="56"/>
      <c r="F257" s="56"/>
      <c r="U257" s="54"/>
      <c r="V257" s="54"/>
      <c r="AE257" s="54"/>
      <c r="AG257" s="54"/>
      <c r="AI257" s="54"/>
      <c r="AJ257" s="54"/>
      <c r="AK257" s="54"/>
      <c r="AL257" s="54"/>
      <c r="AO257" s="55"/>
      <c r="AP257" s="55"/>
    </row>
    <row r="258" ht="14.25" customHeight="1">
      <c r="E258" s="56"/>
      <c r="F258" s="56"/>
      <c r="U258" s="54"/>
      <c r="V258" s="54"/>
      <c r="AE258" s="54"/>
      <c r="AG258" s="54"/>
      <c r="AI258" s="54"/>
      <c r="AJ258" s="54"/>
      <c r="AK258" s="54"/>
      <c r="AL258" s="54"/>
      <c r="AO258" s="55"/>
      <c r="AP258" s="55"/>
    </row>
    <row r="259" ht="14.25" customHeight="1">
      <c r="E259" s="56"/>
      <c r="F259" s="56"/>
      <c r="U259" s="54"/>
      <c r="V259" s="54"/>
      <c r="AE259" s="54"/>
      <c r="AG259" s="54"/>
      <c r="AI259" s="54"/>
      <c r="AJ259" s="54"/>
      <c r="AK259" s="54"/>
      <c r="AL259" s="54"/>
      <c r="AO259" s="55"/>
      <c r="AP259" s="55"/>
    </row>
    <row r="260" ht="14.25" customHeight="1">
      <c r="E260" s="56"/>
      <c r="F260" s="56"/>
      <c r="U260" s="54"/>
      <c r="V260" s="54"/>
      <c r="AE260" s="54"/>
      <c r="AG260" s="54"/>
      <c r="AI260" s="54"/>
      <c r="AJ260" s="54"/>
      <c r="AK260" s="54"/>
      <c r="AL260" s="54"/>
      <c r="AO260" s="55"/>
      <c r="AP260" s="55"/>
    </row>
    <row r="261" ht="14.25" customHeight="1">
      <c r="E261" s="56"/>
      <c r="F261" s="56"/>
      <c r="U261" s="54"/>
      <c r="V261" s="54"/>
      <c r="AE261" s="54"/>
      <c r="AG261" s="54"/>
      <c r="AI261" s="54"/>
      <c r="AJ261" s="54"/>
      <c r="AK261" s="54"/>
      <c r="AL261" s="54"/>
      <c r="AO261" s="55"/>
      <c r="AP261" s="55"/>
    </row>
    <row r="262" ht="14.25" customHeight="1">
      <c r="E262" s="56"/>
      <c r="F262" s="56"/>
      <c r="U262" s="54"/>
      <c r="V262" s="54"/>
      <c r="AE262" s="54"/>
      <c r="AG262" s="54"/>
      <c r="AI262" s="54"/>
      <c r="AJ262" s="54"/>
      <c r="AK262" s="54"/>
      <c r="AL262" s="54"/>
      <c r="AO262" s="55"/>
      <c r="AP262" s="55"/>
    </row>
    <row r="263" ht="14.25" customHeight="1">
      <c r="E263" s="56"/>
      <c r="F263" s="56"/>
      <c r="U263" s="54"/>
      <c r="V263" s="54"/>
      <c r="AE263" s="54"/>
      <c r="AG263" s="54"/>
      <c r="AI263" s="54"/>
      <c r="AJ263" s="54"/>
      <c r="AK263" s="54"/>
      <c r="AL263" s="54"/>
      <c r="AO263" s="55"/>
      <c r="AP263" s="55"/>
    </row>
    <row r="264" ht="14.25" customHeight="1">
      <c r="E264" s="56"/>
      <c r="F264" s="56"/>
      <c r="U264" s="54"/>
      <c r="V264" s="54"/>
      <c r="AE264" s="54"/>
      <c r="AG264" s="54"/>
      <c r="AI264" s="54"/>
      <c r="AJ264" s="54"/>
      <c r="AK264" s="54"/>
      <c r="AL264" s="54"/>
      <c r="AO264" s="55"/>
      <c r="AP264" s="55"/>
    </row>
    <row r="265" ht="14.25" customHeight="1">
      <c r="E265" s="56"/>
      <c r="F265" s="56"/>
      <c r="U265" s="54"/>
      <c r="V265" s="54"/>
      <c r="AE265" s="54"/>
      <c r="AG265" s="54"/>
      <c r="AI265" s="54"/>
      <c r="AJ265" s="54"/>
      <c r="AK265" s="54"/>
      <c r="AL265" s="54"/>
      <c r="AO265" s="55"/>
      <c r="AP265" s="55"/>
    </row>
    <row r="266" ht="14.25" customHeight="1">
      <c r="E266" s="56"/>
      <c r="F266" s="56"/>
      <c r="U266" s="54"/>
      <c r="V266" s="54"/>
      <c r="AE266" s="54"/>
      <c r="AG266" s="54"/>
      <c r="AI266" s="54"/>
      <c r="AJ266" s="54"/>
      <c r="AK266" s="54"/>
      <c r="AL266" s="54"/>
      <c r="AO266" s="55"/>
      <c r="AP266" s="55"/>
    </row>
    <row r="267" ht="14.25" customHeight="1">
      <c r="E267" s="56"/>
      <c r="F267" s="56"/>
      <c r="U267" s="54"/>
      <c r="V267" s="54"/>
      <c r="AE267" s="54"/>
      <c r="AG267" s="54"/>
      <c r="AI267" s="54"/>
      <c r="AJ267" s="54"/>
      <c r="AK267" s="54"/>
      <c r="AL267" s="54"/>
      <c r="AO267" s="55"/>
      <c r="AP267" s="55"/>
    </row>
    <row r="268" ht="14.25" customHeight="1">
      <c r="E268" s="56"/>
      <c r="F268" s="56"/>
      <c r="U268" s="54"/>
      <c r="V268" s="54"/>
      <c r="AE268" s="54"/>
      <c r="AG268" s="54"/>
      <c r="AI268" s="54"/>
      <c r="AJ268" s="54"/>
      <c r="AK268" s="54"/>
      <c r="AL268" s="54"/>
      <c r="AO268" s="55"/>
      <c r="AP268" s="55"/>
    </row>
    <row r="269" ht="14.25" customHeight="1">
      <c r="E269" s="56"/>
      <c r="F269" s="56"/>
      <c r="U269" s="54"/>
      <c r="V269" s="54"/>
      <c r="AE269" s="54"/>
      <c r="AG269" s="54"/>
      <c r="AI269" s="54"/>
      <c r="AJ269" s="54"/>
      <c r="AK269" s="54"/>
      <c r="AL269" s="54"/>
      <c r="AO269" s="55"/>
      <c r="AP269" s="55"/>
    </row>
    <row r="270" ht="14.25" customHeight="1">
      <c r="E270" s="56"/>
      <c r="F270" s="56"/>
      <c r="U270" s="54"/>
      <c r="V270" s="54"/>
      <c r="AE270" s="54"/>
      <c r="AG270" s="54"/>
      <c r="AI270" s="54"/>
      <c r="AJ270" s="54"/>
      <c r="AK270" s="54"/>
      <c r="AL270" s="54"/>
      <c r="AO270" s="55"/>
      <c r="AP270" s="55"/>
    </row>
    <row r="271" ht="14.25" customHeight="1">
      <c r="E271" s="56"/>
      <c r="F271" s="56"/>
      <c r="U271" s="54"/>
      <c r="V271" s="54"/>
      <c r="AE271" s="54"/>
      <c r="AG271" s="54"/>
      <c r="AI271" s="54"/>
      <c r="AJ271" s="54"/>
      <c r="AK271" s="54"/>
      <c r="AL271" s="54"/>
      <c r="AO271" s="55"/>
      <c r="AP271" s="55"/>
    </row>
    <row r="272" ht="14.25" customHeight="1">
      <c r="E272" s="56"/>
      <c r="F272" s="56"/>
      <c r="U272" s="54"/>
      <c r="V272" s="54"/>
      <c r="AE272" s="54"/>
      <c r="AG272" s="54"/>
      <c r="AI272" s="54"/>
      <c r="AJ272" s="54"/>
      <c r="AK272" s="54"/>
      <c r="AL272" s="54"/>
      <c r="AO272" s="55"/>
      <c r="AP272" s="55"/>
    </row>
    <row r="273" ht="14.25" customHeight="1">
      <c r="E273" s="56"/>
      <c r="F273" s="56"/>
      <c r="U273" s="54"/>
      <c r="V273" s="54"/>
      <c r="AE273" s="54"/>
      <c r="AG273" s="54"/>
      <c r="AI273" s="54"/>
      <c r="AJ273" s="54"/>
      <c r="AK273" s="54"/>
      <c r="AL273" s="54"/>
      <c r="AO273" s="55"/>
      <c r="AP273" s="55"/>
    </row>
    <row r="274" ht="14.25" customHeight="1">
      <c r="E274" s="56"/>
      <c r="F274" s="56"/>
      <c r="U274" s="54"/>
      <c r="V274" s="54"/>
      <c r="AE274" s="54"/>
      <c r="AG274" s="54"/>
      <c r="AI274" s="54"/>
      <c r="AJ274" s="54"/>
      <c r="AK274" s="54"/>
      <c r="AL274" s="54"/>
      <c r="AO274" s="55"/>
      <c r="AP274" s="55"/>
    </row>
    <row r="275" ht="14.25" customHeight="1">
      <c r="E275" s="56"/>
      <c r="F275" s="56"/>
      <c r="U275" s="54"/>
      <c r="V275" s="54"/>
      <c r="AE275" s="54"/>
      <c r="AG275" s="54"/>
      <c r="AI275" s="54"/>
      <c r="AJ275" s="54"/>
      <c r="AK275" s="54"/>
      <c r="AL275" s="54"/>
      <c r="AO275" s="55"/>
      <c r="AP275" s="55"/>
    </row>
    <row r="276" ht="14.25" customHeight="1">
      <c r="E276" s="56"/>
      <c r="F276" s="56"/>
      <c r="U276" s="54"/>
      <c r="V276" s="54"/>
      <c r="AE276" s="54"/>
      <c r="AG276" s="54"/>
      <c r="AI276" s="54"/>
      <c r="AJ276" s="54"/>
      <c r="AK276" s="54"/>
      <c r="AL276" s="54"/>
      <c r="AO276" s="55"/>
      <c r="AP276" s="55"/>
    </row>
    <row r="277" ht="14.25" customHeight="1">
      <c r="E277" s="56"/>
      <c r="F277" s="56"/>
      <c r="U277" s="54"/>
      <c r="V277" s="54"/>
      <c r="AE277" s="54"/>
      <c r="AG277" s="54"/>
      <c r="AI277" s="54"/>
      <c r="AJ277" s="54"/>
      <c r="AK277" s="54"/>
      <c r="AL277" s="54"/>
      <c r="AO277" s="55"/>
      <c r="AP277" s="55"/>
    </row>
    <row r="278" ht="14.25" customHeight="1">
      <c r="E278" s="56"/>
      <c r="F278" s="56"/>
      <c r="U278" s="54"/>
      <c r="V278" s="54"/>
      <c r="AE278" s="54"/>
      <c r="AG278" s="54"/>
      <c r="AI278" s="54"/>
      <c r="AJ278" s="54"/>
      <c r="AK278" s="54"/>
      <c r="AL278" s="54"/>
      <c r="AO278" s="55"/>
      <c r="AP278" s="55"/>
    </row>
    <row r="279" ht="14.25" customHeight="1">
      <c r="E279" s="56"/>
      <c r="F279" s="56"/>
      <c r="U279" s="54"/>
      <c r="V279" s="54"/>
      <c r="AE279" s="54"/>
      <c r="AG279" s="54"/>
      <c r="AI279" s="54"/>
      <c r="AJ279" s="54"/>
      <c r="AK279" s="54"/>
      <c r="AL279" s="54"/>
      <c r="AO279" s="55"/>
      <c r="AP279" s="55"/>
    </row>
    <row r="280" ht="14.25" customHeight="1">
      <c r="E280" s="56"/>
      <c r="F280" s="56"/>
      <c r="U280" s="54"/>
      <c r="V280" s="54"/>
      <c r="AE280" s="54"/>
      <c r="AG280" s="54"/>
      <c r="AI280" s="54"/>
      <c r="AJ280" s="54"/>
      <c r="AK280" s="54"/>
      <c r="AL280" s="54"/>
      <c r="AO280" s="55"/>
      <c r="AP280" s="55"/>
    </row>
    <row r="281" ht="14.25" customHeight="1">
      <c r="E281" s="56"/>
      <c r="F281" s="56"/>
      <c r="U281" s="54"/>
      <c r="V281" s="54"/>
      <c r="AE281" s="54"/>
      <c r="AG281" s="54"/>
      <c r="AI281" s="54"/>
      <c r="AJ281" s="54"/>
      <c r="AK281" s="54"/>
      <c r="AL281" s="54"/>
      <c r="AO281" s="55"/>
      <c r="AP281" s="55"/>
    </row>
    <row r="282" ht="14.25" customHeight="1">
      <c r="E282" s="56"/>
      <c r="F282" s="56"/>
      <c r="U282" s="54"/>
      <c r="V282" s="54"/>
      <c r="AE282" s="54"/>
      <c r="AG282" s="54"/>
      <c r="AI282" s="54"/>
      <c r="AJ282" s="54"/>
      <c r="AK282" s="54"/>
      <c r="AL282" s="54"/>
      <c r="AO282" s="55"/>
      <c r="AP282" s="55"/>
    </row>
    <row r="283" ht="14.25" customHeight="1">
      <c r="E283" s="56"/>
      <c r="F283" s="56"/>
      <c r="U283" s="54"/>
      <c r="V283" s="54"/>
      <c r="AE283" s="54"/>
      <c r="AG283" s="54"/>
      <c r="AI283" s="54"/>
      <c r="AJ283" s="54"/>
      <c r="AK283" s="54"/>
      <c r="AL283" s="54"/>
      <c r="AO283" s="55"/>
      <c r="AP283" s="55"/>
    </row>
    <row r="284" ht="14.25" customHeight="1">
      <c r="E284" s="56"/>
      <c r="F284" s="56"/>
      <c r="U284" s="54"/>
      <c r="V284" s="54"/>
      <c r="AE284" s="54"/>
      <c r="AG284" s="54"/>
      <c r="AI284" s="54"/>
      <c r="AJ284" s="54"/>
      <c r="AK284" s="54"/>
      <c r="AL284" s="54"/>
      <c r="AO284" s="55"/>
      <c r="AP284" s="55"/>
    </row>
    <row r="285" ht="14.25" customHeight="1">
      <c r="E285" s="56"/>
      <c r="F285" s="56"/>
      <c r="U285" s="54"/>
      <c r="V285" s="54"/>
      <c r="AE285" s="54"/>
      <c r="AG285" s="54"/>
      <c r="AI285" s="54"/>
      <c r="AJ285" s="54"/>
      <c r="AK285" s="54"/>
      <c r="AL285" s="54"/>
      <c r="AO285" s="55"/>
      <c r="AP285" s="55"/>
    </row>
    <row r="286" ht="14.25" customHeight="1">
      <c r="E286" s="56"/>
      <c r="F286" s="56"/>
      <c r="U286" s="54"/>
      <c r="V286" s="54"/>
      <c r="AE286" s="54"/>
      <c r="AG286" s="54"/>
      <c r="AI286" s="54"/>
      <c r="AJ286" s="54"/>
      <c r="AK286" s="54"/>
      <c r="AL286" s="54"/>
      <c r="AO286" s="55"/>
      <c r="AP286" s="55"/>
    </row>
    <row r="287" ht="14.25" customHeight="1">
      <c r="E287" s="56"/>
      <c r="F287" s="56"/>
      <c r="U287" s="54"/>
      <c r="V287" s="54"/>
      <c r="AE287" s="54"/>
      <c r="AG287" s="54"/>
      <c r="AI287" s="54"/>
      <c r="AJ287" s="54"/>
      <c r="AK287" s="54"/>
      <c r="AL287" s="54"/>
      <c r="AO287" s="55"/>
      <c r="AP287" s="55"/>
    </row>
    <row r="288" ht="14.25" customHeight="1">
      <c r="E288" s="56"/>
      <c r="F288" s="56"/>
      <c r="U288" s="54"/>
      <c r="V288" s="54"/>
      <c r="AE288" s="54"/>
      <c r="AG288" s="54"/>
      <c r="AI288" s="54"/>
      <c r="AJ288" s="54"/>
      <c r="AK288" s="54"/>
      <c r="AL288" s="54"/>
      <c r="AO288" s="55"/>
      <c r="AP288" s="55"/>
    </row>
    <row r="289" ht="14.25" customHeight="1">
      <c r="E289" s="56"/>
      <c r="F289" s="56"/>
      <c r="U289" s="54"/>
      <c r="V289" s="54"/>
      <c r="AE289" s="54"/>
      <c r="AG289" s="54"/>
      <c r="AI289" s="54"/>
      <c r="AJ289" s="54"/>
      <c r="AK289" s="54"/>
      <c r="AL289" s="54"/>
      <c r="AO289" s="55"/>
      <c r="AP289" s="55"/>
    </row>
    <row r="290" ht="14.25" customHeight="1">
      <c r="E290" s="56"/>
      <c r="F290" s="56"/>
      <c r="U290" s="54"/>
      <c r="V290" s="54"/>
      <c r="AE290" s="54"/>
      <c r="AG290" s="54"/>
      <c r="AI290" s="54"/>
      <c r="AJ290" s="54"/>
      <c r="AK290" s="54"/>
      <c r="AL290" s="54"/>
      <c r="AO290" s="55"/>
      <c r="AP290" s="55"/>
    </row>
    <row r="291" ht="14.25" customHeight="1">
      <c r="E291" s="56"/>
      <c r="F291" s="56"/>
      <c r="U291" s="54"/>
      <c r="V291" s="54"/>
      <c r="AE291" s="54"/>
      <c r="AG291" s="54"/>
      <c r="AI291" s="54"/>
      <c r="AJ291" s="54"/>
      <c r="AK291" s="54"/>
      <c r="AL291" s="54"/>
      <c r="AO291" s="55"/>
      <c r="AP291" s="55"/>
    </row>
    <row r="292" ht="14.25" customHeight="1">
      <c r="E292" s="56"/>
      <c r="F292" s="56"/>
      <c r="U292" s="54"/>
      <c r="V292" s="54"/>
      <c r="AE292" s="54"/>
      <c r="AG292" s="54"/>
      <c r="AI292" s="54"/>
      <c r="AJ292" s="54"/>
      <c r="AK292" s="54"/>
      <c r="AL292" s="54"/>
      <c r="AO292" s="55"/>
      <c r="AP292" s="55"/>
    </row>
    <row r="293" ht="14.25" customHeight="1">
      <c r="E293" s="56"/>
      <c r="F293" s="56"/>
      <c r="U293" s="54"/>
      <c r="V293" s="54"/>
      <c r="AE293" s="54"/>
      <c r="AG293" s="54"/>
      <c r="AI293" s="54"/>
      <c r="AJ293" s="54"/>
      <c r="AK293" s="54"/>
      <c r="AL293" s="54"/>
      <c r="AO293" s="55"/>
      <c r="AP293" s="55"/>
    </row>
    <row r="294" ht="14.25" customHeight="1">
      <c r="E294" s="56"/>
      <c r="F294" s="56"/>
      <c r="U294" s="54"/>
      <c r="V294" s="54"/>
      <c r="AE294" s="54"/>
      <c r="AG294" s="54"/>
      <c r="AI294" s="54"/>
      <c r="AJ294" s="54"/>
      <c r="AK294" s="54"/>
      <c r="AL294" s="54"/>
      <c r="AO294" s="55"/>
      <c r="AP294" s="55"/>
    </row>
    <row r="295" ht="14.25" customHeight="1">
      <c r="E295" s="56"/>
      <c r="F295" s="56"/>
      <c r="U295" s="54"/>
      <c r="V295" s="54"/>
      <c r="AE295" s="54"/>
      <c r="AG295" s="54"/>
      <c r="AI295" s="54"/>
      <c r="AJ295" s="54"/>
      <c r="AK295" s="54"/>
      <c r="AL295" s="54"/>
      <c r="AO295" s="55"/>
      <c r="AP295" s="55"/>
    </row>
    <row r="296" ht="14.25" customHeight="1">
      <c r="E296" s="56"/>
      <c r="F296" s="56"/>
      <c r="U296" s="54"/>
      <c r="V296" s="54"/>
      <c r="AE296" s="54"/>
      <c r="AG296" s="54"/>
      <c r="AI296" s="54"/>
      <c r="AJ296" s="54"/>
      <c r="AK296" s="54"/>
      <c r="AL296" s="54"/>
      <c r="AO296" s="55"/>
      <c r="AP296" s="55"/>
    </row>
    <row r="297" ht="14.25" customHeight="1">
      <c r="E297" s="56"/>
      <c r="F297" s="56"/>
      <c r="U297" s="54"/>
      <c r="V297" s="54"/>
      <c r="AE297" s="54"/>
      <c r="AG297" s="54"/>
      <c r="AI297" s="54"/>
      <c r="AJ297" s="54"/>
      <c r="AK297" s="54"/>
      <c r="AL297" s="54"/>
      <c r="AO297" s="55"/>
      <c r="AP297" s="55"/>
    </row>
    <row r="298" ht="14.25" customHeight="1">
      <c r="E298" s="56"/>
      <c r="F298" s="56"/>
      <c r="U298" s="54"/>
      <c r="V298" s="54"/>
      <c r="AE298" s="54"/>
      <c r="AG298" s="54"/>
      <c r="AI298" s="54"/>
      <c r="AJ298" s="54"/>
      <c r="AK298" s="54"/>
      <c r="AL298" s="54"/>
      <c r="AO298" s="55"/>
      <c r="AP298" s="55"/>
    </row>
    <row r="299" ht="14.25" customHeight="1">
      <c r="E299" s="56"/>
      <c r="F299" s="56"/>
      <c r="U299" s="54"/>
      <c r="V299" s="54"/>
      <c r="AE299" s="54"/>
      <c r="AG299" s="54"/>
      <c r="AI299" s="54"/>
      <c r="AJ299" s="54"/>
      <c r="AK299" s="54"/>
      <c r="AL299" s="54"/>
      <c r="AO299" s="55"/>
      <c r="AP299" s="55"/>
    </row>
    <row r="300" ht="14.25" customHeight="1">
      <c r="E300" s="56"/>
      <c r="F300" s="56"/>
      <c r="U300" s="54"/>
      <c r="V300" s="54"/>
      <c r="AE300" s="54"/>
      <c r="AG300" s="54"/>
      <c r="AI300" s="54"/>
      <c r="AJ300" s="54"/>
      <c r="AK300" s="54"/>
      <c r="AL300" s="54"/>
      <c r="AO300" s="55"/>
      <c r="AP300" s="55"/>
    </row>
    <row r="301" ht="14.25" customHeight="1">
      <c r="E301" s="56"/>
      <c r="F301" s="56"/>
      <c r="U301" s="54"/>
      <c r="V301" s="54"/>
      <c r="AE301" s="54"/>
      <c r="AG301" s="54"/>
      <c r="AI301" s="54"/>
      <c r="AJ301" s="54"/>
      <c r="AK301" s="54"/>
      <c r="AL301" s="54"/>
      <c r="AO301" s="55"/>
      <c r="AP301" s="55"/>
    </row>
    <row r="302" ht="14.25" customHeight="1">
      <c r="E302" s="56"/>
      <c r="F302" s="56"/>
      <c r="U302" s="54"/>
      <c r="V302" s="54"/>
      <c r="AE302" s="54"/>
      <c r="AG302" s="54"/>
      <c r="AI302" s="54"/>
      <c r="AJ302" s="54"/>
      <c r="AK302" s="54"/>
      <c r="AL302" s="54"/>
      <c r="AO302" s="55"/>
      <c r="AP302" s="55"/>
    </row>
    <row r="303" ht="14.25" customHeight="1">
      <c r="E303" s="56"/>
      <c r="F303" s="56"/>
      <c r="U303" s="54"/>
      <c r="V303" s="54"/>
      <c r="AE303" s="54"/>
      <c r="AG303" s="54"/>
      <c r="AI303" s="54"/>
      <c r="AJ303" s="54"/>
      <c r="AK303" s="54"/>
      <c r="AL303" s="54"/>
      <c r="AO303" s="55"/>
      <c r="AP303" s="55"/>
    </row>
    <row r="304" ht="14.25" customHeight="1">
      <c r="E304" s="56"/>
      <c r="F304" s="56"/>
      <c r="U304" s="54"/>
      <c r="V304" s="54"/>
      <c r="AE304" s="54"/>
      <c r="AG304" s="54"/>
      <c r="AI304" s="54"/>
      <c r="AJ304" s="54"/>
      <c r="AK304" s="54"/>
      <c r="AL304" s="54"/>
      <c r="AO304" s="55"/>
      <c r="AP304" s="55"/>
    </row>
    <row r="305" ht="14.25" customHeight="1">
      <c r="E305" s="56"/>
      <c r="F305" s="56"/>
      <c r="U305" s="54"/>
      <c r="V305" s="54"/>
      <c r="AE305" s="54"/>
      <c r="AG305" s="54"/>
      <c r="AI305" s="54"/>
      <c r="AJ305" s="54"/>
      <c r="AK305" s="54"/>
      <c r="AL305" s="54"/>
      <c r="AO305" s="55"/>
      <c r="AP305" s="55"/>
    </row>
    <row r="306" ht="14.25" customHeight="1">
      <c r="E306" s="56"/>
      <c r="F306" s="56"/>
      <c r="U306" s="54"/>
      <c r="V306" s="54"/>
      <c r="AE306" s="54"/>
      <c r="AG306" s="54"/>
      <c r="AI306" s="54"/>
      <c r="AJ306" s="54"/>
      <c r="AK306" s="54"/>
      <c r="AL306" s="54"/>
      <c r="AO306" s="55"/>
      <c r="AP306" s="55"/>
    </row>
    <row r="307" ht="14.25" customHeight="1">
      <c r="E307" s="56"/>
      <c r="F307" s="56"/>
      <c r="U307" s="54"/>
      <c r="V307" s="54"/>
      <c r="AE307" s="54"/>
      <c r="AG307" s="54"/>
      <c r="AI307" s="54"/>
      <c r="AJ307" s="54"/>
      <c r="AK307" s="54"/>
      <c r="AL307" s="54"/>
      <c r="AO307" s="55"/>
      <c r="AP307" s="55"/>
    </row>
    <row r="308" ht="14.25" customHeight="1">
      <c r="E308" s="56"/>
      <c r="F308" s="56"/>
      <c r="U308" s="54"/>
      <c r="V308" s="54"/>
      <c r="AE308" s="54"/>
      <c r="AG308" s="54"/>
      <c r="AI308" s="54"/>
      <c r="AJ308" s="54"/>
      <c r="AK308" s="54"/>
      <c r="AL308" s="54"/>
      <c r="AO308" s="55"/>
      <c r="AP308" s="55"/>
    </row>
    <row r="309" ht="14.25" customHeight="1">
      <c r="E309" s="56"/>
      <c r="F309" s="56"/>
      <c r="U309" s="54"/>
      <c r="V309" s="54"/>
      <c r="AE309" s="54"/>
      <c r="AG309" s="54"/>
      <c r="AI309" s="54"/>
      <c r="AJ309" s="54"/>
      <c r="AK309" s="54"/>
      <c r="AL309" s="54"/>
      <c r="AO309" s="55"/>
      <c r="AP309" s="55"/>
    </row>
    <row r="310" ht="14.25" customHeight="1">
      <c r="E310" s="56"/>
      <c r="F310" s="56"/>
      <c r="U310" s="54"/>
      <c r="V310" s="54"/>
      <c r="AE310" s="54"/>
      <c r="AG310" s="54"/>
      <c r="AI310" s="54"/>
      <c r="AJ310" s="54"/>
      <c r="AK310" s="54"/>
      <c r="AL310" s="54"/>
      <c r="AO310" s="55"/>
      <c r="AP310" s="55"/>
    </row>
    <row r="311" ht="14.25" customHeight="1">
      <c r="E311" s="56"/>
      <c r="F311" s="56"/>
      <c r="U311" s="54"/>
      <c r="V311" s="54"/>
      <c r="AE311" s="54"/>
      <c r="AG311" s="54"/>
      <c r="AI311" s="54"/>
      <c r="AJ311" s="54"/>
      <c r="AK311" s="54"/>
      <c r="AL311" s="54"/>
      <c r="AO311" s="55"/>
      <c r="AP311" s="55"/>
    </row>
    <row r="312" ht="14.25" customHeight="1">
      <c r="E312" s="56"/>
      <c r="F312" s="56"/>
      <c r="U312" s="54"/>
      <c r="V312" s="54"/>
      <c r="AE312" s="54"/>
      <c r="AG312" s="54"/>
      <c r="AI312" s="54"/>
      <c r="AJ312" s="54"/>
      <c r="AK312" s="54"/>
      <c r="AL312" s="54"/>
      <c r="AO312" s="55"/>
      <c r="AP312" s="55"/>
    </row>
    <row r="313" ht="14.25" customHeight="1">
      <c r="E313" s="56"/>
      <c r="F313" s="56"/>
      <c r="U313" s="54"/>
      <c r="V313" s="54"/>
      <c r="AE313" s="54"/>
      <c r="AG313" s="54"/>
      <c r="AI313" s="54"/>
      <c r="AJ313" s="54"/>
      <c r="AK313" s="54"/>
      <c r="AL313" s="54"/>
      <c r="AO313" s="55"/>
      <c r="AP313" s="55"/>
    </row>
    <row r="314" ht="14.25" customHeight="1">
      <c r="E314" s="56"/>
      <c r="F314" s="56"/>
      <c r="U314" s="54"/>
      <c r="V314" s="54"/>
      <c r="AE314" s="54"/>
      <c r="AG314" s="54"/>
      <c r="AI314" s="54"/>
      <c r="AJ314" s="54"/>
      <c r="AK314" s="54"/>
      <c r="AL314" s="54"/>
      <c r="AO314" s="55"/>
      <c r="AP314" s="55"/>
    </row>
    <row r="315" ht="14.25" customHeight="1">
      <c r="E315" s="56"/>
      <c r="F315" s="56"/>
      <c r="U315" s="54"/>
      <c r="V315" s="54"/>
      <c r="AE315" s="54"/>
      <c r="AG315" s="54"/>
      <c r="AI315" s="54"/>
      <c r="AJ315" s="54"/>
      <c r="AK315" s="54"/>
      <c r="AL315" s="54"/>
      <c r="AO315" s="55"/>
      <c r="AP315" s="55"/>
    </row>
    <row r="316" ht="14.25" customHeight="1">
      <c r="E316" s="56"/>
      <c r="F316" s="56"/>
      <c r="U316" s="54"/>
      <c r="V316" s="54"/>
      <c r="AE316" s="54"/>
      <c r="AG316" s="54"/>
      <c r="AI316" s="54"/>
      <c r="AJ316" s="54"/>
      <c r="AK316" s="54"/>
      <c r="AL316" s="54"/>
      <c r="AO316" s="55"/>
      <c r="AP316" s="55"/>
    </row>
    <row r="317" ht="14.25" customHeight="1">
      <c r="E317" s="56"/>
      <c r="F317" s="56"/>
      <c r="U317" s="54"/>
      <c r="V317" s="54"/>
      <c r="AE317" s="54"/>
      <c r="AG317" s="54"/>
      <c r="AI317" s="54"/>
      <c r="AJ317" s="54"/>
      <c r="AK317" s="54"/>
      <c r="AL317" s="54"/>
      <c r="AO317" s="55"/>
      <c r="AP317" s="55"/>
    </row>
    <row r="318" ht="14.25" customHeight="1">
      <c r="E318" s="56"/>
      <c r="F318" s="56"/>
      <c r="U318" s="54"/>
      <c r="V318" s="54"/>
      <c r="AE318" s="54"/>
      <c r="AG318" s="54"/>
      <c r="AI318" s="54"/>
      <c r="AJ318" s="54"/>
      <c r="AK318" s="54"/>
      <c r="AL318" s="54"/>
      <c r="AO318" s="55"/>
      <c r="AP318" s="55"/>
    </row>
    <row r="319" ht="14.25" customHeight="1">
      <c r="E319" s="56"/>
      <c r="F319" s="56"/>
      <c r="U319" s="54"/>
      <c r="V319" s="54"/>
      <c r="AE319" s="54"/>
      <c r="AG319" s="54"/>
      <c r="AI319" s="54"/>
      <c r="AJ319" s="54"/>
      <c r="AK319" s="54"/>
      <c r="AL319" s="54"/>
      <c r="AO319" s="55"/>
      <c r="AP319" s="55"/>
    </row>
    <row r="320" ht="14.25" customHeight="1">
      <c r="E320" s="56"/>
      <c r="F320" s="56"/>
      <c r="U320" s="54"/>
      <c r="V320" s="54"/>
      <c r="AE320" s="54"/>
      <c r="AG320" s="54"/>
      <c r="AI320" s="54"/>
      <c r="AJ320" s="54"/>
      <c r="AK320" s="54"/>
      <c r="AL320" s="54"/>
      <c r="AO320" s="55"/>
      <c r="AP320" s="55"/>
    </row>
    <row r="321" ht="14.25" customHeight="1">
      <c r="E321" s="56"/>
      <c r="F321" s="56"/>
      <c r="U321" s="54"/>
      <c r="V321" s="54"/>
      <c r="AE321" s="54"/>
      <c r="AG321" s="54"/>
      <c r="AI321" s="54"/>
      <c r="AJ321" s="54"/>
      <c r="AK321" s="54"/>
      <c r="AL321" s="54"/>
      <c r="AO321" s="55"/>
      <c r="AP321" s="55"/>
    </row>
    <row r="322" ht="14.25" customHeight="1">
      <c r="E322" s="56"/>
      <c r="F322" s="56"/>
      <c r="U322" s="54"/>
      <c r="V322" s="54"/>
      <c r="AE322" s="54"/>
      <c r="AG322" s="54"/>
      <c r="AI322" s="54"/>
      <c r="AJ322" s="54"/>
      <c r="AK322" s="54"/>
      <c r="AL322" s="54"/>
      <c r="AO322" s="55"/>
      <c r="AP322" s="55"/>
    </row>
    <row r="323" ht="14.25" customHeight="1">
      <c r="E323" s="56"/>
      <c r="F323" s="56"/>
      <c r="U323" s="54"/>
      <c r="V323" s="54"/>
      <c r="AE323" s="54"/>
      <c r="AG323" s="54"/>
      <c r="AI323" s="54"/>
      <c r="AJ323" s="54"/>
      <c r="AK323" s="54"/>
      <c r="AL323" s="54"/>
      <c r="AO323" s="55"/>
      <c r="AP323" s="55"/>
    </row>
    <row r="324" ht="14.25" customHeight="1">
      <c r="E324" s="56"/>
      <c r="F324" s="56"/>
      <c r="U324" s="54"/>
      <c r="V324" s="54"/>
      <c r="AE324" s="54"/>
      <c r="AG324" s="54"/>
      <c r="AI324" s="54"/>
      <c r="AJ324" s="54"/>
      <c r="AK324" s="54"/>
      <c r="AL324" s="54"/>
      <c r="AO324" s="55"/>
      <c r="AP324" s="55"/>
    </row>
    <row r="325" ht="14.25" customHeight="1">
      <c r="E325" s="56"/>
      <c r="F325" s="56"/>
      <c r="U325" s="54"/>
      <c r="V325" s="54"/>
      <c r="AE325" s="54"/>
      <c r="AG325" s="54"/>
      <c r="AI325" s="54"/>
      <c r="AJ325" s="54"/>
      <c r="AK325" s="54"/>
      <c r="AL325" s="54"/>
      <c r="AO325" s="55"/>
      <c r="AP325" s="55"/>
    </row>
    <row r="326" ht="14.25" customHeight="1">
      <c r="E326" s="56"/>
      <c r="F326" s="56"/>
      <c r="U326" s="54"/>
      <c r="V326" s="54"/>
      <c r="AE326" s="54"/>
      <c r="AG326" s="54"/>
      <c r="AI326" s="54"/>
      <c r="AJ326" s="54"/>
      <c r="AK326" s="54"/>
      <c r="AL326" s="54"/>
      <c r="AO326" s="55"/>
      <c r="AP326" s="55"/>
    </row>
    <row r="327" ht="14.25" customHeight="1">
      <c r="E327" s="56"/>
      <c r="F327" s="56"/>
      <c r="U327" s="54"/>
      <c r="V327" s="54"/>
      <c r="AE327" s="54"/>
      <c r="AG327" s="54"/>
      <c r="AI327" s="54"/>
      <c r="AJ327" s="54"/>
      <c r="AK327" s="54"/>
      <c r="AL327" s="54"/>
      <c r="AO327" s="55"/>
      <c r="AP327" s="55"/>
    </row>
    <row r="328" ht="14.25" customHeight="1">
      <c r="E328" s="56"/>
      <c r="F328" s="56"/>
      <c r="U328" s="54"/>
      <c r="V328" s="54"/>
      <c r="AE328" s="54"/>
      <c r="AG328" s="54"/>
      <c r="AI328" s="54"/>
      <c r="AJ328" s="54"/>
      <c r="AK328" s="54"/>
      <c r="AL328" s="54"/>
      <c r="AO328" s="55"/>
      <c r="AP328" s="55"/>
    </row>
    <row r="329" ht="14.25" customHeight="1">
      <c r="E329" s="56"/>
      <c r="F329" s="56"/>
      <c r="U329" s="54"/>
      <c r="V329" s="54"/>
      <c r="AE329" s="54"/>
      <c r="AG329" s="54"/>
      <c r="AI329" s="54"/>
      <c r="AJ329" s="54"/>
      <c r="AK329" s="54"/>
      <c r="AL329" s="54"/>
      <c r="AO329" s="55"/>
      <c r="AP329" s="55"/>
    </row>
    <row r="330" ht="14.25" customHeight="1">
      <c r="E330" s="56"/>
      <c r="F330" s="56"/>
      <c r="U330" s="54"/>
      <c r="V330" s="54"/>
      <c r="AE330" s="54"/>
      <c r="AG330" s="54"/>
      <c r="AI330" s="54"/>
      <c r="AJ330" s="54"/>
      <c r="AK330" s="54"/>
      <c r="AL330" s="54"/>
      <c r="AO330" s="55"/>
      <c r="AP330" s="55"/>
    </row>
    <row r="331" ht="14.25" customHeight="1">
      <c r="E331" s="56"/>
      <c r="F331" s="56"/>
      <c r="U331" s="54"/>
      <c r="V331" s="54"/>
      <c r="AE331" s="54"/>
      <c r="AG331" s="54"/>
      <c r="AI331" s="54"/>
      <c r="AJ331" s="54"/>
      <c r="AK331" s="54"/>
      <c r="AL331" s="54"/>
      <c r="AO331" s="55"/>
      <c r="AP331" s="55"/>
    </row>
    <row r="332" ht="14.25" customHeight="1">
      <c r="E332" s="56"/>
      <c r="F332" s="56"/>
      <c r="U332" s="54"/>
      <c r="V332" s="54"/>
      <c r="AE332" s="54"/>
      <c r="AG332" s="54"/>
      <c r="AI332" s="54"/>
      <c r="AJ332" s="54"/>
      <c r="AK332" s="54"/>
      <c r="AL332" s="54"/>
      <c r="AO332" s="55"/>
      <c r="AP332" s="55"/>
    </row>
    <row r="333" ht="14.25" customHeight="1">
      <c r="E333" s="56"/>
      <c r="F333" s="56"/>
      <c r="U333" s="54"/>
      <c r="V333" s="54"/>
      <c r="AE333" s="54"/>
      <c r="AG333" s="54"/>
      <c r="AI333" s="54"/>
      <c r="AJ333" s="54"/>
      <c r="AK333" s="54"/>
      <c r="AL333" s="54"/>
      <c r="AO333" s="55"/>
      <c r="AP333" s="55"/>
    </row>
    <row r="334" ht="14.25" customHeight="1">
      <c r="E334" s="56"/>
      <c r="F334" s="56"/>
      <c r="U334" s="54"/>
      <c r="V334" s="54"/>
      <c r="AE334" s="54"/>
      <c r="AG334" s="54"/>
      <c r="AI334" s="54"/>
      <c r="AJ334" s="54"/>
      <c r="AK334" s="54"/>
      <c r="AL334" s="54"/>
      <c r="AO334" s="55"/>
      <c r="AP334" s="55"/>
    </row>
    <row r="335" ht="14.25" customHeight="1">
      <c r="E335" s="56"/>
      <c r="F335" s="56"/>
      <c r="U335" s="54"/>
      <c r="V335" s="54"/>
      <c r="AE335" s="54"/>
      <c r="AG335" s="54"/>
      <c r="AI335" s="54"/>
      <c r="AJ335" s="54"/>
      <c r="AK335" s="54"/>
      <c r="AL335" s="54"/>
      <c r="AO335" s="55"/>
      <c r="AP335" s="55"/>
    </row>
    <row r="336" ht="14.25" customHeight="1">
      <c r="E336" s="56"/>
      <c r="F336" s="56"/>
      <c r="U336" s="54"/>
      <c r="V336" s="54"/>
      <c r="AE336" s="54"/>
      <c r="AG336" s="54"/>
      <c r="AI336" s="54"/>
      <c r="AJ336" s="54"/>
      <c r="AK336" s="54"/>
      <c r="AL336" s="54"/>
      <c r="AO336" s="55"/>
      <c r="AP336" s="55"/>
    </row>
    <row r="337" ht="14.25" customHeight="1">
      <c r="E337" s="56"/>
      <c r="F337" s="56"/>
      <c r="U337" s="54"/>
      <c r="V337" s="54"/>
      <c r="AE337" s="54"/>
      <c r="AG337" s="54"/>
      <c r="AI337" s="54"/>
      <c r="AJ337" s="54"/>
      <c r="AK337" s="54"/>
      <c r="AL337" s="54"/>
      <c r="AO337" s="55"/>
      <c r="AP337" s="55"/>
    </row>
    <row r="338" ht="14.25" customHeight="1">
      <c r="E338" s="56"/>
      <c r="F338" s="56"/>
      <c r="U338" s="54"/>
      <c r="V338" s="54"/>
      <c r="AE338" s="54"/>
      <c r="AG338" s="54"/>
      <c r="AI338" s="54"/>
      <c r="AJ338" s="54"/>
      <c r="AK338" s="54"/>
      <c r="AL338" s="54"/>
      <c r="AO338" s="55"/>
      <c r="AP338" s="55"/>
    </row>
    <row r="339" ht="14.25" customHeight="1">
      <c r="E339" s="56"/>
      <c r="F339" s="56"/>
      <c r="U339" s="54"/>
      <c r="V339" s="54"/>
      <c r="AE339" s="54"/>
      <c r="AG339" s="54"/>
      <c r="AI339" s="54"/>
      <c r="AJ339" s="54"/>
      <c r="AK339" s="54"/>
      <c r="AL339" s="54"/>
      <c r="AO339" s="55"/>
      <c r="AP339" s="55"/>
    </row>
    <row r="340" ht="14.25" customHeight="1">
      <c r="E340" s="56"/>
      <c r="F340" s="56"/>
      <c r="U340" s="54"/>
      <c r="V340" s="54"/>
      <c r="AE340" s="54"/>
      <c r="AG340" s="54"/>
      <c r="AI340" s="54"/>
      <c r="AJ340" s="54"/>
      <c r="AK340" s="54"/>
      <c r="AL340" s="54"/>
      <c r="AO340" s="55"/>
      <c r="AP340" s="55"/>
    </row>
    <row r="341" ht="14.25" customHeight="1">
      <c r="E341" s="56"/>
      <c r="F341" s="56"/>
      <c r="U341" s="54"/>
      <c r="V341" s="54"/>
      <c r="AE341" s="54"/>
      <c r="AG341" s="54"/>
      <c r="AI341" s="54"/>
      <c r="AJ341" s="54"/>
      <c r="AK341" s="54"/>
      <c r="AL341" s="54"/>
      <c r="AO341" s="55"/>
      <c r="AP341" s="55"/>
    </row>
    <row r="342" ht="14.25" customHeight="1">
      <c r="E342" s="56"/>
      <c r="F342" s="56"/>
      <c r="U342" s="54"/>
      <c r="V342" s="54"/>
      <c r="AE342" s="54"/>
      <c r="AG342" s="54"/>
      <c r="AI342" s="54"/>
      <c r="AJ342" s="54"/>
      <c r="AK342" s="54"/>
      <c r="AL342" s="54"/>
      <c r="AO342" s="55"/>
      <c r="AP342" s="55"/>
    </row>
    <row r="343" ht="14.25" customHeight="1">
      <c r="E343" s="56"/>
      <c r="F343" s="56"/>
      <c r="U343" s="54"/>
      <c r="V343" s="54"/>
      <c r="AE343" s="54"/>
      <c r="AG343" s="54"/>
      <c r="AI343" s="54"/>
      <c r="AJ343" s="54"/>
      <c r="AK343" s="54"/>
      <c r="AL343" s="54"/>
      <c r="AO343" s="55"/>
      <c r="AP343" s="55"/>
    </row>
    <row r="344" ht="14.25" customHeight="1">
      <c r="E344" s="56"/>
      <c r="F344" s="56"/>
      <c r="U344" s="54"/>
      <c r="V344" s="54"/>
      <c r="AE344" s="54"/>
      <c r="AG344" s="54"/>
      <c r="AI344" s="54"/>
      <c r="AJ344" s="54"/>
      <c r="AK344" s="54"/>
      <c r="AL344" s="54"/>
      <c r="AO344" s="55"/>
      <c r="AP344" s="55"/>
    </row>
    <row r="345" ht="14.25" customHeight="1">
      <c r="E345" s="56"/>
      <c r="F345" s="56"/>
      <c r="U345" s="54"/>
      <c r="V345" s="54"/>
      <c r="AE345" s="54"/>
      <c r="AG345" s="54"/>
      <c r="AI345" s="54"/>
      <c r="AJ345" s="54"/>
      <c r="AK345" s="54"/>
      <c r="AL345" s="54"/>
      <c r="AO345" s="55"/>
      <c r="AP345" s="55"/>
    </row>
    <row r="346" ht="14.25" customHeight="1">
      <c r="E346" s="56"/>
      <c r="F346" s="56"/>
      <c r="U346" s="54"/>
      <c r="V346" s="54"/>
      <c r="AE346" s="54"/>
      <c r="AG346" s="54"/>
      <c r="AI346" s="54"/>
      <c r="AJ346" s="54"/>
      <c r="AK346" s="54"/>
      <c r="AL346" s="54"/>
      <c r="AO346" s="55"/>
      <c r="AP346" s="55"/>
    </row>
    <row r="347" ht="14.25" customHeight="1">
      <c r="E347" s="56"/>
      <c r="F347" s="56"/>
      <c r="U347" s="54"/>
      <c r="V347" s="54"/>
      <c r="AE347" s="54"/>
      <c r="AG347" s="54"/>
      <c r="AI347" s="54"/>
      <c r="AJ347" s="54"/>
      <c r="AK347" s="54"/>
      <c r="AL347" s="54"/>
      <c r="AO347" s="55"/>
      <c r="AP347" s="55"/>
    </row>
    <row r="348" ht="14.25" customHeight="1">
      <c r="E348" s="56"/>
      <c r="F348" s="56"/>
      <c r="U348" s="54"/>
      <c r="V348" s="54"/>
      <c r="AE348" s="54"/>
      <c r="AG348" s="54"/>
      <c r="AI348" s="54"/>
      <c r="AJ348" s="54"/>
      <c r="AK348" s="54"/>
      <c r="AL348" s="54"/>
      <c r="AO348" s="55"/>
      <c r="AP348" s="55"/>
    </row>
    <row r="349" ht="14.25" customHeight="1">
      <c r="E349" s="56"/>
      <c r="F349" s="56"/>
      <c r="U349" s="54"/>
      <c r="V349" s="54"/>
      <c r="AE349" s="54"/>
      <c r="AG349" s="54"/>
      <c r="AI349" s="54"/>
      <c r="AJ349" s="54"/>
      <c r="AK349" s="54"/>
      <c r="AL349" s="54"/>
      <c r="AO349" s="55"/>
      <c r="AP349" s="55"/>
    </row>
    <row r="350" ht="14.25" customHeight="1">
      <c r="E350" s="56"/>
      <c r="F350" s="56"/>
      <c r="U350" s="54"/>
      <c r="V350" s="54"/>
      <c r="AE350" s="54"/>
      <c r="AG350" s="54"/>
      <c r="AI350" s="54"/>
      <c r="AJ350" s="54"/>
      <c r="AK350" s="54"/>
      <c r="AL350" s="54"/>
      <c r="AO350" s="55"/>
      <c r="AP350" s="55"/>
    </row>
    <row r="351" ht="14.25" customHeight="1">
      <c r="E351" s="56"/>
      <c r="F351" s="56"/>
      <c r="U351" s="54"/>
      <c r="V351" s="54"/>
      <c r="AE351" s="54"/>
      <c r="AG351" s="54"/>
      <c r="AI351" s="54"/>
      <c r="AJ351" s="54"/>
      <c r="AK351" s="54"/>
      <c r="AL351" s="54"/>
      <c r="AO351" s="55"/>
      <c r="AP351" s="55"/>
    </row>
    <row r="352" ht="14.25" customHeight="1">
      <c r="E352" s="56"/>
      <c r="F352" s="56"/>
      <c r="U352" s="54"/>
      <c r="V352" s="54"/>
      <c r="AE352" s="54"/>
      <c r="AG352" s="54"/>
      <c r="AI352" s="54"/>
      <c r="AJ352" s="54"/>
      <c r="AK352" s="54"/>
      <c r="AL352" s="54"/>
      <c r="AO352" s="55"/>
      <c r="AP352" s="55"/>
    </row>
    <row r="353" ht="14.25" customHeight="1">
      <c r="E353" s="56"/>
      <c r="F353" s="56"/>
      <c r="U353" s="54"/>
      <c r="V353" s="54"/>
      <c r="AE353" s="54"/>
      <c r="AG353" s="54"/>
      <c r="AI353" s="54"/>
      <c r="AJ353" s="54"/>
      <c r="AK353" s="54"/>
      <c r="AL353" s="54"/>
      <c r="AO353" s="55"/>
      <c r="AP353" s="55"/>
    </row>
    <row r="354" ht="14.25" customHeight="1">
      <c r="E354" s="56"/>
      <c r="F354" s="56"/>
      <c r="U354" s="54"/>
      <c r="V354" s="54"/>
      <c r="AE354" s="54"/>
      <c r="AG354" s="54"/>
      <c r="AI354" s="54"/>
      <c r="AJ354" s="54"/>
      <c r="AK354" s="54"/>
      <c r="AL354" s="54"/>
      <c r="AO354" s="55"/>
      <c r="AP354" s="55"/>
    </row>
    <row r="355" ht="14.25" customHeight="1">
      <c r="E355" s="56"/>
      <c r="F355" s="56"/>
      <c r="U355" s="54"/>
      <c r="V355" s="54"/>
      <c r="AE355" s="54"/>
      <c r="AG355" s="54"/>
      <c r="AI355" s="54"/>
      <c r="AJ355" s="54"/>
      <c r="AK355" s="54"/>
      <c r="AL355" s="54"/>
      <c r="AO355" s="55"/>
      <c r="AP355" s="55"/>
    </row>
    <row r="356" ht="14.25" customHeight="1">
      <c r="E356" s="56"/>
      <c r="F356" s="56"/>
      <c r="U356" s="54"/>
      <c r="V356" s="54"/>
      <c r="AE356" s="54"/>
      <c r="AG356" s="54"/>
      <c r="AI356" s="54"/>
      <c r="AJ356" s="54"/>
      <c r="AK356" s="54"/>
      <c r="AL356" s="54"/>
      <c r="AO356" s="55"/>
      <c r="AP356" s="55"/>
    </row>
    <row r="357" ht="14.25" customHeight="1">
      <c r="E357" s="56"/>
      <c r="F357" s="56"/>
      <c r="U357" s="54"/>
      <c r="V357" s="54"/>
      <c r="AE357" s="54"/>
      <c r="AG357" s="54"/>
      <c r="AI357" s="54"/>
      <c r="AJ357" s="54"/>
      <c r="AK357" s="54"/>
      <c r="AL357" s="54"/>
      <c r="AO357" s="55"/>
      <c r="AP357" s="55"/>
    </row>
    <row r="358" ht="14.25" customHeight="1">
      <c r="E358" s="56"/>
      <c r="F358" s="56"/>
      <c r="U358" s="54"/>
      <c r="V358" s="54"/>
      <c r="AE358" s="54"/>
      <c r="AG358" s="54"/>
      <c r="AI358" s="54"/>
      <c r="AJ358" s="54"/>
      <c r="AK358" s="54"/>
      <c r="AL358" s="54"/>
      <c r="AO358" s="55"/>
      <c r="AP358" s="55"/>
    </row>
    <row r="359" ht="14.25" customHeight="1">
      <c r="E359" s="56"/>
      <c r="F359" s="56"/>
      <c r="U359" s="54"/>
      <c r="V359" s="54"/>
      <c r="AE359" s="54"/>
      <c r="AG359" s="54"/>
      <c r="AI359" s="54"/>
      <c r="AJ359" s="54"/>
      <c r="AK359" s="54"/>
      <c r="AL359" s="54"/>
      <c r="AO359" s="55"/>
      <c r="AP359" s="55"/>
    </row>
    <row r="360" ht="14.25" customHeight="1">
      <c r="E360" s="56"/>
      <c r="F360" s="56"/>
      <c r="U360" s="54"/>
      <c r="V360" s="54"/>
      <c r="AE360" s="54"/>
      <c r="AG360" s="54"/>
      <c r="AI360" s="54"/>
      <c r="AJ360" s="54"/>
      <c r="AK360" s="54"/>
      <c r="AL360" s="54"/>
      <c r="AO360" s="55"/>
      <c r="AP360" s="55"/>
    </row>
    <row r="361" ht="14.25" customHeight="1">
      <c r="E361" s="56"/>
      <c r="F361" s="56"/>
      <c r="U361" s="54"/>
      <c r="V361" s="54"/>
      <c r="AE361" s="54"/>
      <c r="AG361" s="54"/>
      <c r="AI361" s="54"/>
      <c r="AJ361" s="54"/>
      <c r="AK361" s="54"/>
      <c r="AL361" s="54"/>
      <c r="AO361" s="55"/>
      <c r="AP361" s="55"/>
    </row>
    <row r="362" ht="14.25" customHeight="1">
      <c r="E362" s="56"/>
      <c r="F362" s="56"/>
      <c r="U362" s="54"/>
      <c r="V362" s="54"/>
      <c r="AE362" s="54"/>
      <c r="AG362" s="54"/>
      <c r="AI362" s="54"/>
      <c r="AJ362" s="54"/>
      <c r="AK362" s="54"/>
      <c r="AL362" s="54"/>
      <c r="AO362" s="55"/>
      <c r="AP362" s="55"/>
    </row>
    <row r="363" ht="14.25" customHeight="1">
      <c r="E363" s="56"/>
      <c r="F363" s="56"/>
      <c r="U363" s="54"/>
      <c r="V363" s="54"/>
      <c r="AE363" s="54"/>
      <c r="AG363" s="54"/>
      <c r="AI363" s="54"/>
      <c r="AJ363" s="54"/>
      <c r="AK363" s="54"/>
      <c r="AL363" s="54"/>
      <c r="AO363" s="55"/>
      <c r="AP363" s="55"/>
    </row>
    <row r="364" ht="14.25" customHeight="1">
      <c r="E364" s="56"/>
      <c r="F364" s="56"/>
      <c r="U364" s="54"/>
      <c r="V364" s="54"/>
      <c r="AE364" s="54"/>
      <c r="AG364" s="54"/>
      <c r="AI364" s="54"/>
      <c r="AJ364" s="54"/>
      <c r="AK364" s="54"/>
      <c r="AL364" s="54"/>
      <c r="AO364" s="55"/>
      <c r="AP364" s="55"/>
    </row>
    <row r="365" ht="14.25" customHeight="1">
      <c r="E365" s="56"/>
      <c r="F365" s="56"/>
      <c r="U365" s="54"/>
      <c r="V365" s="54"/>
      <c r="AE365" s="54"/>
      <c r="AG365" s="54"/>
      <c r="AI365" s="54"/>
      <c r="AJ365" s="54"/>
      <c r="AK365" s="54"/>
      <c r="AL365" s="54"/>
      <c r="AO365" s="55"/>
      <c r="AP365" s="55"/>
    </row>
    <row r="366" ht="14.25" customHeight="1">
      <c r="E366" s="56"/>
      <c r="F366" s="56"/>
      <c r="U366" s="54"/>
      <c r="V366" s="54"/>
      <c r="AE366" s="54"/>
      <c r="AG366" s="54"/>
      <c r="AI366" s="54"/>
      <c r="AJ366" s="54"/>
      <c r="AK366" s="54"/>
      <c r="AL366" s="54"/>
      <c r="AO366" s="55"/>
      <c r="AP366" s="55"/>
    </row>
    <row r="367" ht="14.25" customHeight="1">
      <c r="E367" s="56"/>
      <c r="F367" s="56"/>
      <c r="U367" s="54"/>
      <c r="V367" s="54"/>
      <c r="AE367" s="54"/>
      <c r="AG367" s="54"/>
      <c r="AI367" s="54"/>
      <c r="AJ367" s="54"/>
      <c r="AK367" s="54"/>
      <c r="AL367" s="54"/>
      <c r="AO367" s="55"/>
      <c r="AP367" s="55"/>
    </row>
    <row r="368" ht="14.25" customHeight="1">
      <c r="E368" s="56"/>
      <c r="F368" s="56"/>
      <c r="U368" s="54"/>
      <c r="V368" s="54"/>
      <c r="AE368" s="54"/>
      <c r="AG368" s="54"/>
      <c r="AI368" s="54"/>
      <c r="AJ368" s="54"/>
      <c r="AK368" s="54"/>
      <c r="AL368" s="54"/>
      <c r="AO368" s="55"/>
      <c r="AP368" s="55"/>
    </row>
    <row r="369" ht="14.25" customHeight="1">
      <c r="E369" s="56"/>
      <c r="F369" s="56"/>
      <c r="U369" s="54"/>
      <c r="V369" s="54"/>
      <c r="AE369" s="54"/>
      <c r="AG369" s="54"/>
      <c r="AI369" s="54"/>
      <c r="AJ369" s="54"/>
      <c r="AK369" s="54"/>
      <c r="AL369" s="54"/>
      <c r="AO369" s="55"/>
      <c r="AP369" s="55"/>
    </row>
    <row r="370" ht="14.25" customHeight="1">
      <c r="E370" s="56"/>
      <c r="F370" s="56"/>
      <c r="U370" s="54"/>
      <c r="V370" s="54"/>
      <c r="AE370" s="54"/>
      <c r="AG370" s="54"/>
      <c r="AI370" s="54"/>
      <c r="AJ370" s="54"/>
      <c r="AK370" s="54"/>
      <c r="AL370" s="54"/>
      <c r="AO370" s="55"/>
      <c r="AP370" s="55"/>
    </row>
    <row r="371" ht="14.25" customHeight="1">
      <c r="E371" s="56"/>
      <c r="F371" s="56"/>
      <c r="U371" s="54"/>
      <c r="V371" s="54"/>
      <c r="AE371" s="54"/>
      <c r="AG371" s="54"/>
      <c r="AI371" s="54"/>
      <c r="AJ371" s="54"/>
      <c r="AK371" s="54"/>
      <c r="AL371" s="54"/>
      <c r="AO371" s="55"/>
      <c r="AP371" s="55"/>
    </row>
    <row r="372" ht="14.25" customHeight="1">
      <c r="E372" s="56"/>
      <c r="F372" s="56"/>
      <c r="U372" s="54"/>
      <c r="V372" s="54"/>
      <c r="AE372" s="54"/>
      <c r="AG372" s="54"/>
      <c r="AI372" s="54"/>
      <c r="AJ372" s="54"/>
      <c r="AK372" s="54"/>
      <c r="AL372" s="54"/>
      <c r="AO372" s="55"/>
      <c r="AP372" s="55"/>
    </row>
    <row r="373" ht="14.25" customHeight="1">
      <c r="E373" s="56"/>
      <c r="F373" s="56"/>
      <c r="U373" s="54"/>
      <c r="V373" s="54"/>
      <c r="AE373" s="54"/>
      <c r="AG373" s="54"/>
      <c r="AI373" s="54"/>
      <c r="AJ373" s="54"/>
      <c r="AK373" s="54"/>
      <c r="AL373" s="54"/>
      <c r="AO373" s="55"/>
      <c r="AP373" s="55"/>
    </row>
    <row r="374" ht="14.25" customHeight="1">
      <c r="E374" s="56"/>
      <c r="F374" s="56"/>
      <c r="U374" s="54"/>
      <c r="V374" s="54"/>
      <c r="AE374" s="54"/>
      <c r="AG374" s="54"/>
      <c r="AI374" s="54"/>
      <c r="AJ374" s="54"/>
      <c r="AK374" s="54"/>
      <c r="AL374" s="54"/>
      <c r="AO374" s="55"/>
      <c r="AP374" s="55"/>
    </row>
    <row r="375" ht="14.25" customHeight="1">
      <c r="E375" s="56"/>
      <c r="F375" s="56"/>
      <c r="U375" s="54"/>
      <c r="V375" s="54"/>
      <c r="AE375" s="54"/>
      <c r="AG375" s="54"/>
      <c r="AI375" s="54"/>
      <c r="AJ375" s="54"/>
      <c r="AK375" s="54"/>
      <c r="AL375" s="54"/>
      <c r="AO375" s="55"/>
      <c r="AP375" s="55"/>
    </row>
    <row r="376" ht="14.25" customHeight="1">
      <c r="E376" s="56"/>
      <c r="F376" s="56"/>
      <c r="U376" s="54"/>
      <c r="V376" s="54"/>
      <c r="AE376" s="54"/>
      <c r="AG376" s="54"/>
      <c r="AI376" s="54"/>
      <c r="AJ376" s="54"/>
      <c r="AK376" s="54"/>
      <c r="AL376" s="54"/>
      <c r="AO376" s="55"/>
      <c r="AP376" s="55"/>
    </row>
    <row r="377" ht="14.25" customHeight="1">
      <c r="E377" s="56"/>
      <c r="F377" s="56"/>
      <c r="U377" s="54"/>
      <c r="V377" s="54"/>
      <c r="AE377" s="54"/>
      <c r="AG377" s="54"/>
      <c r="AI377" s="54"/>
      <c r="AJ377" s="54"/>
      <c r="AK377" s="54"/>
      <c r="AL377" s="54"/>
      <c r="AO377" s="55"/>
      <c r="AP377" s="55"/>
    </row>
    <row r="378" ht="14.25" customHeight="1">
      <c r="E378" s="56"/>
      <c r="F378" s="56"/>
      <c r="U378" s="54"/>
      <c r="V378" s="54"/>
      <c r="AE378" s="54"/>
      <c r="AG378" s="54"/>
      <c r="AI378" s="54"/>
      <c r="AJ378" s="54"/>
      <c r="AK378" s="54"/>
      <c r="AL378" s="54"/>
      <c r="AO378" s="55"/>
      <c r="AP378" s="55"/>
    </row>
    <row r="379" ht="14.25" customHeight="1">
      <c r="E379" s="56"/>
      <c r="F379" s="56"/>
      <c r="U379" s="54"/>
      <c r="V379" s="54"/>
      <c r="AE379" s="54"/>
      <c r="AG379" s="54"/>
      <c r="AI379" s="54"/>
      <c r="AJ379" s="54"/>
      <c r="AK379" s="54"/>
      <c r="AL379" s="54"/>
      <c r="AO379" s="55"/>
      <c r="AP379" s="55"/>
    </row>
    <row r="380" ht="14.25" customHeight="1">
      <c r="E380" s="56"/>
      <c r="F380" s="56"/>
      <c r="U380" s="54"/>
      <c r="V380" s="54"/>
      <c r="AE380" s="54"/>
      <c r="AG380" s="54"/>
      <c r="AI380" s="54"/>
      <c r="AJ380" s="54"/>
      <c r="AK380" s="54"/>
      <c r="AL380" s="54"/>
      <c r="AO380" s="55"/>
      <c r="AP380" s="55"/>
    </row>
    <row r="381" ht="14.25" customHeight="1">
      <c r="E381" s="56"/>
      <c r="F381" s="56"/>
      <c r="U381" s="54"/>
      <c r="V381" s="54"/>
      <c r="AE381" s="54"/>
      <c r="AG381" s="54"/>
      <c r="AI381" s="54"/>
      <c r="AJ381" s="54"/>
      <c r="AK381" s="54"/>
      <c r="AL381" s="54"/>
      <c r="AO381" s="55"/>
      <c r="AP381" s="55"/>
    </row>
    <row r="382" ht="14.25" customHeight="1">
      <c r="E382" s="56"/>
      <c r="F382" s="56"/>
      <c r="U382" s="54"/>
      <c r="V382" s="54"/>
      <c r="AE382" s="54"/>
      <c r="AG382" s="54"/>
      <c r="AI382" s="54"/>
      <c r="AJ382" s="54"/>
      <c r="AK382" s="54"/>
      <c r="AL382" s="54"/>
      <c r="AO382" s="55"/>
      <c r="AP382" s="55"/>
    </row>
    <row r="383" ht="14.25" customHeight="1">
      <c r="E383" s="56"/>
      <c r="F383" s="56"/>
      <c r="U383" s="54"/>
      <c r="V383" s="54"/>
      <c r="AE383" s="54"/>
      <c r="AG383" s="54"/>
      <c r="AI383" s="54"/>
      <c r="AJ383" s="54"/>
      <c r="AK383" s="54"/>
      <c r="AL383" s="54"/>
      <c r="AO383" s="55"/>
      <c r="AP383" s="55"/>
    </row>
    <row r="384" ht="14.25" customHeight="1">
      <c r="E384" s="56"/>
      <c r="F384" s="56"/>
      <c r="U384" s="54"/>
      <c r="V384" s="54"/>
      <c r="AE384" s="54"/>
      <c r="AG384" s="54"/>
      <c r="AI384" s="54"/>
      <c r="AJ384" s="54"/>
      <c r="AK384" s="54"/>
      <c r="AL384" s="54"/>
      <c r="AO384" s="55"/>
      <c r="AP384" s="55"/>
    </row>
    <row r="385" ht="14.25" customHeight="1">
      <c r="E385" s="56"/>
      <c r="F385" s="56"/>
      <c r="U385" s="54"/>
      <c r="V385" s="54"/>
      <c r="AE385" s="54"/>
      <c r="AG385" s="54"/>
      <c r="AI385" s="54"/>
      <c r="AJ385" s="54"/>
      <c r="AK385" s="54"/>
      <c r="AL385" s="54"/>
      <c r="AO385" s="55"/>
      <c r="AP385" s="55"/>
    </row>
    <row r="386" ht="14.25" customHeight="1">
      <c r="E386" s="56"/>
      <c r="F386" s="56"/>
      <c r="U386" s="54"/>
      <c r="V386" s="54"/>
      <c r="AE386" s="54"/>
      <c r="AG386" s="54"/>
      <c r="AI386" s="54"/>
      <c r="AJ386" s="54"/>
      <c r="AK386" s="54"/>
      <c r="AL386" s="54"/>
      <c r="AO386" s="55"/>
      <c r="AP386" s="55"/>
    </row>
    <row r="387" ht="14.25" customHeight="1">
      <c r="E387" s="56"/>
      <c r="F387" s="56"/>
      <c r="U387" s="54"/>
      <c r="V387" s="54"/>
      <c r="AE387" s="54"/>
      <c r="AG387" s="54"/>
      <c r="AI387" s="54"/>
      <c r="AJ387" s="54"/>
      <c r="AK387" s="54"/>
      <c r="AL387" s="54"/>
      <c r="AO387" s="55"/>
      <c r="AP387" s="55"/>
    </row>
    <row r="388" ht="14.25" customHeight="1">
      <c r="E388" s="56"/>
      <c r="F388" s="56"/>
      <c r="U388" s="54"/>
      <c r="V388" s="54"/>
      <c r="AE388" s="54"/>
      <c r="AG388" s="54"/>
      <c r="AI388" s="54"/>
      <c r="AJ388" s="54"/>
      <c r="AK388" s="54"/>
      <c r="AL388" s="54"/>
      <c r="AO388" s="55"/>
      <c r="AP388" s="55"/>
    </row>
    <row r="389" ht="14.25" customHeight="1">
      <c r="E389" s="56"/>
      <c r="F389" s="56"/>
      <c r="U389" s="54"/>
      <c r="V389" s="54"/>
      <c r="AE389" s="54"/>
      <c r="AG389" s="54"/>
      <c r="AI389" s="54"/>
      <c r="AJ389" s="54"/>
      <c r="AK389" s="54"/>
      <c r="AL389" s="54"/>
      <c r="AO389" s="55"/>
      <c r="AP389" s="55"/>
    </row>
    <row r="390" ht="14.25" customHeight="1">
      <c r="E390" s="56"/>
      <c r="F390" s="56"/>
      <c r="U390" s="54"/>
      <c r="V390" s="54"/>
      <c r="AE390" s="54"/>
      <c r="AG390" s="54"/>
      <c r="AI390" s="54"/>
      <c r="AJ390" s="54"/>
      <c r="AK390" s="54"/>
      <c r="AL390" s="54"/>
      <c r="AO390" s="55"/>
      <c r="AP390" s="55"/>
    </row>
    <row r="391" ht="14.25" customHeight="1">
      <c r="E391" s="56"/>
      <c r="F391" s="56"/>
      <c r="U391" s="54"/>
      <c r="V391" s="54"/>
      <c r="AE391" s="54"/>
      <c r="AG391" s="54"/>
      <c r="AI391" s="54"/>
      <c r="AJ391" s="54"/>
      <c r="AK391" s="54"/>
      <c r="AL391" s="54"/>
      <c r="AO391" s="55"/>
      <c r="AP391" s="55"/>
    </row>
    <row r="392" ht="14.25" customHeight="1">
      <c r="E392" s="56"/>
      <c r="F392" s="56"/>
      <c r="U392" s="54"/>
      <c r="V392" s="54"/>
      <c r="AE392" s="54"/>
      <c r="AG392" s="54"/>
      <c r="AI392" s="54"/>
      <c r="AJ392" s="54"/>
      <c r="AK392" s="54"/>
      <c r="AL392" s="54"/>
      <c r="AO392" s="55"/>
      <c r="AP392" s="55"/>
    </row>
    <row r="393" ht="14.25" customHeight="1">
      <c r="E393" s="56"/>
      <c r="F393" s="56"/>
      <c r="U393" s="54"/>
      <c r="V393" s="54"/>
      <c r="AE393" s="54"/>
      <c r="AG393" s="54"/>
      <c r="AI393" s="54"/>
      <c r="AJ393" s="54"/>
      <c r="AK393" s="54"/>
      <c r="AL393" s="54"/>
      <c r="AO393" s="55"/>
      <c r="AP393" s="55"/>
    </row>
    <row r="394" ht="14.25" customHeight="1">
      <c r="E394" s="56"/>
      <c r="F394" s="56"/>
      <c r="U394" s="54"/>
      <c r="V394" s="54"/>
      <c r="AE394" s="54"/>
      <c r="AG394" s="54"/>
      <c r="AI394" s="54"/>
      <c r="AJ394" s="54"/>
      <c r="AK394" s="54"/>
      <c r="AL394" s="54"/>
      <c r="AO394" s="55"/>
      <c r="AP394" s="55"/>
    </row>
    <row r="395" ht="14.25" customHeight="1">
      <c r="E395" s="56"/>
      <c r="F395" s="56"/>
      <c r="U395" s="54"/>
      <c r="V395" s="54"/>
      <c r="AE395" s="54"/>
      <c r="AG395" s="54"/>
      <c r="AI395" s="54"/>
      <c r="AJ395" s="54"/>
      <c r="AK395" s="54"/>
      <c r="AL395" s="54"/>
      <c r="AO395" s="55"/>
      <c r="AP395" s="55"/>
    </row>
    <row r="396" ht="14.25" customHeight="1">
      <c r="E396" s="56"/>
      <c r="F396" s="56"/>
      <c r="U396" s="54"/>
      <c r="V396" s="54"/>
      <c r="AE396" s="54"/>
      <c r="AG396" s="54"/>
      <c r="AI396" s="54"/>
      <c r="AJ396" s="54"/>
      <c r="AK396" s="54"/>
      <c r="AL396" s="54"/>
      <c r="AO396" s="55"/>
      <c r="AP396" s="55"/>
    </row>
    <row r="397" ht="14.25" customHeight="1">
      <c r="E397" s="56"/>
      <c r="F397" s="56"/>
      <c r="U397" s="54"/>
      <c r="V397" s="54"/>
      <c r="AE397" s="54"/>
      <c r="AG397" s="54"/>
      <c r="AI397" s="54"/>
      <c r="AJ397" s="54"/>
      <c r="AK397" s="54"/>
      <c r="AL397" s="54"/>
      <c r="AO397" s="55"/>
      <c r="AP397" s="55"/>
    </row>
    <row r="398" ht="14.25" customHeight="1">
      <c r="E398" s="56"/>
      <c r="F398" s="56"/>
      <c r="U398" s="54"/>
      <c r="V398" s="54"/>
      <c r="AE398" s="54"/>
      <c r="AG398" s="54"/>
      <c r="AI398" s="54"/>
      <c r="AJ398" s="54"/>
      <c r="AK398" s="54"/>
      <c r="AL398" s="54"/>
      <c r="AO398" s="55"/>
      <c r="AP398" s="55"/>
    </row>
    <row r="399" ht="14.25" customHeight="1">
      <c r="E399" s="56"/>
      <c r="F399" s="56"/>
      <c r="U399" s="54"/>
      <c r="V399" s="54"/>
      <c r="AE399" s="54"/>
      <c r="AG399" s="54"/>
      <c r="AI399" s="54"/>
      <c r="AJ399" s="54"/>
      <c r="AK399" s="54"/>
      <c r="AL399" s="54"/>
      <c r="AO399" s="55"/>
      <c r="AP399" s="55"/>
    </row>
    <row r="400" ht="14.25" customHeight="1">
      <c r="E400" s="56"/>
      <c r="F400" s="56"/>
      <c r="U400" s="54"/>
      <c r="V400" s="54"/>
      <c r="AE400" s="54"/>
      <c r="AG400" s="54"/>
      <c r="AI400" s="54"/>
      <c r="AJ400" s="54"/>
      <c r="AK400" s="54"/>
      <c r="AL400" s="54"/>
      <c r="AO400" s="55"/>
      <c r="AP400" s="55"/>
    </row>
    <row r="401" ht="14.25" customHeight="1">
      <c r="E401" s="56"/>
      <c r="F401" s="56"/>
      <c r="U401" s="54"/>
      <c r="V401" s="54"/>
      <c r="AE401" s="54"/>
      <c r="AG401" s="54"/>
      <c r="AI401" s="54"/>
      <c r="AJ401" s="54"/>
      <c r="AK401" s="54"/>
      <c r="AL401" s="54"/>
      <c r="AO401" s="55"/>
      <c r="AP401" s="55"/>
    </row>
    <row r="402" ht="14.25" customHeight="1">
      <c r="E402" s="56"/>
      <c r="F402" s="56"/>
      <c r="U402" s="54"/>
      <c r="V402" s="54"/>
      <c r="AE402" s="54"/>
      <c r="AG402" s="54"/>
      <c r="AI402" s="54"/>
      <c r="AJ402" s="54"/>
      <c r="AK402" s="54"/>
      <c r="AL402" s="54"/>
      <c r="AO402" s="55"/>
      <c r="AP402" s="55"/>
    </row>
    <row r="403" ht="14.25" customHeight="1">
      <c r="E403" s="56"/>
      <c r="F403" s="56"/>
      <c r="U403" s="54"/>
      <c r="V403" s="54"/>
      <c r="AE403" s="54"/>
      <c r="AG403" s="54"/>
      <c r="AI403" s="54"/>
      <c r="AJ403" s="54"/>
      <c r="AK403" s="54"/>
      <c r="AL403" s="54"/>
      <c r="AO403" s="55"/>
      <c r="AP403" s="55"/>
    </row>
    <row r="404" ht="14.25" customHeight="1">
      <c r="E404" s="56"/>
      <c r="F404" s="56"/>
      <c r="U404" s="54"/>
      <c r="V404" s="54"/>
      <c r="AE404" s="54"/>
      <c r="AG404" s="54"/>
      <c r="AI404" s="54"/>
      <c r="AJ404" s="54"/>
      <c r="AK404" s="54"/>
      <c r="AL404" s="54"/>
      <c r="AO404" s="55"/>
      <c r="AP404" s="55"/>
    </row>
    <row r="405" ht="14.25" customHeight="1">
      <c r="E405" s="56"/>
      <c r="F405" s="56"/>
      <c r="U405" s="54"/>
      <c r="V405" s="54"/>
      <c r="AE405" s="54"/>
      <c r="AG405" s="54"/>
      <c r="AI405" s="54"/>
      <c r="AJ405" s="54"/>
      <c r="AK405" s="54"/>
      <c r="AL405" s="54"/>
      <c r="AO405" s="55"/>
      <c r="AP405" s="55"/>
    </row>
    <row r="406" ht="14.25" customHeight="1">
      <c r="E406" s="56"/>
      <c r="F406" s="56"/>
      <c r="U406" s="54"/>
      <c r="V406" s="54"/>
      <c r="AE406" s="54"/>
      <c r="AG406" s="54"/>
      <c r="AI406" s="54"/>
      <c r="AJ406" s="54"/>
      <c r="AK406" s="54"/>
      <c r="AL406" s="54"/>
      <c r="AO406" s="55"/>
      <c r="AP406" s="55"/>
    </row>
    <row r="407" ht="14.25" customHeight="1">
      <c r="E407" s="56"/>
      <c r="F407" s="56"/>
      <c r="U407" s="54"/>
      <c r="V407" s="54"/>
      <c r="AE407" s="54"/>
      <c r="AG407" s="54"/>
      <c r="AI407" s="54"/>
      <c r="AJ407" s="54"/>
      <c r="AK407" s="54"/>
      <c r="AL407" s="54"/>
      <c r="AO407" s="55"/>
      <c r="AP407" s="55"/>
    </row>
    <row r="408" ht="14.25" customHeight="1">
      <c r="E408" s="56"/>
      <c r="F408" s="56"/>
      <c r="U408" s="54"/>
      <c r="V408" s="54"/>
      <c r="AE408" s="54"/>
      <c r="AG408" s="54"/>
      <c r="AI408" s="54"/>
      <c r="AJ408" s="54"/>
      <c r="AK408" s="54"/>
      <c r="AL408" s="54"/>
      <c r="AO408" s="55"/>
      <c r="AP408" s="55"/>
    </row>
    <row r="409" ht="14.25" customHeight="1">
      <c r="E409" s="56"/>
      <c r="F409" s="56"/>
      <c r="U409" s="54"/>
      <c r="V409" s="54"/>
      <c r="AE409" s="54"/>
      <c r="AG409" s="54"/>
      <c r="AI409" s="54"/>
      <c r="AJ409" s="54"/>
      <c r="AK409" s="54"/>
      <c r="AL409" s="54"/>
      <c r="AO409" s="55"/>
      <c r="AP409" s="55"/>
    </row>
    <row r="410" ht="14.25" customHeight="1">
      <c r="E410" s="56"/>
      <c r="F410" s="56"/>
      <c r="U410" s="54"/>
      <c r="V410" s="54"/>
      <c r="AE410" s="54"/>
      <c r="AG410" s="54"/>
      <c r="AI410" s="54"/>
      <c r="AJ410" s="54"/>
      <c r="AK410" s="54"/>
      <c r="AL410" s="54"/>
      <c r="AO410" s="55"/>
      <c r="AP410" s="55"/>
    </row>
    <row r="411" ht="14.25" customHeight="1">
      <c r="E411" s="56"/>
      <c r="F411" s="56"/>
      <c r="U411" s="54"/>
      <c r="V411" s="54"/>
      <c r="AE411" s="54"/>
      <c r="AG411" s="54"/>
      <c r="AI411" s="54"/>
      <c r="AJ411" s="54"/>
      <c r="AK411" s="54"/>
      <c r="AL411" s="54"/>
      <c r="AO411" s="55"/>
      <c r="AP411" s="55"/>
    </row>
    <row r="412" ht="14.25" customHeight="1">
      <c r="E412" s="56"/>
      <c r="F412" s="56"/>
      <c r="U412" s="54"/>
      <c r="V412" s="54"/>
      <c r="AE412" s="54"/>
      <c r="AG412" s="54"/>
      <c r="AI412" s="54"/>
      <c r="AJ412" s="54"/>
      <c r="AK412" s="54"/>
      <c r="AL412" s="54"/>
      <c r="AO412" s="55"/>
      <c r="AP412" s="55"/>
    </row>
    <row r="413" ht="14.25" customHeight="1">
      <c r="E413" s="56"/>
      <c r="F413" s="56"/>
      <c r="U413" s="54"/>
      <c r="V413" s="54"/>
      <c r="AE413" s="54"/>
      <c r="AG413" s="54"/>
      <c r="AI413" s="54"/>
      <c r="AJ413" s="54"/>
      <c r="AK413" s="54"/>
      <c r="AL413" s="54"/>
      <c r="AO413" s="55"/>
      <c r="AP413" s="55"/>
    </row>
    <row r="414" ht="14.25" customHeight="1">
      <c r="E414" s="56"/>
      <c r="F414" s="56"/>
      <c r="U414" s="54"/>
      <c r="V414" s="54"/>
      <c r="AE414" s="54"/>
      <c r="AG414" s="54"/>
      <c r="AI414" s="54"/>
      <c r="AJ414" s="54"/>
      <c r="AK414" s="54"/>
      <c r="AL414" s="54"/>
      <c r="AO414" s="55"/>
      <c r="AP414" s="55"/>
    </row>
    <row r="415" ht="14.25" customHeight="1">
      <c r="E415" s="56"/>
      <c r="F415" s="56"/>
      <c r="U415" s="54"/>
      <c r="V415" s="54"/>
      <c r="AE415" s="54"/>
      <c r="AG415" s="54"/>
      <c r="AI415" s="54"/>
      <c r="AJ415" s="54"/>
      <c r="AK415" s="54"/>
      <c r="AL415" s="54"/>
      <c r="AO415" s="55"/>
      <c r="AP415" s="55"/>
    </row>
    <row r="416" ht="14.25" customHeight="1">
      <c r="E416" s="56"/>
      <c r="F416" s="56"/>
      <c r="U416" s="54"/>
      <c r="V416" s="54"/>
      <c r="AE416" s="54"/>
      <c r="AG416" s="54"/>
      <c r="AI416" s="54"/>
      <c r="AJ416" s="54"/>
      <c r="AK416" s="54"/>
      <c r="AL416" s="54"/>
      <c r="AO416" s="55"/>
      <c r="AP416" s="55"/>
    </row>
    <row r="417" ht="14.25" customHeight="1">
      <c r="E417" s="56"/>
      <c r="F417" s="56"/>
      <c r="U417" s="54"/>
      <c r="V417" s="54"/>
      <c r="AE417" s="54"/>
      <c r="AG417" s="54"/>
      <c r="AI417" s="54"/>
      <c r="AJ417" s="54"/>
      <c r="AK417" s="54"/>
      <c r="AL417" s="54"/>
      <c r="AO417" s="55"/>
      <c r="AP417" s="55"/>
    </row>
    <row r="418" ht="14.25" customHeight="1">
      <c r="E418" s="56"/>
      <c r="F418" s="56"/>
      <c r="U418" s="54"/>
      <c r="V418" s="54"/>
      <c r="AE418" s="54"/>
      <c r="AG418" s="54"/>
      <c r="AI418" s="54"/>
      <c r="AJ418" s="54"/>
      <c r="AK418" s="54"/>
      <c r="AL418" s="54"/>
      <c r="AO418" s="55"/>
      <c r="AP418" s="55"/>
    </row>
    <row r="419" ht="14.25" customHeight="1">
      <c r="E419" s="56"/>
      <c r="F419" s="56"/>
      <c r="U419" s="54"/>
      <c r="V419" s="54"/>
      <c r="AE419" s="54"/>
      <c r="AG419" s="54"/>
      <c r="AI419" s="54"/>
      <c r="AJ419" s="54"/>
      <c r="AK419" s="54"/>
      <c r="AL419" s="54"/>
      <c r="AO419" s="55"/>
      <c r="AP419" s="55"/>
    </row>
    <row r="420" ht="14.25" customHeight="1">
      <c r="E420" s="56"/>
      <c r="F420" s="56"/>
      <c r="U420" s="54"/>
      <c r="V420" s="54"/>
      <c r="AE420" s="54"/>
      <c r="AG420" s="54"/>
      <c r="AI420" s="54"/>
      <c r="AJ420" s="54"/>
      <c r="AK420" s="54"/>
      <c r="AL420" s="54"/>
      <c r="AO420" s="55"/>
      <c r="AP420" s="55"/>
    </row>
    <row r="421" ht="14.25" customHeight="1">
      <c r="E421" s="56"/>
      <c r="F421" s="56"/>
      <c r="U421" s="54"/>
      <c r="V421" s="54"/>
      <c r="AE421" s="54"/>
      <c r="AG421" s="54"/>
      <c r="AI421" s="54"/>
      <c r="AJ421" s="54"/>
      <c r="AK421" s="54"/>
      <c r="AL421" s="54"/>
      <c r="AO421" s="55"/>
      <c r="AP421" s="55"/>
    </row>
    <row r="422" ht="14.25" customHeight="1">
      <c r="E422" s="56"/>
      <c r="F422" s="56"/>
      <c r="U422" s="54"/>
      <c r="V422" s="54"/>
      <c r="AE422" s="54"/>
      <c r="AG422" s="54"/>
      <c r="AI422" s="54"/>
      <c r="AJ422" s="54"/>
      <c r="AK422" s="54"/>
      <c r="AL422" s="54"/>
      <c r="AO422" s="55"/>
      <c r="AP422" s="55"/>
    </row>
    <row r="423" ht="14.25" customHeight="1">
      <c r="E423" s="56"/>
      <c r="F423" s="56"/>
      <c r="U423" s="54"/>
      <c r="V423" s="54"/>
      <c r="AE423" s="54"/>
      <c r="AG423" s="54"/>
      <c r="AI423" s="54"/>
      <c r="AJ423" s="54"/>
      <c r="AK423" s="54"/>
      <c r="AL423" s="54"/>
      <c r="AO423" s="55"/>
      <c r="AP423" s="55"/>
    </row>
    <row r="424" ht="14.25" customHeight="1">
      <c r="E424" s="56"/>
      <c r="F424" s="56"/>
      <c r="U424" s="54"/>
      <c r="V424" s="54"/>
      <c r="AE424" s="54"/>
      <c r="AG424" s="54"/>
      <c r="AI424" s="54"/>
      <c r="AJ424" s="54"/>
      <c r="AK424" s="54"/>
      <c r="AL424" s="54"/>
      <c r="AO424" s="55"/>
      <c r="AP424" s="55"/>
    </row>
    <row r="425" ht="14.25" customHeight="1">
      <c r="E425" s="56"/>
      <c r="F425" s="56"/>
      <c r="U425" s="54"/>
      <c r="V425" s="54"/>
      <c r="AE425" s="54"/>
      <c r="AG425" s="54"/>
      <c r="AI425" s="54"/>
      <c r="AJ425" s="54"/>
      <c r="AK425" s="54"/>
      <c r="AL425" s="54"/>
      <c r="AO425" s="55"/>
      <c r="AP425" s="55"/>
    </row>
    <row r="426" ht="14.25" customHeight="1">
      <c r="E426" s="56"/>
      <c r="F426" s="56"/>
      <c r="U426" s="54"/>
      <c r="V426" s="54"/>
      <c r="AE426" s="54"/>
      <c r="AG426" s="54"/>
      <c r="AI426" s="54"/>
      <c r="AJ426" s="54"/>
      <c r="AK426" s="54"/>
      <c r="AL426" s="54"/>
      <c r="AO426" s="55"/>
      <c r="AP426" s="55"/>
    </row>
    <row r="427" ht="14.25" customHeight="1">
      <c r="E427" s="56"/>
      <c r="F427" s="56"/>
      <c r="U427" s="54"/>
      <c r="V427" s="54"/>
      <c r="AE427" s="54"/>
      <c r="AG427" s="54"/>
      <c r="AI427" s="54"/>
      <c r="AJ427" s="54"/>
      <c r="AK427" s="54"/>
      <c r="AL427" s="54"/>
      <c r="AO427" s="55"/>
      <c r="AP427" s="55"/>
    </row>
    <row r="428" ht="14.25" customHeight="1">
      <c r="E428" s="56"/>
      <c r="F428" s="56"/>
      <c r="U428" s="54"/>
      <c r="V428" s="54"/>
      <c r="AE428" s="54"/>
      <c r="AG428" s="54"/>
      <c r="AI428" s="54"/>
      <c r="AJ428" s="54"/>
      <c r="AK428" s="54"/>
      <c r="AL428" s="54"/>
      <c r="AO428" s="55"/>
      <c r="AP428" s="55"/>
    </row>
    <row r="429" ht="14.25" customHeight="1">
      <c r="E429" s="56"/>
      <c r="F429" s="56"/>
      <c r="U429" s="54"/>
      <c r="V429" s="54"/>
      <c r="AE429" s="54"/>
      <c r="AG429" s="54"/>
      <c r="AI429" s="54"/>
      <c r="AJ429" s="54"/>
      <c r="AK429" s="54"/>
      <c r="AL429" s="54"/>
      <c r="AO429" s="55"/>
      <c r="AP429" s="55"/>
    </row>
    <row r="430" ht="14.25" customHeight="1">
      <c r="E430" s="56"/>
      <c r="F430" s="56"/>
      <c r="U430" s="54"/>
      <c r="V430" s="54"/>
      <c r="AE430" s="54"/>
      <c r="AG430" s="54"/>
      <c r="AI430" s="54"/>
      <c r="AJ430" s="54"/>
      <c r="AK430" s="54"/>
      <c r="AL430" s="54"/>
      <c r="AO430" s="55"/>
      <c r="AP430" s="55"/>
    </row>
    <row r="431" ht="14.25" customHeight="1">
      <c r="E431" s="56"/>
      <c r="F431" s="56"/>
      <c r="U431" s="54"/>
      <c r="V431" s="54"/>
      <c r="AE431" s="54"/>
      <c r="AG431" s="54"/>
      <c r="AI431" s="54"/>
      <c r="AJ431" s="54"/>
      <c r="AK431" s="54"/>
      <c r="AL431" s="54"/>
      <c r="AO431" s="55"/>
      <c r="AP431" s="55"/>
    </row>
    <row r="432" ht="14.25" customHeight="1">
      <c r="E432" s="56"/>
      <c r="F432" s="56"/>
      <c r="U432" s="54"/>
      <c r="V432" s="54"/>
      <c r="AE432" s="54"/>
      <c r="AG432" s="54"/>
      <c r="AI432" s="54"/>
      <c r="AJ432" s="54"/>
      <c r="AK432" s="54"/>
      <c r="AL432" s="54"/>
      <c r="AO432" s="55"/>
      <c r="AP432" s="55"/>
    </row>
    <row r="433" ht="14.25" customHeight="1">
      <c r="E433" s="56"/>
      <c r="F433" s="56"/>
      <c r="U433" s="54"/>
      <c r="V433" s="54"/>
      <c r="AE433" s="54"/>
      <c r="AG433" s="54"/>
      <c r="AI433" s="54"/>
      <c r="AJ433" s="54"/>
      <c r="AK433" s="54"/>
      <c r="AL433" s="54"/>
      <c r="AO433" s="55"/>
      <c r="AP433" s="55"/>
    </row>
    <row r="434" ht="14.25" customHeight="1">
      <c r="E434" s="56"/>
      <c r="F434" s="56"/>
      <c r="U434" s="54"/>
      <c r="V434" s="54"/>
      <c r="AE434" s="54"/>
      <c r="AG434" s="54"/>
      <c r="AI434" s="54"/>
      <c r="AJ434" s="54"/>
      <c r="AK434" s="54"/>
      <c r="AL434" s="54"/>
      <c r="AO434" s="55"/>
      <c r="AP434" s="55"/>
    </row>
    <row r="435" ht="14.25" customHeight="1">
      <c r="E435" s="56"/>
      <c r="F435" s="56"/>
      <c r="U435" s="54"/>
      <c r="V435" s="54"/>
      <c r="AE435" s="54"/>
      <c r="AG435" s="54"/>
      <c r="AI435" s="54"/>
      <c r="AJ435" s="54"/>
      <c r="AK435" s="54"/>
      <c r="AL435" s="54"/>
      <c r="AO435" s="55"/>
      <c r="AP435" s="55"/>
    </row>
    <row r="436" ht="14.25" customHeight="1">
      <c r="E436" s="56"/>
      <c r="F436" s="56"/>
      <c r="U436" s="54"/>
      <c r="V436" s="54"/>
      <c r="AE436" s="54"/>
      <c r="AG436" s="54"/>
      <c r="AI436" s="54"/>
      <c r="AJ436" s="54"/>
      <c r="AK436" s="54"/>
      <c r="AL436" s="54"/>
      <c r="AO436" s="55"/>
      <c r="AP436" s="55"/>
    </row>
    <row r="437" ht="14.25" customHeight="1">
      <c r="E437" s="56"/>
      <c r="F437" s="56"/>
      <c r="U437" s="54"/>
      <c r="V437" s="54"/>
      <c r="AE437" s="54"/>
      <c r="AG437" s="54"/>
      <c r="AI437" s="54"/>
      <c r="AJ437" s="54"/>
      <c r="AK437" s="54"/>
      <c r="AL437" s="54"/>
      <c r="AO437" s="55"/>
      <c r="AP437" s="55"/>
    </row>
    <row r="438" ht="14.25" customHeight="1">
      <c r="E438" s="56"/>
      <c r="F438" s="56"/>
      <c r="U438" s="54"/>
      <c r="V438" s="54"/>
      <c r="AE438" s="54"/>
      <c r="AG438" s="54"/>
      <c r="AI438" s="54"/>
      <c r="AJ438" s="54"/>
      <c r="AK438" s="54"/>
      <c r="AL438" s="54"/>
      <c r="AO438" s="55"/>
      <c r="AP438" s="55"/>
    </row>
    <row r="439" ht="14.25" customHeight="1">
      <c r="E439" s="56"/>
      <c r="F439" s="56"/>
      <c r="U439" s="54"/>
      <c r="V439" s="54"/>
      <c r="AE439" s="54"/>
      <c r="AG439" s="54"/>
      <c r="AI439" s="54"/>
      <c r="AJ439" s="54"/>
      <c r="AK439" s="54"/>
      <c r="AL439" s="54"/>
      <c r="AO439" s="55"/>
      <c r="AP439" s="55"/>
    </row>
    <row r="440" ht="14.25" customHeight="1">
      <c r="E440" s="56"/>
      <c r="F440" s="56"/>
      <c r="U440" s="54"/>
      <c r="V440" s="54"/>
      <c r="AE440" s="54"/>
      <c r="AG440" s="54"/>
      <c r="AI440" s="54"/>
      <c r="AJ440" s="54"/>
      <c r="AK440" s="54"/>
      <c r="AL440" s="54"/>
      <c r="AO440" s="55"/>
      <c r="AP440" s="55"/>
    </row>
    <row r="441" ht="14.25" customHeight="1">
      <c r="E441" s="56"/>
      <c r="F441" s="56"/>
      <c r="U441" s="54"/>
      <c r="V441" s="54"/>
      <c r="AE441" s="54"/>
      <c r="AG441" s="54"/>
      <c r="AI441" s="54"/>
      <c r="AJ441" s="54"/>
      <c r="AK441" s="54"/>
      <c r="AL441" s="54"/>
      <c r="AO441" s="55"/>
      <c r="AP441" s="55"/>
    </row>
    <row r="442" ht="14.25" customHeight="1">
      <c r="E442" s="56"/>
      <c r="F442" s="56"/>
      <c r="U442" s="54"/>
      <c r="V442" s="54"/>
      <c r="AE442" s="54"/>
      <c r="AG442" s="54"/>
      <c r="AI442" s="54"/>
      <c r="AJ442" s="54"/>
      <c r="AK442" s="54"/>
      <c r="AL442" s="54"/>
      <c r="AO442" s="55"/>
      <c r="AP442" s="55"/>
    </row>
    <row r="443" ht="14.25" customHeight="1">
      <c r="E443" s="56"/>
      <c r="F443" s="56"/>
      <c r="U443" s="54"/>
      <c r="V443" s="54"/>
      <c r="AE443" s="54"/>
      <c r="AG443" s="54"/>
      <c r="AI443" s="54"/>
      <c r="AJ443" s="54"/>
      <c r="AK443" s="54"/>
      <c r="AL443" s="54"/>
      <c r="AO443" s="55"/>
      <c r="AP443" s="55"/>
    </row>
    <row r="444" ht="14.25" customHeight="1">
      <c r="E444" s="56"/>
      <c r="F444" s="56"/>
      <c r="U444" s="54"/>
      <c r="V444" s="54"/>
      <c r="AE444" s="54"/>
      <c r="AG444" s="54"/>
      <c r="AI444" s="54"/>
      <c r="AJ444" s="54"/>
      <c r="AK444" s="54"/>
      <c r="AL444" s="54"/>
      <c r="AO444" s="55"/>
      <c r="AP444" s="55"/>
    </row>
    <row r="445" ht="14.25" customHeight="1">
      <c r="E445" s="56"/>
      <c r="F445" s="56"/>
      <c r="U445" s="54"/>
      <c r="V445" s="54"/>
      <c r="AE445" s="54"/>
      <c r="AG445" s="54"/>
      <c r="AI445" s="54"/>
      <c r="AJ445" s="54"/>
      <c r="AK445" s="54"/>
      <c r="AL445" s="54"/>
      <c r="AO445" s="55"/>
      <c r="AP445" s="55"/>
    </row>
    <row r="446" ht="14.25" customHeight="1">
      <c r="E446" s="56"/>
      <c r="F446" s="56"/>
      <c r="U446" s="54"/>
      <c r="V446" s="54"/>
      <c r="AE446" s="54"/>
      <c r="AG446" s="54"/>
      <c r="AI446" s="54"/>
      <c r="AJ446" s="54"/>
      <c r="AK446" s="54"/>
      <c r="AL446" s="54"/>
      <c r="AO446" s="55"/>
      <c r="AP446" s="55"/>
    </row>
    <row r="447" ht="14.25" customHeight="1">
      <c r="E447" s="56"/>
      <c r="F447" s="56"/>
      <c r="U447" s="54"/>
      <c r="V447" s="54"/>
      <c r="AE447" s="54"/>
      <c r="AG447" s="54"/>
      <c r="AI447" s="54"/>
      <c r="AJ447" s="54"/>
      <c r="AK447" s="54"/>
      <c r="AL447" s="54"/>
      <c r="AO447" s="55"/>
      <c r="AP447" s="55"/>
    </row>
    <row r="448" ht="14.25" customHeight="1">
      <c r="E448" s="56"/>
      <c r="F448" s="56"/>
      <c r="U448" s="54"/>
      <c r="V448" s="54"/>
      <c r="AE448" s="54"/>
      <c r="AG448" s="54"/>
      <c r="AI448" s="54"/>
      <c r="AJ448" s="54"/>
      <c r="AK448" s="54"/>
      <c r="AL448" s="54"/>
      <c r="AO448" s="55"/>
      <c r="AP448" s="55"/>
    </row>
    <row r="449" ht="14.25" customHeight="1">
      <c r="E449" s="56"/>
      <c r="F449" s="56"/>
      <c r="U449" s="54"/>
      <c r="V449" s="54"/>
      <c r="AE449" s="54"/>
      <c r="AG449" s="54"/>
      <c r="AI449" s="54"/>
      <c r="AJ449" s="54"/>
      <c r="AK449" s="54"/>
      <c r="AL449" s="54"/>
      <c r="AO449" s="55"/>
      <c r="AP449" s="55"/>
    </row>
    <row r="450" ht="14.25" customHeight="1">
      <c r="E450" s="56"/>
      <c r="F450" s="56"/>
      <c r="U450" s="54"/>
      <c r="V450" s="54"/>
      <c r="AE450" s="54"/>
      <c r="AG450" s="54"/>
      <c r="AI450" s="54"/>
      <c r="AJ450" s="54"/>
      <c r="AK450" s="54"/>
      <c r="AL450" s="54"/>
      <c r="AO450" s="55"/>
      <c r="AP450" s="55"/>
    </row>
    <row r="451" ht="14.25" customHeight="1">
      <c r="E451" s="56"/>
      <c r="F451" s="56"/>
      <c r="U451" s="54"/>
      <c r="V451" s="54"/>
      <c r="AE451" s="54"/>
      <c r="AG451" s="54"/>
      <c r="AI451" s="54"/>
      <c r="AJ451" s="54"/>
      <c r="AK451" s="54"/>
      <c r="AL451" s="54"/>
      <c r="AO451" s="55"/>
      <c r="AP451" s="55"/>
    </row>
    <row r="452" ht="14.25" customHeight="1">
      <c r="E452" s="56"/>
      <c r="F452" s="56"/>
      <c r="U452" s="54"/>
      <c r="V452" s="54"/>
      <c r="AE452" s="54"/>
      <c r="AG452" s="54"/>
      <c r="AI452" s="54"/>
      <c r="AJ452" s="54"/>
      <c r="AK452" s="54"/>
      <c r="AL452" s="54"/>
      <c r="AO452" s="55"/>
      <c r="AP452" s="55"/>
    </row>
    <row r="453" ht="14.25" customHeight="1">
      <c r="E453" s="56"/>
      <c r="F453" s="56"/>
      <c r="U453" s="54"/>
      <c r="V453" s="54"/>
      <c r="AE453" s="54"/>
      <c r="AG453" s="54"/>
      <c r="AI453" s="54"/>
      <c r="AJ453" s="54"/>
      <c r="AK453" s="54"/>
      <c r="AL453" s="54"/>
      <c r="AO453" s="55"/>
      <c r="AP453" s="55"/>
    </row>
    <row r="454" ht="14.25" customHeight="1">
      <c r="E454" s="56"/>
      <c r="F454" s="56"/>
      <c r="U454" s="54"/>
      <c r="V454" s="54"/>
      <c r="AE454" s="54"/>
      <c r="AG454" s="54"/>
      <c r="AI454" s="54"/>
      <c r="AJ454" s="54"/>
      <c r="AK454" s="54"/>
      <c r="AL454" s="54"/>
      <c r="AO454" s="55"/>
      <c r="AP454" s="55"/>
    </row>
    <row r="455" ht="14.25" customHeight="1">
      <c r="E455" s="56"/>
      <c r="F455" s="56"/>
      <c r="U455" s="54"/>
      <c r="V455" s="54"/>
      <c r="AE455" s="54"/>
      <c r="AG455" s="54"/>
      <c r="AI455" s="54"/>
      <c r="AJ455" s="54"/>
      <c r="AK455" s="54"/>
      <c r="AL455" s="54"/>
      <c r="AO455" s="55"/>
      <c r="AP455" s="55"/>
    </row>
    <row r="456" ht="14.25" customHeight="1">
      <c r="E456" s="56"/>
      <c r="F456" s="56"/>
      <c r="U456" s="54"/>
      <c r="V456" s="54"/>
      <c r="AE456" s="54"/>
      <c r="AG456" s="54"/>
      <c r="AI456" s="54"/>
      <c r="AJ456" s="54"/>
      <c r="AK456" s="54"/>
      <c r="AL456" s="54"/>
      <c r="AO456" s="55"/>
      <c r="AP456" s="55"/>
    </row>
    <row r="457" ht="14.25" customHeight="1">
      <c r="E457" s="56"/>
      <c r="F457" s="56"/>
      <c r="U457" s="54"/>
      <c r="V457" s="54"/>
      <c r="AE457" s="54"/>
      <c r="AG457" s="54"/>
      <c r="AI457" s="54"/>
      <c r="AJ457" s="54"/>
      <c r="AK457" s="54"/>
      <c r="AL457" s="54"/>
      <c r="AO457" s="55"/>
      <c r="AP457" s="55"/>
    </row>
    <row r="458" ht="14.25" customHeight="1">
      <c r="E458" s="56"/>
      <c r="F458" s="56"/>
      <c r="U458" s="54"/>
      <c r="V458" s="54"/>
      <c r="AE458" s="54"/>
      <c r="AG458" s="54"/>
      <c r="AI458" s="54"/>
      <c r="AJ458" s="54"/>
      <c r="AK458" s="54"/>
      <c r="AL458" s="54"/>
      <c r="AO458" s="55"/>
      <c r="AP458" s="55"/>
    </row>
    <row r="459" ht="14.25" customHeight="1">
      <c r="E459" s="56"/>
      <c r="F459" s="56"/>
      <c r="U459" s="54"/>
      <c r="V459" s="54"/>
      <c r="AE459" s="54"/>
      <c r="AG459" s="54"/>
      <c r="AI459" s="54"/>
      <c r="AJ459" s="54"/>
      <c r="AK459" s="54"/>
      <c r="AL459" s="54"/>
      <c r="AO459" s="55"/>
      <c r="AP459" s="55"/>
    </row>
    <row r="460" ht="14.25" customHeight="1">
      <c r="E460" s="56"/>
      <c r="F460" s="56"/>
      <c r="U460" s="54"/>
      <c r="V460" s="54"/>
      <c r="AE460" s="54"/>
      <c r="AG460" s="54"/>
      <c r="AI460" s="54"/>
      <c r="AJ460" s="54"/>
      <c r="AK460" s="54"/>
      <c r="AL460" s="54"/>
      <c r="AO460" s="55"/>
      <c r="AP460" s="55"/>
    </row>
    <row r="461" ht="14.25" customHeight="1">
      <c r="E461" s="56"/>
      <c r="F461" s="56"/>
      <c r="U461" s="54"/>
      <c r="V461" s="54"/>
      <c r="AE461" s="54"/>
      <c r="AG461" s="54"/>
      <c r="AI461" s="54"/>
      <c r="AJ461" s="54"/>
      <c r="AK461" s="54"/>
      <c r="AL461" s="54"/>
      <c r="AO461" s="55"/>
      <c r="AP461" s="55"/>
    </row>
    <row r="462" ht="14.25" customHeight="1">
      <c r="E462" s="56"/>
      <c r="F462" s="56"/>
      <c r="U462" s="54"/>
      <c r="V462" s="54"/>
      <c r="AE462" s="54"/>
      <c r="AG462" s="54"/>
      <c r="AI462" s="54"/>
      <c r="AJ462" s="54"/>
      <c r="AK462" s="54"/>
      <c r="AL462" s="54"/>
      <c r="AO462" s="55"/>
      <c r="AP462" s="55"/>
    </row>
    <row r="463" ht="14.25" customHeight="1">
      <c r="E463" s="56"/>
      <c r="F463" s="56"/>
      <c r="U463" s="54"/>
      <c r="V463" s="54"/>
      <c r="AE463" s="54"/>
      <c r="AG463" s="54"/>
      <c r="AI463" s="54"/>
      <c r="AJ463" s="54"/>
      <c r="AK463" s="54"/>
      <c r="AL463" s="54"/>
      <c r="AO463" s="55"/>
      <c r="AP463" s="55"/>
    </row>
    <row r="464" ht="14.25" customHeight="1">
      <c r="E464" s="56"/>
      <c r="F464" s="56"/>
      <c r="U464" s="54"/>
      <c r="V464" s="54"/>
      <c r="AE464" s="54"/>
      <c r="AG464" s="54"/>
      <c r="AI464" s="54"/>
      <c r="AJ464" s="54"/>
      <c r="AK464" s="54"/>
      <c r="AL464" s="54"/>
      <c r="AO464" s="55"/>
      <c r="AP464" s="55"/>
    </row>
    <row r="465" ht="14.25" customHeight="1">
      <c r="E465" s="56"/>
      <c r="F465" s="56"/>
      <c r="U465" s="54"/>
      <c r="V465" s="54"/>
      <c r="AE465" s="54"/>
      <c r="AG465" s="54"/>
      <c r="AI465" s="54"/>
      <c r="AJ465" s="54"/>
      <c r="AK465" s="54"/>
      <c r="AL465" s="54"/>
      <c r="AO465" s="55"/>
      <c r="AP465" s="55"/>
    </row>
    <row r="466" ht="14.25" customHeight="1">
      <c r="E466" s="56"/>
      <c r="F466" s="56"/>
      <c r="U466" s="54"/>
      <c r="V466" s="54"/>
      <c r="AE466" s="54"/>
      <c r="AG466" s="54"/>
      <c r="AI466" s="54"/>
      <c r="AJ466" s="54"/>
      <c r="AK466" s="54"/>
      <c r="AL466" s="54"/>
      <c r="AO466" s="55"/>
      <c r="AP466" s="55"/>
    </row>
    <row r="467" ht="14.25" customHeight="1">
      <c r="E467" s="56"/>
      <c r="F467" s="56"/>
      <c r="U467" s="54"/>
      <c r="V467" s="54"/>
      <c r="AE467" s="54"/>
      <c r="AG467" s="54"/>
      <c r="AI467" s="54"/>
      <c r="AJ467" s="54"/>
      <c r="AK467" s="54"/>
      <c r="AL467" s="54"/>
      <c r="AO467" s="55"/>
      <c r="AP467" s="55"/>
    </row>
    <row r="468" ht="14.25" customHeight="1">
      <c r="E468" s="56"/>
      <c r="F468" s="56"/>
      <c r="U468" s="54"/>
      <c r="V468" s="54"/>
      <c r="AE468" s="54"/>
      <c r="AG468" s="54"/>
      <c r="AI468" s="54"/>
      <c r="AJ468" s="54"/>
      <c r="AK468" s="54"/>
      <c r="AL468" s="54"/>
      <c r="AO468" s="55"/>
      <c r="AP468" s="55"/>
    </row>
    <row r="469" ht="14.25" customHeight="1">
      <c r="E469" s="56"/>
      <c r="F469" s="56"/>
      <c r="U469" s="54"/>
      <c r="V469" s="54"/>
      <c r="AE469" s="54"/>
      <c r="AG469" s="54"/>
      <c r="AI469" s="54"/>
      <c r="AJ469" s="54"/>
      <c r="AK469" s="54"/>
      <c r="AL469" s="54"/>
      <c r="AO469" s="55"/>
      <c r="AP469" s="55"/>
    </row>
    <row r="470" ht="14.25" customHeight="1">
      <c r="E470" s="56"/>
      <c r="F470" s="56"/>
      <c r="U470" s="54"/>
      <c r="V470" s="54"/>
      <c r="AE470" s="54"/>
      <c r="AG470" s="54"/>
      <c r="AI470" s="54"/>
      <c r="AJ470" s="54"/>
      <c r="AK470" s="54"/>
      <c r="AL470" s="54"/>
      <c r="AO470" s="55"/>
      <c r="AP470" s="55"/>
    </row>
    <row r="471" ht="14.25" customHeight="1">
      <c r="E471" s="56"/>
      <c r="F471" s="56"/>
      <c r="U471" s="54"/>
      <c r="V471" s="54"/>
      <c r="AE471" s="54"/>
      <c r="AG471" s="54"/>
      <c r="AI471" s="54"/>
      <c r="AJ471" s="54"/>
      <c r="AK471" s="54"/>
      <c r="AL471" s="54"/>
      <c r="AO471" s="55"/>
      <c r="AP471" s="55"/>
    </row>
    <row r="472" ht="14.25" customHeight="1">
      <c r="E472" s="56"/>
      <c r="F472" s="56"/>
      <c r="U472" s="54"/>
      <c r="V472" s="54"/>
      <c r="AE472" s="54"/>
      <c r="AG472" s="54"/>
      <c r="AI472" s="54"/>
      <c r="AJ472" s="54"/>
      <c r="AK472" s="54"/>
      <c r="AL472" s="54"/>
      <c r="AO472" s="55"/>
      <c r="AP472" s="55"/>
    </row>
    <row r="473" ht="14.25" customHeight="1">
      <c r="E473" s="56"/>
      <c r="F473" s="56"/>
      <c r="U473" s="54"/>
      <c r="V473" s="54"/>
      <c r="AE473" s="54"/>
      <c r="AG473" s="54"/>
      <c r="AI473" s="54"/>
      <c r="AJ473" s="54"/>
      <c r="AK473" s="54"/>
      <c r="AL473" s="54"/>
      <c r="AO473" s="55"/>
      <c r="AP473" s="55"/>
    </row>
    <row r="474" ht="14.25" customHeight="1">
      <c r="E474" s="56"/>
      <c r="F474" s="56"/>
      <c r="U474" s="54"/>
      <c r="V474" s="54"/>
      <c r="AE474" s="54"/>
      <c r="AG474" s="54"/>
      <c r="AI474" s="54"/>
      <c r="AJ474" s="54"/>
      <c r="AK474" s="54"/>
      <c r="AL474" s="54"/>
      <c r="AO474" s="55"/>
      <c r="AP474" s="55"/>
    </row>
    <row r="475" ht="14.25" customHeight="1">
      <c r="E475" s="56"/>
      <c r="F475" s="56"/>
      <c r="U475" s="54"/>
      <c r="V475" s="54"/>
      <c r="AE475" s="54"/>
      <c r="AG475" s="54"/>
      <c r="AI475" s="54"/>
      <c r="AJ475" s="54"/>
      <c r="AK475" s="54"/>
      <c r="AL475" s="54"/>
      <c r="AO475" s="55"/>
      <c r="AP475" s="55"/>
    </row>
    <row r="476" ht="14.25" customHeight="1">
      <c r="E476" s="56"/>
      <c r="F476" s="56"/>
      <c r="U476" s="54"/>
      <c r="V476" s="54"/>
      <c r="AE476" s="54"/>
      <c r="AG476" s="54"/>
      <c r="AI476" s="54"/>
      <c r="AJ476" s="54"/>
      <c r="AK476" s="54"/>
      <c r="AL476" s="54"/>
      <c r="AO476" s="55"/>
      <c r="AP476" s="55"/>
    </row>
    <row r="477" ht="14.25" customHeight="1">
      <c r="E477" s="56"/>
      <c r="F477" s="56"/>
      <c r="U477" s="54"/>
      <c r="V477" s="54"/>
      <c r="AE477" s="54"/>
      <c r="AG477" s="54"/>
      <c r="AI477" s="54"/>
      <c r="AJ477" s="54"/>
      <c r="AK477" s="54"/>
      <c r="AL477" s="54"/>
      <c r="AO477" s="55"/>
      <c r="AP477" s="55"/>
    </row>
    <row r="478" ht="14.25" customHeight="1">
      <c r="E478" s="56"/>
      <c r="F478" s="56"/>
      <c r="U478" s="54"/>
      <c r="V478" s="54"/>
      <c r="AE478" s="54"/>
      <c r="AG478" s="54"/>
      <c r="AI478" s="54"/>
      <c r="AJ478" s="54"/>
      <c r="AK478" s="54"/>
      <c r="AL478" s="54"/>
      <c r="AO478" s="55"/>
      <c r="AP478" s="55"/>
    </row>
    <row r="479" ht="14.25" customHeight="1">
      <c r="E479" s="56"/>
      <c r="F479" s="56"/>
      <c r="U479" s="54"/>
      <c r="V479" s="54"/>
      <c r="AE479" s="54"/>
      <c r="AG479" s="54"/>
      <c r="AI479" s="54"/>
      <c r="AJ479" s="54"/>
      <c r="AK479" s="54"/>
      <c r="AL479" s="54"/>
      <c r="AO479" s="55"/>
      <c r="AP479" s="55"/>
    </row>
    <row r="480" ht="14.25" customHeight="1">
      <c r="E480" s="56"/>
      <c r="F480" s="56"/>
      <c r="U480" s="54"/>
      <c r="V480" s="54"/>
      <c r="AE480" s="54"/>
      <c r="AG480" s="54"/>
      <c r="AI480" s="54"/>
      <c r="AJ480" s="54"/>
      <c r="AK480" s="54"/>
      <c r="AL480" s="54"/>
      <c r="AO480" s="55"/>
      <c r="AP480" s="55"/>
    </row>
    <row r="481" ht="14.25" customHeight="1">
      <c r="E481" s="56"/>
      <c r="F481" s="56"/>
      <c r="U481" s="54"/>
      <c r="V481" s="54"/>
      <c r="AE481" s="54"/>
      <c r="AG481" s="54"/>
      <c r="AI481" s="54"/>
      <c r="AJ481" s="54"/>
      <c r="AK481" s="54"/>
      <c r="AL481" s="54"/>
      <c r="AO481" s="55"/>
      <c r="AP481" s="55"/>
    </row>
    <row r="482" ht="14.25" customHeight="1">
      <c r="E482" s="56"/>
      <c r="F482" s="56"/>
      <c r="U482" s="54"/>
      <c r="V482" s="54"/>
      <c r="AE482" s="54"/>
      <c r="AG482" s="54"/>
      <c r="AI482" s="54"/>
      <c r="AJ482" s="54"/>
      <c r="AK482" s="54"/>
      <c r="AL482" s="54"/>
      <c r="AO482" s="55"/>
      <c r="AP482" s="55"/>
    </row>
    <row r="483" ht="14.25" customHeight="1">
      <c r="E483" s="56"/>
      <c r="F483" s="56"/>
      <c r="U483" s="54"/>
      <c r="V483" s="54"/>
      <c r="AE483" s="54"/>
      <c r="AG483" s="54"/>
      <c r="AI483" s="54"/>
      <c r="AJ483" s="54"/>
      <c r="AK483" s="54"/>
      <c r="AL483" s="54"/>
      <c r="AO483" s="55"/>
      <c r="AP483" s="55"/>
    </row>
    <row r="484" ht="14.25" customHeight="1">
      <c r="E484" s="56"/>
      <c r="F484" s="56"/>
      <c r="U484" s="54"/>
      <c r="V484" s="54"/>
      <c r="AE484" s="54"/>
      <c r="AG484" s="54"/>
      <c r="AI484" s="54"/>
      <c r="AJ484" s="54"/>
      <c r="AK484" s="54"/>
      <c r="AL484" s="54"/>
      <c r="AO484" s="55"/>
      <c r="AP484" s="55"/>
    </row>
    <row r="485" ht="14.25" customHeight="1">
      <c r="E485" s="56"/>
      <c r="F485" s="56"/>
      <c r="U485" s="54"/>
      <c r="V485" s="54"/>
      <c r="AE485" s="54"/>
      <c r="AG485" s="54"/>
      <c r="AI485" s="54"/>
      <c r="AJ485" s="54"/>
      <c r="AK485" s="54"/>
      <c r="AL485" s="54"/>
      <c r="AO485" s="55"/>
      <c r="AP485" s="55"/>
    </row>
    <row r="486" ht="14.25" customHeight="1">
      <c r="E486" s="56"/>
      <c r="F486" s="56"/>
      <c r="U486" s="54"/>
      <c r="V486" s="54"/>
      <c r="AE486" s="54"/>
      <c r="AG486" s="54"/>
      <c r="AI486" s="54"/>
      <c r="AJ486" s="54"/>
      <c r="AK486" s="54"/>
      <c r="AL486" s="54"/>
      <c r="AO486" s="55"/>
      <c r="AP486" s="55"/>
    </row>
    <row r="487" ht="14.25" customHeight="1">
      <c r="E487" s="56"/>
      <c r="F487" s="56"/>
      <c r="U487" s="54"/>
      <c r="V487" s="54"/>
      <c r="AE487" s="54"/>
      <c r="AG487" s="54"/>
      <c r="AI487" s="54"/>
      <c r="AJ487" s="54"/>
      <c r="AK487" s="54"/>
      <c r="AL487" s="54"/>
      <c r="AO487" s="55"/>
      <c r="AP487" s="55"/>
    </row>
    <row r="488" ht="14.25" customHeight="1">
      <c r="E488" s="56"/>
      <c r="F488" s="56"/>
      <c r="U488" s="54"/>
      <c r="V488" s="54"/>
      <c r="AE488" s="54"/>
      <c r="AG488" s="54"/>
      <c r="AI488" s="54"/>
      <c r="AJ488" s="54"/>
      <c r="AK488" s="54"/>
      <c r="AL488" s="54"/>
      <c r="AO488" s="55"/>
      <c r="AP488" s="55"/>
    </row>
    <row r="489" ht="14.25" customHeight="1">
      <c r="E489" s="56"/>
      <c r="F489" s="56"/>
      <c r="U489" s="54"/>
      <c r="V489" s="54"/>
      <c r="AE489" s="54"/>
      <c r="AG489" s="54"/>
      <c r="AI489" s="54"/>
      <c r="AJ489" s="54"/>
      <c r="AK489" s="54"/>
      <c r="AL489" s="54"/>
      <c r="AO489" s="55"/>
      <c r="AP489" s="55"/>
    </row>
    <row r="490" ht="14.25" customHeight="1">
      <c r="E490" s="56"/>
      <c r="F490" s="56"/>
      <c r="U490" s="54"/>
      <c r="V490" s="54"/>
      <c r="AE490" s="54"/>
      <c r="AG490" s="54"/>
      <c r="AI490" s="54"/>
      <c r="AJ490" s="54"/>
      <c r="AK490" s="54"/>
      <c r="AL490" s="54"/>
      <c r="AO490" s="55"/>
      <c r="AP490" s="55"/>
    </row>
    <row r="491" ht="14.25" customHeight="1">
      <c r="E491" s="56"/>
      <c r="F491" s="56"/>
      <c r="U491" s="54"/>
      <c r="V491" s="54"/>
      <c r="AE491" s="54"/>
      <c r="AG491" s="54"/>
      <c r="AI491" s="54"/>
      <c r="AJ491" s="54"/>
      <c r="AK491" s="54"/>
      <c r="AL491" s="54"/>
      <c r="AO491" s="55"/>
      <c r="AP491" s="55"/>
    </row>
    <row r="492" ht="14.25" customHeight="1">
      <c r="E492" s="56"/>
      <c r="F492" s="56"/>
      <c r="U492" s="54"/>
      <c r="V492" s="54"/>
      <c r="AE492" s="54"/>
      <c r="AG492" s="54"/>
      <c r="AI492" s="54"/>
      <c r="AJ492" s="54"/>
      <c r="AK492" s="54"/>
      <c r="AL492" s="54"/>
      <c r="AO492" s="55"/>
      <c r="AP492" s="55"/>
    </row>
    <row r="493" ht="14.25" customHeight="1">
      <c r="E493" s="56"/>
      <c r="F493" s="56"/>
      <c r="U493" s="54"/>
      <c r="V493" s="54"/>
      <c r="AE493" s="54"/>
      <c r="AG493" s="54"/>
      <c r="AI493" s="54"/>
      <c r="AJ493" s="54"/>
      <c r="AK493" s="54"/>
      <c r="AL493" s="54"/>
      <c r="AO493" s="55"/>
      <c r="AP493" s="55"/>
    </row>
    <row r="494" ht="14.25" customHeight="1">
      <c r="E494" s="56"/>
      <c r="F494" s="56"/>
      <c r="U494" s="54"/>
      <c r="V494" s="54"/>
      <c r="AE494" s="54"/>
      <c r="AG494" s="54"/>
      <c r="AI494" s="54"/>
      <c r="AJ494" s="54"/>
      <c r="AK494" s="54"/>
      <c r="AL494" s="54"/>
      <c r="AO494" s="55"/>
      <c r="AP494" s="55"/>
    </row>
    <row r="495" ht="14.25" customHeight="1">
      <c r="E495" s="56"/>
      <c r="F495" s="56"/>
      <c r="U495" s="54"/>
      <c r="V495" s="54"/>
      <c r="AE495" s="54"/>
      <c r="AG495" s="54"/>
      <c r="AI495" s="54"/>
      <c r="AJ495" s="54"/>
      <c r="AK495" s="54"/>
      <c r="AL495" s="54"/>
      <c r="AO495" s="55"/>
      <c r="AP495" s="55"/>
    </row>
    <row r="496" ht="14.25" customHeight="1">
      <c r="E496" s="56"/>
      <c r="F496" s="56"/>
      <c r="U496" s="54"/>
      <c r="V496" s="54"/>
      <c r="AE496" s="54"/>
      <c r="AG496" s="54"/>
      <c r="AI496" s="54"/>
      <c r="AJ496" s="54"/>
      <c r="AK496" s="54"/>
      <c r="AL496" s="54"/>
      <c r="AO496" s="55"/>
      <c r="AP496" s="55"/>
    </row>
    <row r="497" ht="14.25" customHeight="1">
      <c r="E497" s="56"/>
      <c r="F497" s="56"/>
      <c r="U497" s="54"/>
      <c r="V497" s="54"/>
      <c r="AE497" s="54"/>
      <c r="AG497" s="54"/>
      <c r="AI497" s="54"/>
      <c r="AJ497" s="54"/>
      <c r="AK497" s="54"/>
      <c r="AL497" s="54"/>
      <c r="AO497" s="55"/>
      <c r="AP497" s="55"/>
    </row>
    <row r="498" ht="14.25" customHeight="1">
      <c r="E498" s="56"/>
      <c r="F498" s="56"/>
      <c r="U498" s="54"/>
      <c r="V498" s="54"/>
      <c r="AE498" s="54"/>
      <c r="AG498" s="54"/>
      <c r="AI498" s="54"/>
      <c r="AJ498" s="54"/>
      <c r="AK498" s="54"/>
      <c r="AL498" s="54"/>
      <c r="AO498" s="55"/>
      <c r="AP498" s="55"/>
    </row>
    <row r="499" ht="14.25" customHeight="1">
      <c r="E499" s="56"/>
      <c r="F499" s="56"/>
      <c r="U499" s="54"/>
      <c r="V499" s="54"/>
      <c r="AE499" s="54"/>
      <c r="AG499" s="54"/>
      <c r="AI499" s="54"/>
      <c r="AJ499" s="54"/>
      <c r="AK499" s="54"/>
      <c r="AL499" s="54"/>
      <c r="AO499" s="55"/>
      <c r="AP499" s="55"/>
    </row>
    <row r="500" ht="14.25" customHeight="1">
      <c r="E500" s="56"/>
      <c r="F500" s="56"/>
      <c r="U500" s="54"/>
      <c r="V500" s="54"/>
      <c r="AE500" s="54"/>
      <c r="AG500" s="54"/>
      <c r="AI500" s="54"/>
      <c r="AJ500" s="54"/>
      <c r="AK500" s="54"/>
      <c r="AL500" s="54"/>
      <c r="AO500" s="55"/>
      <c r="AP500" s="55"/>
    </row>
    <row r="501" ht="14.25" customHeight="1">
      <c r="E501" s="56"/>
      <c r="F501" s="56"/>
      <c r="U501" s="54"/>
      <c r="V501" s="54"/>
      <c r="AE501" s="54"/>
      <c r="AG501" s="54"/>
      <c r="AI501" s="54"/>
      <c r="AJ501" s="54"/>
      <c r="AK501" s="54"/>
      <c r="AL501" s="54"/>
      <c r="AO501" s="55"/>
      <c r="AP501" s="55"/>
    </row>
    <row r="502" ht="14.25" customHeight="1">
      <c r="E502" s="56"/>
      <c r="F502" s="56"/>
      <c r="U502" s="54"/>
      <c r="V502" s="54"/>
      <c r="AE502" s="54"/>
      <c r="AG502" s="54"/>
      <c r="AI502" s="54"/>
      <c r="AJ502" s="54"/>
      <c r="AK502" s="54"/>
      <c r="AL502" s="54"/>
      <c r="AO502" s="55"/>
      <c r="AP502" s="55"/>
    </row>
    <row r="503" ht="14.25" customHeight="1">
      <c r="E503" s="56"/>
      <c r="F503" s="56"/>
      <c r="U503" s="54"/>
      <c r="V503" s="54"/>
      <c r="AE503" s="54"/>
      <c r="AG503" s="54"/>
      <c r="AI503" s="54"/>
      <c r="AJ503" s="54"/>
      <c r="AK503" s="54"/>
      <c r="AL503" s="54"/>
      <c r="AO503" s="55"/>
      <c r="AP503" s="55"/>
    </row>
    <row r="504" ht="14.25" customHeight="1">
      <c r="E504" s="56"/>
      <c r="F504" s="56"/>
      <c r="U504" s="54"/>
      <c r="V504" s="54"/>
      <c r="AE504" s="54"/>
      <c r="AG504" s="54"/>
      <c r="AI504" s="54"/>
      <c r="AJ504" s="54"/>
      <c r="AK504" s="54"/>
      <c r="AL504" s="54"/>
      <c r="AO504" s="55"/>
      <c r="AP504" s="55"/>
    </row>
    <row r="505" ht="14.25" customHeight="1">
      <c r="E505" s="56"/>
      <c r="F505" s="56"/>
      <c r="U505" s="54"/>
      <c r="V505" s="54"/>
      <c r="AE505" s="54"/>
      <c r="AG505" s="54"/>
      <c r="AI505" s="54"/>
      <c r="AJ505" s="54"/>
      <c r="AK505" s="54"/>
      <c r="AL505" s="54"/>
      <c r="AO505" s="55"/>
      <c r="AP505" s="55"/>
    </row>
    <row r="506" ht="14.25" customHeight="1">
      <c r="E506" s="56"/>
      <c r="F506" s="56"/>
      <c r="U506" s="54"/>
      <c r="V506" s="54"/>
      <c r="AE506" s="54"/>
      <c r="AG506" s="54"/>
      <c r="AI506" s="54"/>
      <c r="AJ506" s="54"/>
      <c r="AK506" s="54"/>
      <c r="AL506" s="54"/>
      <c r="AO506" s="55"/>
      <c r="AP506" s="55"/>
    </row>
    <row r="507" ht="14.25" customHeight="1">
      <c r="E507" s="56"/>
      <c r="F507" s="56"/>
      <c r="U507" s="54"/>
      <c r="V507" s="54"/>
      <c r="AE507" s="54"/>
      <c r="AG507" s="54"/>
      <c r="AI507" s="54"/>
      <c r="AJ507" s="54"/>
      <c r="AK507" s="54"/>
      <c r="AL507" s="54"/>
      <c r="AO507" s="55"/>
      <c r="AP507" s="55"/>
    </row>
    <row r="508" ht="14.25" customHeight="1">
      <c r="E508" s="56"/>
      <c r="F508" s="56"/>
      <c r="U508" s="54"/>
      <c r="V508" s="54"/>
      <c r="AE508" s="54"/>
      <c r="AG508" s="54"/>
      <c r="AI508" s="54"/>
      <c r="AJ508" s="54"/>
      <c r="AK508" s="54"/>
      <c r="AL508" s="54"/>
      <c r="AO508" s="55"/>
      <c r="AP508" s="55"/>
    </row>
    <row r="509" ht="14.25" customHeight="1">
      <c r="E509" s="56"/>
      <c r="F509" s="56"/>
      <c r="U509" s="54"/>
      <c r="V509" s="54"/>
      <c r="AE509" s="54"/>
      <c r="AG509" s="54"/>
      <c r="AI509" s="54"/>
      <c r="AJ509" s="54"/>
      <c r="AK509" s="54"/>
      <c r="AL509" s="54"/>
      <c r="AO509" s="55"/>
      <c r="AP509" s="55"/>
    </row>
    <row r="510" ht="14.25" customHeight="1">
      <c r="E510" s="56"/>
      <c r="F510" s="56"/>
      <c r="U510" s="54"/>
      <c r="V510" s="54"/>
      <c r="AE510" s="54"/>
      <c r="AG510" s="54"/>
      <c r="AI510" s="54"/>
      <c r="AJ510" s="54"/>
      <c r="AK510" s="54"/>
      <c r="AL510" s="54"/>
      <c r="AO510" s="55"/>
      <c r="AP510" s="55"/>
    </row>
    <row r="511" ht="14.25" customHeight="1">
      <c r="E511" s="56"/>
      <c r="F511" s="56"/>
      <c r="U511" s="54"/>
      <c r="V511" s="54"/>
      <c r="AE511" s="54"/>
      <c r="AG511" s="54"/>
      <c r="AI511" s="54"/>
      <c r="AJ511" s="54"/>
      <c r="AK511" s="54"/>
      <c r="AL511" s="54"/>
      <c r="AO511" s="55"/>
      <c r="AP511" s="55"/>
    </row>
    <row r="512" ht="14.25" customHeight="1">
      <c r="E512" s="56"/>
      <c r="F512" s="56"/>
      <c r="U512" s="54"/>
      <c r="V512" s="54"/>
      <c r="AE512" s="54"/>
      <c r="AG512" s="54"/>
      <c r="AI512" s="54"/>
      <c r="AJ512" s="54"/>
      <c r="AK512" s="54"/>
      <c r="AL512" s="54"/>
      <c r="AO512" s="55"/>
      <c r="AP512" s="55"/>
    </row>
    <row r="513" ht="14.25" customHeight="1">
      <c r="E513" s="56"/>
      <c r="F513" s="56"/>
      <c r="U513" s="54"/>
      <c r="V513" s="54"/>
      <c r="AE513" s="54"/>
      <c r="AG513" s="54"/>
      <c r="AI513" s="54"/>
      <c r="AJ513" s="54"/>
      <c r="AK513" s="54"/>
      <c r="AL513" s="54"/>
      <c r="AO513" s="55"/>
      <c r="AP513" s="55"/>
    </row>
    <row r="514" ht="14.25" customHeight="1">
      <c r="E514" s="56"/>
      <c r="F514" s="56"/>
      <c r="U514" s="54"/>
      <c r="V514" s="54"/>
      <c r="AE514" s="54"/>
      <c r="AG514" s="54"/>
      <c r="AI514" s="54"/>
      <c r="AJ514" s="54"/>
      <c r="AK514" s="54"/>
      <c r="AL514" s="54"/>
      <c r="AO514" s="55"/>
      <c r="AP514" s="55"/>
    </row>
    <row r="515" ht="14.25" customHeight="1">
      <c r="E515" s="56"/>
      <c r="F515" s="56"/>
      <c r="U515" s="54"/>
      <c r="V515" s="54"/>
      <c r="AE515" s="54"/>
      <c r="AG515" s="54"/>
      <c r="AI515" s="54"/>
      <c r="AJ515" s="54"/>
      <c r="AK515" s="54"/>
      <c r="AL515" s="54"/>
      <c r="AO515" s="55"/>
      <c r="AP515" s="55"/>
    </row>
    <row r="516" ht="14.25" customHeight="1">
      <c r="E516" s="56"/>
      <c r="F516" s="56"/>
      <c r="U516" s="54"/>
      <c r="V516" s="54"/>
      <c r="AE516" s="54"/>
      <c r="AG516" s="54"/>
      <c r="AI516" s="54"/>
      <c r="AJ516" s="54"/>
      <c r="AK516" s="54"/>
      <c r="AL516" s="54"/>
      <c r="AO516" s="55"/>
      <c r="AP516" s="55"/>
    </row>
    <row r="517" ht="14.25" customHeight="1">
      <c r="E517" s="56"/>
      <c r="F517" s="56"/>
      <c r="U517" s="54"/>
      <c r="V517" s="54"/>
      <c r="AE517" s="54"/>
      <c r="AG517" s="54"/>
      <c r="AI517" s="54"/>
      <c r="AJ517" s="54"/>
      <c r="AK517" s="54"/>
      <c r="AL517" s="54"/>
      <c r="AO517" s="55"/>
      <c r="AP517" s="55"/>
    </row>
    <row r="518" ht="14.25" customHeight="1">
      <c r="E518" s="56"/>
      <c r="F518" s="56"/>
      <c r="U518" s="54"/>
      <c r="V518" s="54"/>
      <c r="AE518" s="54"/>
      <c r="AG518" s="54"/>
      <c r="AI518" s="54"/>
      <c r="AJ518" s="54"/>
      <c r="AK518" s="54"/>
      <c r="AL518" s="54"/>
      <c r="AO518" s="55"/>
      <c r="AP518" s="55"/>
    </row>
    <row r="519" ht="14.25" customHeight="1">
      <c r="E519" s="56"/>
      <c r="F519" s="56"/>
      <c r="U519" s="54"/>
      <c r="V519" s="54"/>
      <c r="AE519" s="54"/>
      <c r="AG519" s="54"/>
      <c r="AI519" s="54"/>
      <c r="AJ519" s="54"/>
      <c r="AK519" s="54"/>
      <c r="AL519" s="54"/>
      <c r="AO519" s="55"/>
      <c r="AP519" s="55"/>
    </row>
    <row r="520" ht="14.25" customHeight="1">
      <c r="E520" s="56"/>
      <c r="F520" s="56"/>
      <c r="U520" s="54"/>
      <c r="V520" s="54"/>
      <c r="AE520" s="54"/>
      <c r="AG520" s="54"/>
      <c r="AI520" s="54"/>
      <c r="AJ520" s="54"/>
      <c r="AK520" s="54"/>
      <c r="AL520" s="54"/>
      <c r="AO520" s="55"/>
      <c r="AP520" s="55"/>
    </row>
    <row r="521" ht="14.25" customHeight="1">
      <c r="E521" s="56"/>
      <c r="F521" s="56"/>
      <c r="U521" s="54"/>
      <c r="V521" s="54"/>
      <c r="AE521" s="54"/>
      <c r="AG521" s="54"/>
      <c r="AI521" s="54"/>
      <c r="AJ521" s="54"/>
      <c r="AK521" s="54"/>
      <c r="AL521" s="54"/>
      <c r="AO521" s="55"/>
      <c r="AP521" s="55"/>
    </row>
    <row r="522" ht="14.25" customHeight="1">
      <c r="E522" s="56"/>
      <c r="F522" s="56"/>
      <c r="U522" s="54"/>
      <c r="V522" s="54"/>
      <c r="AE522" s="54"/>
      <c r="AG522" s="54"/>
      <c r="AI522" s="54"/>
      <c r="AJ522" s="54"/>
      <c r="AK522" s="54"/>
      <c r="AL522" s="54"/>
      <c r="AO522" s="55"/>
      <c r="AP522" s="55"/>
    </row>
    <row r="523" ht="14.25" customHeight="1">
      <c r="E523" s="56"/>
      <c r="F523" s="56"/>
      <c r="U523" s="54"/>
      <c r="V523" s="54"/>
      <c r="AE523" s="54"/>
      <c r="AG523" s="54"/>
      <c r="AI523" s="54"/>
      <c r="AJ523" s="54"/>
      <c r="AK523" s="54"/>
      <c r="AL523" s="54"/>
      <c r="AO523" s="55"/>
      <c r="AP523" s="55"/>
    </row>
    <row r="524" ht="14.25" customHeight="1">
      <c r="E524" s="56"/>
      <c r="F524" s="56"/>
      <c r="U524" s="54"/>
      <c r="V524" s="54"/>
      <c r="AE524" s="54"/>
      <c r="AG524" s="54"/>
      <c r="AI524" s="54"/>
      <c r="AJ524" s="54"/>
      <c r="AK524" s="54"/>
      <c r="AL524" s="54"/>
      <c r="AO524" s="55"/>
      <c r="AP524" s="55"/>
    </row>
    <row r="525" ht="14.25" customHeight="1">
      <c r="E525" s="56"/>
      <c r="F525" s="56"/>
      <c r="U525" s="54"/>
      <c r="V525" s="54"/>
      <c r="AE525" s="54"/>
      <c r="AG525" s="54"/>
      <c r="AI525" s="54"/>
      <c r="AJ525" s="54"/>
      <c r="AK525" s="54"/>
      <c r="AL525" s="54"/>
      <c r="AO525" s="55"/>
      <c r="AP525" s="55"/>
    </row>
    <row r="526" ht="14.25" customHeight="1">
      <c r="E526" s="56"/>
      <c r="F526" s="56"/>
      <c r="U526" s="54"/>
      <c r="V526" s="54"/>
      <c r="AE526" s="54"/>
      <c r="AG526" s="54"/>
      <c r="AI526" s="54"/>
      <c r="AJ526" s="54"/>
      <c r="AK526" s="54"/>
      <c r="AL526" s="54"/>
      <c r="AO526" s="55"/>
      <c r="AP526" s="55"/>
    </row>
    <row r="527" ht="14.25" customHeight="1">
      <c r="E527" s="56"/>
      <c r="F527" s="56"/>
      <c r="U527" s="54"/>
      <c r="V527" s="54"/>
      <c r="AE527" s="54"/>
      <c r="AG527" s="54"/>
      <c r="AI527" s="54"/>
      <c r="AJ527" s="54"/>
      <c r="AK527" s="54"/>
      <c r="AL527" s="54"/>
      <c r="AO527" s="55"/>
      <c r="AP527" s="55"/>
    </row>
    <row r="528" ht="14.25" customHeight="1">
      <c r="E528" s="56"/>
      <c r="F528" s="56"/>
      <c r="U528" s="54"/>
      <c r="V528" s="54"/>
      <c r="AE528" s="54"/>
      <c r="AG528" s="54"/>
      <c r="AI528" s="54"/>
      <c r="AJ528" s="54"/>
      <c r="AK528" s="54"/>
      <c r="AL528" s="54"/>
      <c r="AO528" s="55"/>
      <c r="AP528" s="55"/>
    </row>
    <row r="529" ht="14.25" customHeight="1">
      <c r="E529" s="56"/>
      <c r="F529" s="56"/>
      <c r="U529" s="54"/>
      <c r="V529" s="54"/>
      <c r="AE529" s="54"/>
      <c r="AG529" s="54"/>
      <c r="AI529" s="54"/>
      <c r="AJ529" s="54"/>
      <c r="AK529" s="54"/>
      <c r="AL529" s="54"/>
      <c r="AO529" s="55"/>
      <c r="AP529" s="55"/>
    </row>
    <row r="530" ht="14.25" customHeight="1">
      <c r="E530" s="56"/>
      <c r="F530" s="56"/>
      <c r="U530" s="54"/>
      <c r="V530" s="54"/>
      <c r="AE530" s="54"/>
      <c r="AG530" s="54"/>
      <c r="AI530" s="54"/>
      <c r="AJ530" s="54"/>
      <c r="AK530" s="54"/>
      <c r="AL530" s="54"/>
      <c r="AO530" s="55"/>
      <c r="AP530" s="55"/>
    </row>
    <row r="531" ht="14.25" customHeight="1">
      <c r="E531" s="56"/>
      <c r="F531" s="56"/>
      <c r="U531" s="54"/>
      <c r="V531" s="54"/>
      <c r="AE531" s="54"/>
      <c r="AG531" s="54"/>
      <c r="AI531" s="54"/>
      <c r="AJ531" s="54"/>
      <c r="AK531" s="54"/>
      <c r="AL531" s="54"/>
      <c r="AO531" s="55"/>
      <c r="AP531" s="55"/>
    </row>
    <row r="532" ht="14.25" customHeight="1">
      <c r="E532" s="56"/>
      <c r="F532" s="56"/>
      <c r="U532" s="54"/>
      <c r="V532" s="54"/>
      <c r="AE532" s="54"/>
      <c r="AG532" s="54"/>
      <c r="AI532" s="54"/>
      <c r="AJ532" s="54"/>
      <c r="AK532" s="54"/>
      <c r="AL532" s="54"/>
      <c r="AO532" s="55"/>
      <c r="AP532" s="55"/>
    </row>
    <row r="533" ht="14.25" customHeight="1">
      <c r="E533" s="56"/>
      <c r="F533" s="56"/>
      <c r="U533" s="54"/>
      <c r="V533" s="54"/>
      <c r="AE533" s="54"/>
      <c r="AG533" s="54"/>
      <c r="AI533" s="54"/>
      <c r="AJ533" s="54"/>
      <c r="AK533" s="54"/>
      <c r="AL533" s="54"/>
      <c r="AO533" s="55"/>
      <c r="AP533" s="55"/>
    </row>
    <row r="534" ht="14.25" customHeight="1">
      <c r="E534" s="56"/>
      <c r="F534" s="56"/>
      <c r="U534" s="54"/>
      <c r="V534" s="54"/>
      <c r="AE534" s="54"/>
      <c r="AG534" s="54"/>
      <c r="AI534" s="54"/>
      <c r="AJ534" s="54"/>
      <c r="AK534" s="54"/>
      <c r="AL534" s="54"/>
      <c r="AO534" s="55"/>
      <c r="AP534" s="55"/>
    </row>
    <row r="535" ht="14.25" customHeight="1">
      <c r="E535" s="56"/>
      <c r="F535" s="56"/>
      <c r="U535" s="54"/>
      <c r="V535" s="54"/>
      <c r="AE535" s="54"/>
      <c r="AG535" s="54"/>
      <c r="AI535" s="54"/>
      <c r="AJ535" s="54"/>
      <c r="AK535" s="54"/>
      <c r="AL535" s="54"/>
      <c r="AO535" s="55"/>
      <c r="AP535" s="55"/>
    </row>
    <row r="536" ht="14.25" customHeight="1">
      <c r="E536" s="56"/>
      <c r="F536" s="56"/>
      <c r="U536" s="54"/>
      <c r="V536" s="54"/>
      <c r="AE536" s="54"/>
      <c r="AG536" s="54"/>
      <c r="AI536" s="54"/>
      <c r="AJ536" s="54"/>
      <c r="AK536" s="54"/>
      <c r="AL536" s="54"/>
      <c r="AO536" s="55"/>
      <c r="AP536" s="55"/>
    </row>
    <row r="537" ht="14.25" customHeight="1">
      <c r="E537" s="56"/>
      <c r="F537" s="56"/>
      <c r="U537" s="54"/>
      <c r="V537" s="54"/>
      <c r="AE537" s="54"/>
      <c r="AG537" s="54"/>
      <c r="AI537" s="54"/>
      <c r="AJ537" s="54"/>
      <c r="AK537" s="54"/>
      <c r="AL537" s="54"/>
      <c r="AO537" s="55"/>
      <c r="AP537" s="55"/>
    </row>
    <row r="538" ht="14.25" customHeight="1">
      <c r="E538" s="56"/>
      <c r="F538" s="56"/>
      <c r="U538" s="54"/>
      <c r="V538" s="54"/>
      <c r="AE538" s="54"/>
      <c r="AG538" s="54"/>
      <c r="AI538" s="54"/>
      <c r="AJ538" s="54"/>
      <c r="AK538" s="54"/>
      <c r="AL538" s="54"/>
      <c r="AO538" s="55"/>
      <c r="AP538" s="55"/>
    </row>
    <row r="539" ht="14.25" customHeight="1">
      <c r="E539" s="56"/>
      <c r="F539" s="56"/>
      <c r="U539" s="54"/>
      <c r="V539" s="54"/>
      <c r="AE539" s="54"/>
      <c r="AG539" s="54"/>
      <c r="AI539" s="54"/>
      <c r="AJ539" s="54"/>
      <c r="AK539" s="54"/>
      <c r="AL539" s="54"/>
      <c r="AO539" s="55"/>
      <c r="AP539" s="55"/>
    </row>
    <row r="540" ht="14.25" customHeight="1">
      <c r="E540" s="56"/>
      <c r="F540" s="56"/>
      <c r="U540" s="54"/>
      <c r="V540" s="54"/>
      <c r="AE540" s="54"/>
      <c r="AG540" s="54"/>
      <c r="AI540" s="54"/>
      <c r="AJ540" s="54"/>
      <c r="AK540" s="54"/>
      <c r="AL540" s="54"/>
      <c r="AO540" s="55"/>
      <c r="AP540" s="55"/>
    </row>
    <row r="541" ht="14.25" customHeight="1">
      <c r="E541" s="56"/>
      <c r="F541" s="56"/>
      <c r="U541" s="54"/>
      <c r="V541" s="54"/>
      <c r="AE541" s="54"/>
      <c r="AG541" s="54"/>
      <c r="AI541" s="54"/>
      <c r="AJ541" s="54"/>
      <c r="AK541" s="54"/>
      <c r="AL541" s="54"/>
      <c r="AO541" s="55"/>
      <c r="AP541" s="55"/>
    </row>
    <row r="542" ht="14.25" customHeight="1">
      <c r="E542" s="56"/>
      <c r="F542" s="56"/>
      <c r="U542" s="54"/>
      <c r="V542" s="54"/>
      <c r="AE542" s="54"/>
      <c r="AG542" s="54"/>
      <c r="AI542" s="54"/>
      <c r="AJ542" s="54"/>
      <c r="AK542" s="54"/>
      <c r="AL542" s="54"/>
      <c r="AO542" s="55"/>
      <c r="AP542" s="55"/>
    </row>
    <row r="543" ht="14.25" customHeight="1">
      <c r="E543" s="56"/>
      <c r="F543" s="56"/>
      <c r="U543" s="54"/>
      <c r="V543" s="54"/>
      <c r="AE543" s="54"/>
      <c r="AG543" s="54"/>
      <c r="AI543" s="54"/>
      <c r="AJ543" s="54"/>
      <c r="AK543" s="54"/>
      <c r="AL543" s="54"/>
      <c r="AO543" s="55"/>
      <c r="AP543" s="55"/>
    </row>
    <row r="544" ht="14.25" customHeight="1">
      <c r="E544" s="56"/>
      <c r="F544" s="56"/>
      <c r="U544" s="54"/>
      <c r="V544" s="54"/>
      <c r="AE544" s="54"/>
      <c r="AG544" s="54"/>
      <c r="AI544" s="54"/>
      <c r="AJ544" s="54"/>
      <c r="AK544" s="54"/>
      <c r="AL544" s="54"/>
      <c r="AO544" s="55"/>
      <c r="AP544" s="55"/>
    </row>
    <row r="545" ht="14.25" customHeight="1">
      <c r="E545" s="56"/>
      <c r="F545" s="56"/>
      <c r="U545" s="54"/>
      <c r="V545" s="54"/>
      <c r="AE545" s="54"/>
      <c r="AG545" s="54"/>
      <c r="AI545" s="54"/>
      <c r="AJ545" s="54"/>
      <c r="AK545" s="54"/>
      <c r="AL545" s="54"/>
      <c r="AO545" s="55"/>
      <c r="AP545" s="55"/>
    </row>
    <row r="546" ht="14.25" customHeight="1">
      <c r="E546" s="56"/>
      <c r="F546" s="56"/>
      <c r="U546" s="54"/>
      <c r="V546" s="54"/>
      <c r="AE546" s="54"/>
      <c r="AG546" s="54"/>
      <c r="AI546" s="54"/>
      <c r="AJ546" s="54"/>
      <c r="AK546" s="54"/>
      <c r="AL546" s="54"/>
      <c r="AO546" s="55"/>
      <c r="AP546" s="55"/>
    </row>
    <row r="547" ht="14.25" customHeight="1">
      <c r="E547" s="56"/>
      <c r="F547" s="56"/>
      <c r="U547" s="54"/>
      <c r="V547" s="54"/>
      <c r="AE547" s="54"/>
      <c r="AG547" s="54"/>
      <c r="AI547" s="54"/>
      <c r="AJ547" s="54"/>
      <c r="AK547" s="54"/>
      <c r="AL547" s="54"/>
      <c r="AO547" s="55"/>
      <c r="AP547" s="55"/>
    </row>
    <row r="548" ht="14.25" customHeight="1">
      <c r="E548" s="56"/>
      <c r="F548" s="56"/>
      <c r="U548" s="54"/>
      <c r="V548" s="54"/>
      <c r="AE548" s="54"/>
      <c r="AG548" s="54"/>
      <c r="AI548" s="54"/>
      <c r="AJ548" s="54"/>
      <c r="AK548" s="54"/>
      <c r="AL548" s="54"/>
      <c r="AO548" s="55"/>
      <c r="AP548" s="55"/>
    </row>
    <row r="549" ht="14.25" customHeight="1">
      <c r="E549" s="56"/>
      <c r="F549" s="56"/>
      <c r="U549" s="54"/>
      <c r="V549" s="54"/>
      <c r="AE549" s="54"/>
      <c r="AG549" s="54"/>
      <c r="AI549" s="54"/>
      <c r="AJ549" s="54"/>
      <c r="AK549" s="54"/>
      <c r="AL549" s="54"/>
      <c r="AO549" s="55"/>
      <c r="AP549" s="55"/>
    </row>
    <row r="550" ht="14.25" customHeight="1">
      <c r="E550" s="56"/>
      <c r="F550" s="56"/>
      <c r="U550" s="54"/>
      <c r="V550" s="54"/>
      <c r="AE550" s="54"/>
      <c r="AG550" s="54"/>
      <c r="AI550" s="54"/>
      <c r="AJ550" s="54"/>
      <c r="AK550" s="54"/>
      <c r="AL550" s="54"/>
      <c r="AO550" s="55"/>
      <c r="AP550" s="55"/>
    </row>
    <row r="551" ht="14.25" customHeight="1">
      <c r="E551" s="56"/>
      <c r="F551" s="56"/>
      <c r="U551" s="54"/>
      <c r="V551" s="54"/>
      <c r="AE551" s="54"/>
      <c r="AG551" s="54"/>
      <c r="AI551" s="54"/>
      <c r="AJ551" s="54"/>
      <c r="AK551" s="54"/>
      <c r="AL551" s="54"/>
      <c r="AO551" s="55"/>
      <c r="AP551" s="55"/>
    </row>
    <row r="552" ht="14.25" customHeight="1">
      <c r="E552" s="56"/>
      <c r="F552" s="56"/>
      <c r="U552" s="54"/>
      <c r="V552" s="54"/>
      <c r="AE552" s="54"/>
      <c r="AG552" s="54"/>
      <c r="AI552" s="54"/>
      <c r="AJ552" s="54"/>
      <c r="AK552" s="54"/>
      <c r="AL552" s="54"/>
      <c r="AO552" s="55"/>
      <c r="AP552" s="55"/>
    </row>
    <row r="553" ht="14.25" customHeight="1">
      <c r="E553" s="56"/>
      <c r="F553" s="56"/>
      <c r="U553" s="54"/>
      <c r="V553" s="54"/>
      <c r="AE553" s="54"/>
      <c r="AG553" s="54"/>
      <c r="AI553" s="54"/>
      <c r="AJ553" s="54"/>
      <c r="AK553" s="54"/>
      <c r="AL553" s="54"/>
      <c r="AO553" s="55"/>
      <c r="AP553" s="55"/>
    </row>
    <row r="554" ht="14.25" customHeight="1">
      <c r="E554" s="56"/>
      <c r="F554" s="56"/>
      <c r="U554" s="54"/>
      <c r="V554" s="54"/>
      <c r="AE554" s="54"/>
      <c r="AG554" s="54"/>
      <c r="AI554" s="54"/>
      <c r="AJ554" s="54"/>
      <c r="AK554" s="54"/>
      <c r="AL554" s="54"/>
      <c r="AO554" s="55"/>
      <c r="AP554" s="55"/>
    </row>
    <row r="555" ht="14.25" customHeight="1">
      <c r="E555" s="56"/>
      <c r="F555" s="56"/>
      <c r="U555" s="54"/>
      <c r="V555" s="54"/>
      <c r="AE555" s="54"/>
      <c r="AG555" s="54"/>
      <c r="AI555" s="54"/>
      <c r="AJ555" s="54"/>
      <c r="AK555" s="54"/>
      <c r="AL555" s="54"/>
      <c r="AO555" s="55"/>
      <c r="AP555" s="55"/>
    </row>
    <row r="556" ht="14.25" customHeight="1">
      <c r="E556" s="56"/>
      <c r="F556" s="56"/>
      <c r="U556" s="54"/>
      <c r="V556" s="54"/>
      <c r="AE556" s="54"/>
      <c r="AG556" s="54"/>
      <c r="AI556" s="54"/>
      <c r="AJ556" s="54"/>
      <c r="AK556" s="54"/>
      <c r="AL556" s="54"/>
      <c r="AO556" s="55"/>
      <c r="AP556" s="55"/>
    </row>
    <row r="557" ht="14.25" customHeight="1">
      <c r="E557" s="56"/>
      <c r="F557" s="56"/>
      <c r="U557" s="54"/>
      <c r="V557" s="54"/>
      <c r="AE557" s="54"/>
      <c r="AG557" s="54"/>
      <c r="AI557" s="54"/>
      <c r="AJ557" s="54"/>
      <c r="AK557" s="54"/>
      <c r="AL557" s="54"/>
      <c r="AO557" s="55"/>
      <c r="AP557" s="55"/>
    </row>
    <row r="558" ht="14.25" customHeight="1">
      <c r="E558" s="56"/>
      <c r="F558" s="56"/>
      <c r="U558" s="54"/>
      <c r="V558" s="54"/>
      <c r="AE558" s="54"/>
      <c r="AG558" s="54"/>
      <c r="AI558" s="54"/>
      <c r="AJ558" s="54"/>
      <c r="AK558" s="54"/>
      <c r="AL558" s="54"/>
      <c r="AO558" s="55"/>
      <c r="AP558" s="55"/>
    </row>
    <row r="559" ht="14.25" customHeight="1">
      <c r="E559" s="56"/>
      <c r="F559" s="56"/>
      <c r="U559" s="54"/>
      <c r="V559" s="54"/>
      <c r="AE559" s="54"/>
      <c r="AG559" s="54"/>
      <c r="AI559" s="54"/>
      <c r="AJ559" s="54"/>
      <c r="AK559" s="54"/>
      <c r="AL559" s="54"/>
      <c r="AO559" s="55"/>
      <c r="AP559" s="55"/>
    </row>
    <row r="560" ht="14.25" customHeight="1">
      <c r="E560" s="56"/>
      <c r="F560" s="56"/>
      <c r="U560" s="54"/>
      <c r="V560" s="54"/>
      <c r="AE560" s="54"/>
      <c r="AG560" s="54"/>
      <c r="AI560" s="54"/>
      <c r="AJ560" s="54"/>
      <c r="AK560" s="54"/>
      <c r="AL560" s="54"/>
      <c r="AO560" s="55"/>
      <c r="AP560" s="55"/>
    </row>
    <row r="561" ht="14.25" customHeight="1">
      <c r="E561" s="56"/>
      <c r="F561" s="56"/>
      <c r="U561" s="54"/>
      <c r="V561" s="54"/>
      <c r="AE561" s="54"/>
      <c r="AG561" s="54"/>
      <c r="AI561" s="54"/>
      <c r="AJ561" s="54"/>
      <c r="AK561" s="54"/>
      <c r="AL561" s="54"/>
      <c r="AO561" s="55"/>
      <c r="AP561" s="55"/>
    </row>
    <row r="562" ht="14.25" customHeight="1">
      <c r="E562" s="56"/>
      <c r="F562" s="56"/>
      <c r="U562" s="54"/>
      <c r="V562" s="54"/>
      <c r="AE562" s="54"/>
      <c r="AG562" s="54"/>
      <c r="AI562" s="54"/>
      <c r="AJ562" s="54"/>
      <c r="AK562" s="54"/>
      <c r="AL562" s="54"/>
      <c r="AO562" s="55"/>
      <c r="AP562" s="55"/>
    </row>
    <row r="563" ht="14.25" customHeight="1">
      <c r="E563" s="56"/>
      <c r="F563" s="56"/>
      <c r="U563" s="54"/>
      <c r="V563" s="54"/>
      <c r="AE563" s="54"/>
      <c r="AG563" s="54"/>
      <c r="AI563" s="54"/>
      <c r="AJ563" s="54"/>
      <c r="AK563" s="54"/>
      <c r="AL563" s="54"/>
      <c r="AO563" s="55"/>
      <c r="AP563" s="55"/>
    </row>
    <row r="564" ht="14.25" customHeight="1">
      <c r="E564" s="56"/>
      <c r="F564" s="56"/>
      <c r="U564" s="54"/>
      <c r="V564" s="54"/>
      <c r="AE564" s="54"/>
      <c r="AG564" s="54"/>
      <c r="AI564" s="54"/>
      <c r="AJ564" s="54"/>
      <c r="AK564" s="54"/>
      <c r="AL564" s="54"/>
      <c r="AO564" s="55"/>
      <c r="AP564" s="55"/>
    </row>
    <row r="565" ht="14.25" customHeight="1">
      <c r="E565" s="56"/>
      <c r="F565" s="56"/>
      <c r="U565" s="54"/>
      <c r="V565" s="54"/>
      <c r="AE565" s="54"/>
      <c r="AG565" s="54"/>
      <c r="AI565" s="54"/>
      <c r="AJ565" s="54"/>
      <c r="AK565" s="54"/>
      <c r="AL565" s="54"/>
      <c r="AO565" s="55"/>
      <c r="AP565" s="55"/>
    </row>
    <row r="566" ht="14.25" customHeight="1">
      <c r="E566" s="56"/>
      <c r="F566" s="56"/>
      <c r="U566" s="54"/>
      <c r="V566" s="54"/>
      <c r="AE566" s="54"/>
      <c r="AG566" s="54"/>
      <c r="AI566" s="54"/>
      <c r="AJ566" s="54"/>
      <c r="AK566" s="54"/>
      <c r="AL566" s="54"/>
      <c r="AO566" s="55"/>
      <c r="AP566" s="55"/>
    </row>
    <row r="567" ht="14.25" customHeight="1">
      <c r="E567" s="56"/>
      <c r="F567" s="56"/>
      <c r="U567" s="54"/>
      <c r="V567" s="54"/>
      <c r="AE567" s="54"/>
      <c r="AG567" s="54"/>
      <c r="AI567" s="54"/>
      <c r="AJ567" s="54"/>
      <c r="AK567" s="54"/>
      <c r="AL567" s="54"/>
      <c r="AO567" s="55"/>
      <c r="AP567" s="55"/>
    </row>
    <row r="568" ht="14.25" customHeight="1">
      <c r="E568" s="56"/>
      <c r="F568" s="56"/>
      <c r="U568" s="54"/>
      <c r="V568" s="54"/>
      <c r="AE568" s="54"/>
      <c r="AG568" s="54"/>
      <c r="AI568" s="54"/>
      <c r="AJ568" s="54"/>
      <c r="AK568" s="54"/>
      <c r="AL568" s="54"/>
      <c r="AO568" s="55"/>
      <c r="AP568" s="55"/>
    </row>
    <row r="569" ht="14.25" customHeight="1">
      <c r="E569" s="56"/>
      <c r="F569" s="56"/>
      <c r="U569" s="54"/>
      <c r="V569" s="54"/>
      <c r="AE569" s="54"/>
      <c r="AG569" s="54"/>
      <c r="AI569" s="54"/>
      <c r="AJ569" s="54"/>
      <c r="AK569" s="54"/>
      <c r="AL569" s="54"/>
      <c r="AO569" s="55"/>
      <c r="AP569" s="55"/>
    </row>
    <row r="570" ht="14.25" customHeight="1">
      <c r="E570" s="56"/>
      <c r="F570" s="56"/>
      <c r="U570" s="54"/>
      <c r="V570" s="54"/>
      <c r="AE570" s="54"/>
      <c r="AG570" s="54"/>
      <c r="AI570" s="54"/>
      <c r="AJ570" s="54"/>
      <c r="AK570" s="54"/>
      <c r="AL570" s="54"/>
      <c r="AO570" s="55"/>
      <c r="AP570" s="55"/>
    </row>
    <row r="571" ht="14.25" customHeight="1">
      <c r="E571" s="56"/>
      <c r="F571" s="56"/>
      <c r="U571" s="54"/>
      <c r="V571" s="54"/>
      <c r="AE571" s="54"/>
      <c r="AG571" s="54"/>
      <c r="AI571" s="54"/>
      <c r="AJ571" s="54"/>
      <c r="AK571" s="54"/>
      <c r="AL571" s="54"/>
      <c r="AO571" s="55"/>
      <c r="AP571" s="55"/>
    </row>
    <row r="572" ht="14.25" customHeight="1">
      <c r="E572" s="56"/>
      <c r="F572" s="56"/>
      <c r="U572" s="54"/>
      <c r="V572" s="54"/>
      <c r="AE572" s="54"/>
      <c r="AG572" s="54"/>
      <c r="AI572" s="54"/>
      <c r="AJ572" s="54"/>
      <c r="AK572" s="54"/>
      <c r="AL572" s="54"/>
      <c r="AO572" s="55"/>
      <c r="AP572" s="55"/>
    </row>
    <row r="573" ht="14.25" customHeight="1">
      <c r="E573" s="56"/>
      <c r="F573" s="56"/>
      <c r="U573" s="54"/>
      <c r="V573" s="54"/>
      <c r="AE573" s="54"/>
      <c r="AG573" s="54"/>
      <c r="AI573" s="54"/>
      <c r="AJ573" s="54"/>
      <c r="AK573" s="54"/>
      <c r="AL573" s="54"/>
      <c r="AO573" s="55"/>
      <c r="AP573" s="55"/>
    </row>
    <row r="574" ht="14.25" customHeight="1">
      <c r="E574" s="56"/>
      <c r="F574" s="56"/>
      <c r="U574" s="54"/>
      <c r="V574" s="54"/>
      <c r="AE574" s="54"/>
      <c r="AG574" s="54"/>
      <c r="AI574" s="54"/>
      <c r="AJ574" s="54"/>
      <c r="AK574" s="54"/>
      <c r="AL574" s="54"/>
      <c r="AO574" s="55"/>
      <c r="AP574" s="55"/>
    </row>
    <row r="575" ht="14.25" customHeight="1">
      <c r="E575" s="56"/>
      <c r="F575" s="56"/>
      <c r="U575" s="54"/>
      <c r="V575" s="54"/>
      <c r="AE575" s="54"/>
      <c r="AG575" s="54"/>
      <c r="AI575" s="54"/>
      <c r="AJ575" s="54"/>
      <c r="AK575" s="54"/>
      <c r="AL575" s="54"/>
      <c r="AO575" s="55"/>
      <c r="AP575" s="55"/>
    </row>
    <row r="576" ht="14.25" customHeight="1">
      <c r="E576" s="56"/>
      <c r="F576" s="56"/>
      <c r="U576" s="54"/>
      <c r="V576" s="54"/>
      <c r="AE576" s="54"/>
      <c r="AG576" s="54"/>
      <c r="AI576" s="54"/>
      <c r="AJ576" s="54"/>
      <c r="AK576" s="54"/>
      <c r="AL576" s="54"/>
      <c r="AO576" s="55"/>
      <c r="AP576" s="55"/>
    </row>
    <row r="577" ht="14.25" customHeight="1">
      <c r="E577" s="56"/>
      <c r="F577" s="56"/>
      <c r="U577" s="54"/>
      <c r="V577" s="54"/>
      <c r="AE577" s="54"/>
      <c r="AG577" s="54"/>
      <c r="AI577" s="54"/>
      <c r="AJ577" s="54"/>
      <c r="AK577" s="54"/>
      <c r="AL577" s="54"/>
      <c r="AO577" s="55"/>
      <c r="AP577" s="55"/>
    </row>
    <row r="578" ht="14.25" customHeight="1">
      <c r="E578" s="56"/>
      <c r="F578" s="56"/>
      <c r="U578" s="54"/>
      <c r="V578" s="54"/>
      <c r="AE578" s="54"/>
      <c r="AG578" s="54"/>
      <c r="AI578" s="54"/>
      <c r="AJ578" s="54"/>
      <c r="AK578" s="54"/>
      <c r="AL578" s="54"/>
      <c r="AO578" s="55"/>
      <c r="AP578" s="55"/>
    </row>
    <row r="579" ht="14.25" customHeight="1">
      <c r="E579" s="56"/>
      <c r="F579" s="56"/>
      <c r="U579" s="54"/>
      <c r="V579" s="54"/>
      <c r="AE579" s="54"/>
      <c r="AG579" s="54"/>
      <c r="AI579" s="54"/>
      <c r="AJ579" s="54"/>
      <c r="AK579" s="54"/>
      <c r="AL579" s="54"/>
      <c r="AO579" s="55"/>
      <c r="AP579" s="55"/>
    </row>
    <row r="580" ht="14.25" customHeight="1">
      <c r="E580" s="56"/>
      <c r="F580" s="56"/>
      <c r="U580" s="54"/>
      <c r="V580" s="54"/>
      <c r="AE580" s="54"/>
      <c r="AG580" s="54"/>
      <c r="AI580" s="54"/>
      <c r="AJ580" s="54"/>
      <c r="AK580" s="54"/>
      <c r="AL580" s="54"/>
      <c r="AO580" s="55"/>
      <c r="AP580" s="55"/>
    </row>
    <row r="581" ht="14.25" customHeight="1">
      <c r="E581" s="56"/>
      <c r="F581" s="56"/>
      <c r="U581" s="54"/>
      <c r="V581" s="54"/>
      <c r="AE581" s="54"/>
      <c r="AG581" s="54"/>
      <c r="AI581" s="54"/>
      <c r="AJ581" s="54"/>
      <c r="AK581" s="54"/>
      <c r="AL581" s="54"/>
      <c r="AO581" s="55"/>
      <c r="AP581" s="55"/>
    </row>
    <row r="582" ht="14.25" customHeight="1">
      <c r="E582" s="56"/>
      <c r="F582" s="56"/>
      <c r="U582" s="54"/>
      <c r="V582" s="54"/>
      <c r="AE582" s="54"/>
      <c r="AG582" s="54"/>
      <c r="AI582" s="54"/>
      <c r="AJ582" s="54"/>
      <c r="AK582" s="54"/>
      <c r="AL582" s="54"/>
      <c r="AO582" s="55"/>
      <c r="AP582" s="55"/>
    </row>
    <row r="583" ht="14.25" customHeight="1">
      <c r="E583" s="56"/>
      <c r="F583" s="56"/>
      <c r="U583" s="54"/>
      <c r="V583" s="54"/>
      <c r="AE583" s="54"/>
      <c r="AG583" s="54"/>
      <c r="AI583" s="54"/>
      <c r="AJ583" s="54"/>
      <c r="AK583" s="54"/>
      <c r="AL583" s="54"/>
      <c r="AO583" s="55"/>
      <c r="AP583" s="55"/>
    </row>
    <row r="584" ht="14.25" customHeight="1">
      <c r="E584" s="56"/>
      <c r="F584" s="56"/>
      <c r="U584" s="54"/>
      <c r="V584" s="54"/>
      <c r="AE584" s="54"/>
      <c r="AG584" s="54"/>
      <c r="AI584" s="54"/>
      <c r="AJ584" s="54"/>
      <c r="AK584" s="54"/>
      <c r="AL584" s="54"/>
      <c r="AO584" s="55"/>
      <c r="AP584" s="55"/>
    </row>
    <row r="585" ht="14.25" customHeight="1">
      <c r="E585" s="56"/>
      <c r="F585" s="56"/>
      <c r="U585" s="54"/>
      <c r="V585" s="54"/>
      <c r="AE585" s="54"/>
      <c r="AG585" s="54"/>
      <c r="AI585" s="54"/>
      <c r="AJ585" s="54"/>
      <c r="AK585" s="54"/>
      <c r="AL585" s="54"/>
      <c r="AO585" s="55"/>
      <c r="AP585" s="55"/>
    </row>
    <row r="586" ht="14.25" customHeight="1">
      <c r="E586" s="56"/>
      <c r="F586" s="56"/>
      <c r="U586" s="54"/>
      <c r="V586" s="54"/>
      <c r="AE586" s="54"/>
      <c r="AG586" s="54"/>
      <c r="AI586" s="54"/>
      <c r="AJ586" s="54"/>
      <c r="AK586" s="54"/>
      <c r="AL586" s="54"/>
      <c r="AO586" s="55"/>
      <c r="AP586" s="55"/>
    </row>
    <row r="587" ht="14.25" customHeight="1">
      <c r="E587" s="56"/>
      <c r="F587" s="56"/>
      <c r="U587" s="54"/>
      <c r="V587" s="54"/>
      <c r="AE587" s="54"/>
      <c r="AG587" s="54"/>
      <c r="AI587" s="54"/>
      <c r="AJ587" s="54"/>
      <c r="AK587" s="54"/>
      <c r="AL587" s="54"/>
      <c r="AO587" s="55"/>
      <c r="AP587" s="55"/>
    </row>
    <row r="588" ht="14.25" customHeight="1">
      <c r="E588" s="56"/>
      <c r="F588" s="56"/>
      <c r="U588" s="54"/>
      <c r="V588" s="54"/>
      <c r="AE588" s="54"/>
      <c r="AG588" s="54"/>
      <c r="AI588" s="54"/>
      <c r="AJ588" s="54"/>
      <c r="AK588" s="54"/>
      <c r="AL588" s="54"/>
      <c r="AO588" s="55"/>
      <c r="AP588" s="55"/>
    </row>
    <row r="589" ht="14.25" customHeight="1">
      <c r="E589" s="56"/>
      <c r="F589" s="56"/>
      <c r="U589" s="54"/>
      <c r="V589" s="54"/>
      <c r="AE589" s="54"/>
      <c r="AG589" s="54"/>
      <c r="AI589" s="54"/>
      <c r="AJ589" s="54"/>
      <c r="AK589" s="54"/>
      <c r="AL589" s="54"/>
      <c r="AO589" s="55"/>
      <c r="AP589" s="55"/>
    </row>
    <row r="590" ht="14.25" customHeight="1">
      <c r="E590" s="56"/>
      <c r="F590" s="56"/>
      <c r="U590" s="54"/>
      <c r="V590" s="54"/>
      <c r="AE590" s="54"/>
      <c r="AG590" s="54"/>
      <c r="AI590" s="54"/>
      <c r="AJ590" s="54"/>
      <c r="AK590" s="54"/>
      <c r="AL590" s="54"/>
      <c r="AO590" s="55"/>
      <c r="AP590" s="55"/>
    </row>
    <row r="591" ht="14.25" customHeight="1">
      <c r="E591" s="56"/>
      <c r="F591" s="56"/>
      <c r="U591" s="54"/>
      <c r="V591" s="54"/>
      <c r="AE591" s="54"/>
      <c r="AG591" s="54"/>
      <c r="AI591" s="54"/>
      <c r="AJ591" s="54"/>
      <c r="AK591" s="54"/>
      <c r="AL591" s="54"/>
      <c r="AO591" s="55"/>
      <c r="AP591" s="55"/>
    </row>
    <row r="592" ht="14.25" customHeight="1">
      <c r="E592" s="56"/>
      <c r="F592" s="56"/>
      <c r="U592" s="54"/>
      <c r="V592" s="54"/>
      <c r="AE592" s="54"/>
      <c r="AG592" s="54"/>
      <c r="AI592" s="54"/>
      <c r="AJ592" s="54"/>
      <c r="AK592" s="54"/>
      <c r="AL592" s="54"/>
      <c r="AO592" s="55"/>
      <c r="AP592" s="55"/>
    </row>
    <row r="593" ht="14.25" customHeight="1">
      <c r="E593" s="56"/>
      <c r="F593" s="56"/>
      <c r="U593" s="54"/>
      <c r="V593" s="54"/>
      <c r="AE593" s="54"/>
      <c r="AG593" s="54"/>
      <c r="AI593" s="54"/>
      <c r="AJ593" s="54"/>
      <c r="AK593" s="54"/>
      <c r="AL593" s="54"/>
      <c r="AO593" s="55"/>
      <c r="AP593" s="55"/>
    </row>
    <row r="594" ht="14.25" customHeight="1">
      <c r="E594" s="56"/>
      <c r="F594" s="56"/>
      <c r="U594" s="54"/>
      <c r="V594" s="54"/>
      <c r="AE594" s="54"/>
      <c r="AG594" s="54"/>
      <c r="AI594" s="54"/>
      <c r="AJ594" s="54"/>
      <c r="AK594" s="54"/>
      <c r="AL594" s="54"/>
      <c r="AO594" s="55"/>
      <c r="AP594" s="55"/>
    </row>
    <row r="595" ht="14.25" customHeight="1">
      <c r="E595" s="56"/>
      <c r="F595" s="56"/>
      <c r="U595" s="54"/>
      <c r="V595" s="54"/>
      <c r="AE595" s="54"/>
      <c r="AG595" s="54"/>
      <c r="AI595" s="54"/>
      <c r="AJ595" s="54"/>
      <c r="AK595" s="54"/>
      <c r="AL595" s="54"/>
      <c r="AO595" s="55"/>
      <c r="AP595" s="55"/>
    </row>
    <row r="596" ht="14.25" customHeight="1">
      <c r="E596" s="56"/>
      <c r="F596" s="56"/>
      <c r="U596" s="54"/>
      <c r="V596" s="54"/>
      <c r="AE596" s="54"/>
      <c r="AG596" s="54"/>
      <c r="AI596" s="54"/>
      <c r="AJ596" s="54"/>
      <c r="AK596" s="54"/>
      <c r="AL596" s="54"/>
      <c r="AO596" s="55"/>
      <c r="AP596" s="55"/>
    </row>
    <row r="597" ht="14.25" customHeight="1">
      <c r="E597" s="56"/>
      <c r="F597" s="56"/>
      <c r="U597" s="54"/>
      <c r="V597" s="54"/>
      <c r="AE597" s="54"/>
      <c r="AG597" s="54"/>
      <c r="AI597" s="54"/>
      <c r="AJ597" s="54"/>
      <c r="AK597" s="54"/>
      <c r="AL597" s="54"/>
      <c r="AO597" s="55"/>
      <c r="AP597" s="55"/>
    </row>
    <row r="598" ht="14.25" customHeight="1">
      <c r="E598" s="56"/>
      <c r="F598" s="56"/>
      <c r="U598" s="54"/>
      <c r="V598" s="54"/>
      <c r="AE598" s="54"/>
      <c r="AG598" s="54"/>
      <c r="AI598" s="54"/>
      <c r="AJ598" s="54"/>
      <c r="AK598" s="54"/>
      <c r="AL598" s="54"/>
      <c r="AO598" s="55"/>
      <c r="AP598" s="55"/>
    </row>
    <row r="599" ht="14.25" customHeight="1">
      <c r="E599" s="56"/>
      <c r="F599" s="56"/>
      <c r="U599" s="54"/>
      <c r="V599" s="54"/>
      <c r="AE599" s="54"/>
      <c r="AG599" s="54"/>
      <c r="AI599" s="54"/>
      <c r="AJ599" s="54"/>
      <c r="AK599" s="54"/>
      <c r="AL599" s="54"/>
      <c r="AO599" s="55"/>
      <c r="AP599" s="55"/>
    </row>
    <row r="600" ht="14.25" customHeight="1">
      <c r="E600" s="56"/>
      <c r="F600" s="56"/>
      <c r="U600" s="54"/>
      <c r="V600" s="54"/>
      <c r="AE600" s="54"/>
      <c r="AG600" s="54"/>
      <c r="AI600" s="54"/>
      <c r="AJ600" s="54"/>
      <c r="AK600" s="54"/>
      <c r="AL600" s="54"/>
      <c r="AO600" s="55"/>
      <c r="AP600" s="55"/>
    </row>
    <row r="601" ht="14.25" customHeight="1">
      <c r="E601" s="56"/>
      <c r="F601" s="56"/>
      <c r="U601" s="54"/>
      <c r="V601" s="54"/>
      <c r="AE601" s="54"/>
      <c r="AG601" s="54"/>
      <c r="AI601" s="54"/>
      <c r="AJ601" s="54"/>
      <c r="AK601" s="54"/>
      <c r="AL601" s="54"/>
      <c r="AO601" s="55"/>
      <c r="AP601" s="55"/>
    </row>
    <row r="602" ht="14.25" customHeight="1">
      <c r="E602" s="56"/>
      <c r="F602" s="56"/>
      <c r="U602" s="54"/>
      <c r="V602" s="54"/>
      <c r="AE602" s="54"/>
      <c r="AG602" s="54"/>
      <c r="AI602" s="54"/>
      <c r="AJ602" s="54"/>
      <c r="AK602" s="54"/>
      <c r="AL602" s="54"/>
      <c r="AO602" s="55"/>
      <c r="AP602" s="55"/>
    </row>
    <row r="603" ht="14.25" customHeight="1">
      <c r="E603" s="56"/>
      <c r="F603" s="56"/>
      <c r="U603" s="54"/>
      <c r="V603" s="54"/>
      <c r="AE603" s="54"/>
      <c r="AG603" s="54"/>
      <c r="AI603" s="54"/>
      <c r="AJ603" s="54"/>
      <c r="AK603" s="54"/>
      <c r="AL603" s="54"/>
      <c r="AO603" s="55"/>
      <c r="AP603" s="55"/>
    </row>
    <row r="604" ht="14.25" customHeight="1">
      <c r="E604" s="56"/>
      <c r="F604" s="56"/>
      <c r="U604" s="54"/>
      <c r="V604" s="54"/>
      <c r="AE604" s="54"/>
      <c r="AG604" s="54"/>
      <c r="AI604" s="54"/>
      <c r="AJ604" s="54"/>
      <c r="AK604" s="54"/>
      <c r="AL604" s="54"/>
      <c r="AO604" s="55"/>
      <c r="AP604" s="55"/>
    </row>
    <row r="605" ht="14.25" customHeight="1">
      <c r="E605" s="56"/>
      <c r="F605" s="56"/>
      <c r="U605" s="54"/>
      <c r="V605" s="54"/>
      <c r="AE605" s="54"/>
      <c r="AG605" s="54"/>
      <c r="AI605" s="54"/>
      <c r="AJ605" s="54"/>
      <c r="AK605" s="54"/>
      <c r="AL605" s="54"/>
      <c r="AO605" s="55"/>
      <c r="AP605" s="55"/>
    </row>
    <row r="606" ht="14.25" customHeight="1">
      <c r="E606" s="56"/>
      <c r="F606" s="56"/>
      <c r="U606" s="54"/>
      <c r="V606" s="54"/>
      <c r="AE606" s="54"/>
      <c r="AG606" s="54"/>
      <c r="AI606" s="54"/>
      <c r="AJ606" s="54"/>
      <c r="AK606" s="54"/>
      <c r="AL606" s="54"/>
      <c r="AO606" s="55"/>
      <c r="AP606" s="55"/>
    </row>
    <row r="607" ht="14.25" customHeight="1">
      <c r="E607" s="56"/>
      <c r="F607" s="56"/>
      <c r="U607" s="54"/>
      <c r="V607" s="54"/>
      <c r="AE607" s="54"/>
      <c r="AG607" s="54"/>
      <c r="AI607" s="54"/>
      <c r="AJ607" s="54"/>
      <c r="AK607" s="54"/>
      <c r="AL607" s="54"/>
      <c r="AO607" s="55"/>
      <c r="AP607" s="55"/>
    </row>
    <row r="608" ht="14.25" customHeight="1">
      <c r="E608" s="56"/>
      <c r="F608" s="56"/>
      <c r="U608" s="54"/>
      <c r="V608" s="54"/>
      <c r="AE608" s="54"/>
      <c r="AG608" s="54"/>
      <c r="AI608" s="54"/>
      <c r="AJ608" s="54"/>
      <c r="AK608" s="54"/>
      <c r="AL608" s="54"/>
      <c r="AO608" s="55"/>
      <c r="AP608" s="55"/>
    </row>
    <row r="609" ht="14.25" customHeight="1">
      <c r="E609" s="56"/>
      <c r="F609" s="56"/>
      <c r="U609" s="54"/>
      <c r="V609" s="54"/>
      <c r="AE609" s="54"/>
      <c r="AG609" s="54"/>
      <c r="AI609" s="54"/>
      <c r="AJ609" s="54"/>
      <c r="AK609" s="54"/>
      <c r="AL609" s="54"/>
      <c r="AO609" s="55"/>
      <c r="AP609" s="55"/>
    </row>
    <row r="610" ht="14.25" customHeight="1">
      <c r="E610" s="56"/>
      <c r="F610" s="56"/>
      <c r="U610" s="54"/>
      <c r="V610" s="54"/>
      <c r="AE610" s="54"/>
      <c r="AG610" s="54"/>
      <c r="AI610" s="54"/>
      <c r="AJ610" s="54"/>
      <c r="AK610" s="54"/>
      <c r="AL610" s="54"/>
      <c r="AO610" s="55"/>
      <c r="AP610" s="55"/>
    </row>
    <row r="611" ht="14.25" customHeight="1">
      <c r="E611" s="56"/>
      <c r="F611" s="56"/>
      <c r="U611" s="54"/>
      <c r="V611" s="54"/>
      <c r="AE611" s="54"/>
      <c r="AG611" s="54"/>
      <c r="AI611" s="54"/>
      <c r="AJ611" s="54"/>
      <c r="AK611" s="54"/>
      <c r="AL611" s="54"/>
      <c r="AO611" s="55"/>
      <c r="AP611" s="55"/>
    </row>
    <row r="612" ht="14.25" customHeight="1">
      <c r="E612" s="56"/>
      <c r="F612" s="56"/>
      <c r="U612" s="54"/>
      <c r="V612" s="54"/>
      <c r="AE612" s="54"/>
      <c r="AG612" s="54"/>
      <c r="AI612" s="54"/>
      <c r="AJ612" s="54"/>
      <c r="AK612" s="54"/>
      <c r="AL612" s="54"/>
      <c r="AO612" s="55"/>
      <c r="AP612" s="55"/>
    </row>
    <row r="613" ht="14.25" customHeight="1">
      <c r="E613" s="56"/>
      <c r="F613" s="56"/>
      <c r="U613" s="54"/>
      <c r="V613" s="54"/>
      <c r="AE613" s="54"/>
      <c r="AG613" s="54"/>
      <c r="AI613" s="54"/>
      <c r="AJ613" s="54"/>
      <c r="AK613" s="54"/>
      <c r="AL613" s="54"/>
      <c r="AO613" s="55"/>
      <c r="AP613" s="55"/>
    </row>
    <row r="614" ht="14.25" customHeight="1">
      <c r="E614" s="56"/>
      <c r="F614" s="56"/>
      <c r="U614" s="54"/>
      <c r="V614" s="54"/>
      <c r="AE614" s="54"/>
      <c r="AG614" s="54"/>
      <c r="AI614" s="54"/>
      <c r="AJ614" s="54"/>
      <c r="AK614" s="54"/>
      <c r="AL614" s="54"/>
      <c r="AO614" s="55"/>
      <c r="AP614" s="55"/>
    </row>
    <row r="615" ht="14.25" customHeight="1">
      <c r="E615" s="56"/>
      <c r="F615" s="56"/>
      <c r="U615" s="54"/>
      <c r="V615" s="54"/>
      <c r="AE615" s="54"/>
      <c r="AG615" s="54"/>
      <c r="AI615" s="54"/>
      <c r="AJ615" s="54"/>
      <c r="AK615" s="54"/>
      <c r="AL615" s="54"/>
      <c r="AO615" s="55"/>
      <c r="AP615" s="55"/>
    </row>
    <row r="616" ht="14.25" customHeight="1">
      <c r="E616" s="56"/>
      <c r="F616" s="56"/>
      <c r="U616" s="54"/>
      <c r="V616" s="54"/>
      <c r="AE616" s="54"/>
      <c r="AG616" s="54"/>
      <c r="AI616" s="54"/>
      <c r="AJ616" s="54"/>
      <c r="AK616" s="54"/>
      <c r="AL616" s="54"/>
      <c r="AO616" s="55"/>
      <c r="AP616" s="55"/>
    </row>
    <row r="617" ht="14.25" customHeight="1">
      <c r="E617" s="56"/>
      <c r="F617" s="56"/>
      <c r="U617" s="54"/>
      <c r="V617" s="54"/>
      <c r="AE617" s="54"/>
      <c r="AG617" s="54"/>
      <c r="AI617" s="54"/>
      <c r="AJ617" s="54"/>
      <c r="AK617" s="54"/>
      <c r="AL617" s="54"/>
      <c r="AO617" s="55"/>
      <c r="AP617" s="55"/>
    </row>
    <row r="618" ht="14.25" customHeight="1">
      <c r="E618" s="56"/>
      <c r="F618" s="56"/>
      <c r="U618" s="54"/>
      <c r="V618" s="54"/>
      <c r="AE618" s="54"/>
      <c r="AG618" s="54"/>
      <c r="AI618" s="54"/>
      <c r="AJ618" s="54"/>
      <c r="AK618" s="54"/>
      <c r="AL618" s="54"/>
      <c r="AO618" s="55"/>
      <c r="AP618" s="55"/>
    </row>
    <row r="619" ht="14.25" customHeight="1">
      <c r="E619" s="56"/>
      <c r="F619" s="56"/>
      <c r="U619" s="54"/>
      <c r="V619" s="54"/>
      <c r="AE619" s="54"/>
      <c r="AG619" s="54"/>
      <c r="AI619" s="54"/>
      <c r="AJ619" s="54"/>
      <c r="AK619" s="54"/>
      <c r="AL619" s="54"/>
      <c r="AO619" s="55"/>
      <c r="AP619" s="55"/>
    </row>
    <row r="620" ht="14.25" customHeight="1">
      <c r="E620" s="56"/>
      <c r="F620" s="56"/>
      <c r="U620" s="54"/>
      <c r="V620" s="54"/>
      <c r="AE620" s="54"/>
      <c r="AG620" s="54"/>
      <c r="AI620" s="54"/>
      <c r="AJ620" s="54"/>
      <c r="AK620" s="54"/>
      <c r="AL620" s="54"/>
      <c r="AO620" s="55"/>
      <c r="AP620" s="55"/>
    </row>
    <row r="621" ht="14.25" customHeight="1">
      <c r="E621" s="56"/>
      <c r="F621" s="56"/>
      <c r="U621" s="54"/>
      <c r="V621" s="54"/>
      <c r="AE621" s="54"/>
      <c r="AG621" s="54"/>
      <c r="AI621" s="54"/>
      <c r="AJ621" s="54"/>
      <c r="AK621" s="54"/>
      <c r="AL621" s="54"/>
      <c r="AO621" s="55"/>
      <c r="AP621" s="55"/>
    </row>
    <row r="622" ht="14.25" customHeight="1">
      <c r="E622" s="56"/>
      <c r="F622" s="56"/>
      <c r="U622" s="54"/>
      <c r="V622" s="54"/>
      <c r="AE622" s="54"/>
      <c r="AG622" s="54"/>
      <c r="AI622" s="54"/>
      <c r="AJ622" s="54"/>
      <c r="AK622" s="54"/>
      <c r="AL622" s="54"/>
      <c r="AO622" s="55"/>
      <c r="AP622" s="55"/>
    </row>
    <row r="623" ht="14.25" customHeight="1">
      <c r="E623" s="56"/>
      <c r="F623" s="56"/>
      <c r="U623" s="54"/>
      <c r="V623" s="54"/>
      <c r="AE623" s="54"/>
      <c r="AG623" s="54"/>
      <c r="AI623" s="54"/>
      <c r="AJ623" s="54"/>
      <c r="AK623" s="54"/>
      <c r="AL623" s="54"/>
      <c r="AO623" s="55"/>
      <c r="AP623" s="55"/>
    </row>
    <row r="624" ht="14.25" customHeight="1">
      <c r="E624" s="56"/>
      <c r="F624" s="56"/>
      <c r="U624" s="54"/>
      <c r="V624" s="54"/>
      <c r="AE624" s="54"/>
      <c r="AG624" s="54"/>
      <c r="AI624" s="54"/>
      <c r="AJ624" s="54"/>
      <c r="AK624" s="54"/>
      <c r="AL624" s="54"/>
      <c r="AO624" s="55"/>
      <c r="AP624" s="55"/>
    </row>
    <row r="625" ht="14.25" customHeight="1">
      <c r="E625" s="56"/>
      <c r="F625" s="56"/>
      <c r="U625" s="54"/>
      <c r="V625" s="54"/>
      <c r="AE625" s="54"/>
      <c r="AG625" s="54"/>
      <c r="AI625" s="54"/>
      <c r="AJ625" s="54"/>
      <c r="AK625" s="54"/>
      <c r="AL625" s="54"/>
      <c r="AO625" s="55"/>
      <c r="AP625" s="55"/>
    </row>
    <row r="626" ht="14.25" customHeight="1">
      <c r="E626" s="56"/>
      <c r="F626" s="56"/>
      <c r="U626" s="54"/>
      <c r="V626" s="54"/>
      <c r="AE626" s="54"/>
      <c r="AG626" s="54"/>
      <c r="AI626" s="54"/>
      <c r="AJ626" s="54"/>
      <c r="AK626" s="54"/>
      <c r="AL626" s="54"/>
      <c r="AO626" s="55"/>
      <c r="AP626" s="55"/>
    </row>
    <row r="627" ht="14.25" customHeight="1">
      <c r="E627" s="56"/>
      <c r="F627" s="56"/>
      <c r="U627" s="54"/>
      <c r="V627" s="54"/>
      <c r="AE627" s="54"/>
      <c r="AG627" s="54"/>
      <c r="AI627" s="54"/>
      <c r="AJ627" s="54"/>
      <c r="AK627" s="54"/>
      <c r="AL627" s="54"/>
      <c r="AO627" s="55"/>
      <c r="AP627" s="55"/>
    </row>
    <row r="628" ht="14.25" customHeight="1">
      <c r="E628" s="56"/>
      <c r="F628" s="56"/>
      <c r="U628" s="54"/>
      <c r="V628" s="54"/>
      <c r="AE628" s="54"/>
      <c r="AG628" s="54"/>
      <c r="AI628" s="54"/>
      <c r="AJ628" s="54"/>
      <c r="AK628" s="54"/>
      <c r="AL628" s="54"/>
      <c r="AO628" s="55"/>
      <c r="AP628" s="55"/>
    </row>
    <row r="629" ht="14.25" customHeight="1">
      <c r="E629" s="56"/>
      <c r="F629" s="56"/>
      <c r="U629" s="54"/>
      <c r="V629" s="54"/>
      <c r="AE629" s="54"/>
      <c r="AG629" s="54"/>
      <c r="AI629" s="54"/>
      <c r="AJ629" s="54"/>
      <c r="AK629" s="54"/>
      <c r="AL629" s="54"/>
      <c r="AO629" s="55"/>
      <c r="AP629" s="55"/>
    </row>
    <row r="630" ht="14.25" customHeight="1">
      <c r="E630" s="56"/>
      <c r="F630" s="56"/>
      <c r="U630" s="54"/>
      <c r="V630" s="54"/>
      <c r="AE630" s="54"/>
      <c r="AG630" s="54"/>
      <c r="AI630" s="54"/>
      <c r="AJ630" s="54"/>
      <c r="AK630" s="54"/>
      <c r="AL630" s="54"/>
      <c r="AO630" s="55"/>
      <c r="AP630" s="55"/>
    </row>
    <row r="631" ht="14.25" customHeight="1">
      <c r="E631" s="56"/>
      <c r="F631" s="56"/>
      <c r="U631" s="54"/>
      <c r="V631" s="54"/>
      <c r="AE631" s="54"/>
      <c r="AG631" s="54"/>
      <c r="AI631" s="54"/>
      <c r="AJ631" s="54"/>
      <c r="AK631" s="54"/>
      <c r="AL631" s="54"/>
      <c r="AO631" s="55"/>
      <c r="AP631" s="55"/>
    </row>
    <row r="632" ht="14.25" customHeight="1">
      <c r="E632" s="56"/>
      <c r="F632" s="56"/>
      <c r="U632" s="54"/>
      <c r="V632" s="54"/>
      <c r="AE632" s="54"/>
      <c r="AG632" s="54"/>
      <c r="AI632" s="54"/>
      <c r="AJ632" s="54"/>
      <c r="AK632" s="54"/>
      <c r="AL632" s="54"/>
      <c r="AO632" s="55"/>
      <c r="AP632" s="55"/>
    </row>
    <row r="633" ht="14.25" customHeight="1">
      <c r="E633" s="56"/>
      <c r="F633" s="56"/>
      <c r="U633" s="54"/>
      <c r="V633" s="54"/>
      <c r="AE633" s="54"/>
      <c r="AG633" s="54"/>
      <c r="AI633" s="54"/>
      <c r="AJ633" s="54"/>
      <c r="AK633" s="54"/>
      <c r="AL633" s="54"/>
      <c r="AO633" s="55"/>
      <c r="AP633" s="55"/>
    </row>
    <row r="634" ht="14.25" customHeight="1">
      <c r="E634" s="56"/>
      <c r="F634" s="56"/>
      <c r="U634" s="54"/>
      <c r="V634" s="54"/>
      <c r="AE634" s="54"/>
      <c r="AG634" s="54"/>
      <c r="AI634" s="54"/>
      <c r="AJ634" s="54"/>
      <c r="AK634" s="54"/>
      <c r="AL634" s="54"/>
      <c r="AO634" s="55"/>
      <c r="AP634" s="55"/>
    </row>
    <row r="635" ht="14.25" customHeight="1">
      <c r="E635" s="56"/>
      <c r="F635" s="56"/>
      <c r="U635" s="54"/>
      <c r="V635" s="54"/>
      <c r="AE635" s="54"/>
      <c r="AG635" s="54"/>
      <c r="AI635" s="54"/>
      <c r="AJ635" s="54"/>
      <c r="AK635" s="54"/>
      <c r="AL635" s="54"/>
      <c r="AO635" s="55"/>
      <c r="AP635" s="55"/>
    </row>
    <row r="636" ht="14.25" customHeight="1">
      <c r="E636" s="56"/>
      <c r="F636" s="56"/>
      <c r="U636" s="54"/>
      <c r="V636" s="54"/>
      <c r="AE636" s="54"/>
      <c r="AG636" s="54"/>
      <c r="AI636" s="54"/>
      <c r="AJ636" s="54"/>
      <c r="AK636" s="54"/>
      <c r="AL636" s="54"/>
      <c r="AO636" s="55"/>
      <c r="AP636" s="55"/>
    </row>
    <row r="637" ht="14.25" customHeight="1">
      <c r="E637" s="56"/>
      <c r="F637" s="56"/>
      <c r="U637" s="54"/>
      <c r="V637" s="54"/>
      <c r="AE637" s="54"/>
      <c r="AG637" s="54"/>
      <c r="AI637" s="54"/>
      <c r="AJ637" s="54"/>
      <c r="AK637" s="54"/>
      <c r="AL637" s="54"/>
      <c r="AO637" s="55"/>
      <c r="AP637" s="55"/>
    </row>
    <row r="638" ht="14.25" customHeight="1">
      <c r="E638" s="56"/>
      <c r="F638" s="56"/>
      <c r="U638" s="54"/>
      <c r="V638" s="54"/>
      <c r="AE638" s="54"/>
      <c r="AG638" s="54"/>
      <c r="AI638" s="54"/>
      <c r="AJ638" s="54"/>
      <c r="AK638" s="54"/>
      <c r="AL638" s="54"/>
      <c r="AO638" s="55"/>
      <c r="AP638" s="55"/>
    </row>
    <row r="639" ht="14.25" customHeight="1">
      <c r="E639" s="56"/>
      <c r="F639" s="56"/>
      <c r="U639" s="54"/>
      <c r="V639" s="54"/>
      <c r="AE639" s="54"/>
      <c r="AG639" s="54"/>
      <c r="AI639" s="54"/>
      <c r="AJ639" s="54"/>
      <c r="AK639" s="54"/>
      <c r="AL639" s="54"/>
      <c r="AO639" s="55"/>
      <c r="AP639" s="55"/>
    </row>
    <row r="640" ht="14.25" customHeight="1">
      <c r="E640" s="56"/>
      <c r="F640" s="56"/>
      <c r="U640" s="54"/>
      <c r="V640" s="54"/>
      <c r="AE640" s="54"/>
      <c r="AG640" s="54"/>
      <c r="AI640" s="54"/>
      <c r="AJ640" s="54"/>
      <c r="AK640" s="54"/>
      <c r="AL640" s="54"/>
      <c r="AO640" s="55"/>
      <c r="AP640" s="55"/>
    </row>
    <row r="641" ht="14.25" customHeight="1">
      <c r="E641" s="56"/>
      <c r="F641" s="56"/>
      <c r="U641" s="54"/>
      <c r="V641" s="54"/>
      <c r="AE641" s="54"/>
      <c r="AG641" s="54"/>
      <c r="AI641" s="54"/>
      <c r="AJ641" s="54"/>
      <c r="AK641" s="54"/>
      <c r="AL641" s="54"/>
      <c r="AO641" s="55"/>
      <c r="AP641" s="55"/>
    </row>
    <row r="642" ht="14.25" customHeight="1">
      <c r="E642" s="56"/>
      <c r="F642" s="56"/>
      <c r="U642" s="54"/>
      <c r="V642" s="54"/>
      <c r="AE642" s="54"/>
      <c r="AG642" s="54"/>
      <c r="AI642" s="54"/>
      <c r="AJ642" s="54"/>
      <c r="AK642" s="54"/>
      <c r="AL642" s="54"/>
      <c r="AO642" s="55"/>
      <c r="AP642" s="55"/>
    </row>
    <row r="643" ht="14.25" customHeight="1">
      <c r="E643" s="56"/>
      <c r="F643" s="56"/>
      <c r="U643" s="54"/>
      <c r="V643" s="54"/>
      <c r="AE643" s="54"/>
      <c r="AG643" s="54"/>
      <c r="AI643" s="54"/>
      <c r="AJ643" s="54"/>
      <c r="AK643" s="54"/>
      <c r="AL643" s="54"/>
      <c r="AO643" s="55"/>
      <c r="AP643" s="55"/>
    </row>
    <row r="644" ht="14.25" customHeight="1">
      <c r="E644" s="56"/>
      <c r="F644" s="56"/>
      <c r="U644" s="54"/>
      <c r="V644" s="54"/>
      <c r="AE644" s="54"/>
      <c r="AG644" s="54"/>
      <c r="AI644" s="54"/>
      <c r="AJ644" s="54"/>
      <c r="AK644" s="54"/>
      <c r="AL644" s="54"/>
      <c r="AO644" s="55"/>
      <c r="AP644" s="55"/>
    </row>
    <row r="645" ht="14.25" customHeight="1">
      <c r="E645" s="56"/>
      <c r="F645" s="56"/>
      <c r="U645" s="54"/>
      <c r="V645" s="54"/>
      <c r="AE645" s="54"/>
      <c r="AG645" s="54"/>
      <c r="AI645" s="54"/>
      <c r="AJ645" s="54"/>
      <c r="AK645" s="54"/>
      <c r="AL645" s="54"/>
      <c r="AO645" s="55"/>
      <c r="AP645" s="55"/>
    </row>
    <row r="646" ht="14.25" customHeight="1">
      <c r="E646" s="56"/>
      <c r="F646" s="56"/>
      <c r="U646" s="54"/>
      <c r="V646" s="54"/>
      <c r="AE646" s="54"/>
      <c r="AG646" s="54"/>
      <c r="AI646" s="54"/>
      <c r="AJ646" s="54"/>
      <c r="AK646" s="54"/>
      <c r="AL646" s="54"/>
      <c r="AO646" s="55"/>
      <c r="AP646" s="55"/>
    </row>
    <row r="647" ht="14.25" customHeight="1">
      <c r="E647" s="56"/>
      <c r="F647" s="56"/>
      <c r="U647" s="54"/>
      <c r="V647" s="54"/>
      <c r="AE647" s="54"/>
      <c r="AG647" s="54"/>
      <c r="AI647" s="54"/>
      <c r="AJ647" s="54"/>
      <c r="AK647" s="54"/>
      <c r="AL647" s="54"/>
      <c r="AO647" s="55"/>
      <c r="AP647" s="55"/>
    </row>
    <row r="648" ht="14.25" customHeight="1">
      <c r="E648" s="56"/>
      <c r="F648" s="56"/>
      <c r="U648" s="54"/>
      <c r="V648" s="54"/>
      <c r="AE648" s="54"/>
      <c r="AG648" s="54"/>
      <c r="AI648" s="54"/>
      <c r="AJ648" s="54"/>
      <c r="AK648" s="54"/>
      <c r="AL648" s="54"/>
      <c r="AO648" s="55"/>
      <c r="AP648" s="55"/>
    </row>
    <row r="649" ht="14.25" customHeight="1">
      <c r="E649" s="56"/>
      <c r="F649" s="56"/>
      <c r="U649" s="54"/>
      <c r="V649" s="54"/>
      <c r="AE649" s="54"/>
      <c r="AG649" s="54"/>
      <c r="AI649" s="54"/>
      <c r="AJ649" s="54"/>
      <c r="AK649" s="54"/>
      <c r="AL649" s="54"/>
      <c r="AO649" s="55"/>
      <c r="AP649" s="55"/>
    </row>
    <row r="650" ht="14.25" customHeight="1">
      <c r="E650" s="56"/>
      <c r="F650" s="56"/>
      <c r="U650" s="54"/>
      <c r="V650" s="54"/>
      <c r="AE650" s="54"/>
      <c r="AG650" s="54"/>
      <c r="AI650" s="54"/>
      <c r="AJ650" s="54"/>
      <c r="AK650" s="54"/>
      <c r="AL650" s="54"/>
      <c r="AO650" s="55"/>
      <c r="AP650" s="55"/>
    </row>
    <row r="651" ht="14.25" customHeight="1">
      <c r="E651" s="56"/>
      <c r="F651" s="56"/>
      <c r="U651" s="54"/>
      <c r="V651" s="54"/>
      <c r="AE651" s="54"/>
      <c r="AG651" s="54"/>
      <c r="AI651" s="54"/>
      <c r="AJ651" s="54"/>
      <c r="AK651" s="54"/>
      <c r="AL651" s="54"/>
      <c r="AO651" s="55"/>
      <c r="AP651" s="55"/>
    </row>
    <row r="652" ht="14.25" customHeight="1">
      <c r="E652" s="56"/>
      <c r="F652" s="56"/>
      <c r="U652" s="54"/>
      <c r="V652" s="54"/>
      <c r="AE652" s="54"/>
      <c r="AG652" s="54"/>
      <c r="AI652" s="54"/>
      <c r="AJ652" s="54"/>
      <c r="AK652" s="54"/>
      <c r="AL652" s="54"/>
      <c r="AO652" s="55"/>
      <c r="AP652" s="55"/>
    </row>
    <row r="653" ht="14.25" customHeight="1">
      <c r="E653" s="56"/>
      <c r="F653" s="56"/>
      <c r="U653" s="54"/>
      <c r="V653" s="54"/>
      <c r="AE653" s="54"/>
      <c r="AG653" s="54"/>
      <c r="AI653" s="54"/>
      <c r="AJ653" s="54"/>
      <c r="AK653" s="54"/>
      <c r="AL653" s="54"/>
      <c r="AO653" s="55"/>
      <c r="AP653" s="55"/>
    </row>
    <row r="654" ht="14.25" customHeight="1">
      <c r="E654" s="56"/>
      <c r="F654" s="56"/>
      <c r="U654" s="54"/>
      <c r="V654" s="54"/>
      <c r="AE654" s="54"/>
      <c r="AG654" s="54"/>
      <c r="AI654" s="54"/>
      <c r="AJ654" s="54"/>
      <c r="AK654" s="54"/>
      <c r="AL654" s="54"/>
      <c r="AO654" s="55"/>
      <c r="AP654" s="55"/>
    </row>
    <row r="655" ht="14.25" customHeight="1">
      <c r="E655" s="56"/>
      <c r="F655" s="56"/>
      <c r="U655" s="54"/>
      <c r="V655" s="54"/>
      <c r="AE655" s="54"/>
      <c r="AG655" s="54"/>
      <c r="AI655" s="54"/>
      <c r="AJ655" s="54"/>
      <c r="AK655" s="54"/>
      <c r="AL655" s="54"/>
      <c r="AO655" s="55"/>
      <c r="AP655" s="55"/>
    </row>
    <row r="656" ht="14.25" customHeight="1">
      <c r="E656" s="56"/>
      <c r="F656" s="56"/>
      <c r="U656" s="54"/>
      <c r="V656" s="54"/>
      <c r="AE656" s="54"/>
      <c r="AG656" s="54"/>
      <c r="AI656" s="54"/>
      <c r="AJ656" s="54"/>
      <c r="AK656" s="54"/>
      <c r="AL656" s="54"/>
      <c r="AO656" s="55"/>
      <c r="AP656" s="55"/>
    </row>
    <row r="657" ht="14.25" customHeight="1">
      <c r="E657" s="56"/>
      <c r="F657" s="56"/>
      <c r="U657" s="54"/>
      <c r="V657" s="54"/>
      <c r="AE657" s="54"/>
      <c r="AG657" s="54"/>
      <c r="AI657" s="54"/>
      <c r="AJ657" s="54"/>
      <c r="AK657" s="54"/>
      <c r="AL657" s="54"/>
      <c r="AO657" s="55"/>
      <c r="AP657" s="55"/>
    </row>
    <row r="658" ht="14.25" customHeight="1">
      <c r="E658" s="56"/>
      <c r="F658" s="56"/>
      <c r="U658" s="54"/>
      <c r="V658" s="54"/>
      <c r="AE658" s="54"/>
      <c r="AG658" s="54"/>
      <c r="AI658" s="54"/>
      <c r="AJ658" s="54"/>
      <c r="AK658" s="54"/>
      <c r="AL658" s="54"/>
      <c r="AO658" s="55"/>
      <c r="AP658" s="55"/>
    </row>
    <row r="659" ht="14.25" customHeight="1">
      <c r="E659" s="56"/>
      <c r="F659" s="56"/>
      <c r="U659" s="54"/>
      <c r="V659" s="54"/>
      <c r="AE659" s="54"/>
      <c r="AG659" s="54"/>
      <c r="AI659" s="54"/>
      <c r="AJ659" s="54"/>
      <c r="AK659" s="54"/>
      <c r="AL659" s="54"/>
      <c r="AO659" s="55"/>
      <c r="AP659" s="55"/>
    </row>
    <row r="660" ht="14.25" customHeight="1">
      <c r="E660" s="56"/>
      <c r="F660" s="56"/>
      <c r="U660" s="54"/>
      <c r="V660" s="54"/>
      <c r="AE660" s="54"/>
      <c r="AG660" s="54"/>
      <c r="AI660" s="54"/>
      <c r="AJ660" s="54"/>
      <c r="AK660" s="54"/>
      <c r="AL660" s="54"/>
      <c r="AO660" s="55"/>
      <c r="AP660" s="55"/>
    </row>
    <row r="661" ht="14.25" customHeight="1">
      <c r="E661" s="56"/>
      <c r="F661" s="56"/>
      <c r="U661" s="54"/>
      <c r="V661" s="54"/>
      <c r="AE661" s="54"/>
      <c r="AG661" s="54"/>
      <c r="AI661" s="54"/>
      <c r="AJ661" s="54"/>
      <c r="AK661" s="54"/>
      <c r="AL661" s="54"/>
      <c r="AO661" s="55"/>
      <c r="AP661" s="55"/>
    </row>
    <row r="662" ht="14.25" customHeight="1">
      <c r="E662" s="56"/>
      <c r="F662" s="56"/>
      <c r="U662" s="54"/>
      <c r="V662" s="54"/>
      <c r="AE662" s="54"/>
      <c r="AG662" s="54"/>
      <c r="AI662" s="54"/>
      <c r="AJ662" s="54"/>
      <c r="AK662" s="54"/>
      <c r="AL662" s="54"/>
      <c r="AO662" s="55"/>
      <c r="AP662" s="55"/>
    </row>
    <row r="663" ht="14.25" customHeight="1">
      <c r="E663" s="56"/>
      <c r="F663" s="56"/>
      <c r="U663" s="54"/>
      <c r="V663" s="54"/>
      <c r="AE663" s="54"/>
      <c r="AG663" s="54"/>
      <c r="AI663" s="54"/>
      <c r="AJ663" s="54"/>
      <c r="AK663" s="54"/>
      <c r="AL663" s="54"/>
      <c r="AO663" s="55"/>
      <c r="AP663" s="55"/>
    </row>
    <row r="664" ht="14.25" customHeight="1">
      <c r="E664" s="56"/>
      <c r="F664" s="56"/>
      <c r="U664" s="54"/>
      <c r="V664" s="54"/>
      <c r="AE664" s="54"/>
      <c r="AG664" s="54"/>
      <c r="AI664" s="54"/>
      <c r="AJ664" s="54"/>
      <c r="AK664" s="54"/>
      <c r="AL664" s="54"/>
      <c r="AO664" s="55"/>
      <c r="AP664" s="55"/>
    </row>
    <row r="665" ht="14.25" customHeight="1">
      <c r="E665" s="56"/>
      <c r="F665" s="56"/>
      <c r="U665" s="54"/>
      <c r="V665" s="54"/>
      <c r="AE665" s="54"/>
      <c r="AG665" s="54"/>
      <c r="AI665" s="54"/>
      <c r="AJ665" s="54"/>
      <c r="AK665" s="54"/>
      <c r="AL665" s="54"/>
      <c r="AO665" s="55"/>
      <c r="AP665" s="55"/>
    </row>
    <row r="666" ht="14.25" customHeight="1">
      <c r="E666" s="56"/>
      <c r="F666" s="56"/>
      <c r="U666" s="54"/>
      <c r="V666" s="54"/>
      <c r="AE666" s="54"/>
      <c r="AG666" s="54"/>
      <c r="AI666" s="54"/>
      <c r="AJ666" s="54"/>
      <c r="AK666" s="54"/>
      <c r="AL666" s="54"/>
      <c r="AO666" s="55"/>
      <c r="AP666" s="55"/>
    </row>
    <row r="667" ht="14.25" customHeight="1">
      <c r="E667" s="56"/>
      <c r="F667" s="56"/>
      <c r="U667" s="54"/>
      <c r="V667" s="54"/>
      <c r="AE667" s="54"/>
      <c r="AG667" s="54"/>
      <c r="AI667" s="54"/>
      <c r="AJ667" s="54"/>
      <c r="AK667" s="54"/>
      <c r="AL667" s="54"/>
      <c r="AO667" s="55"/>
      <c r="AP667" s="55"/>
    </row>
    <row r="668" ht="14.25" customHeight="1">
      <c r="E668" s="56"/>
      <c r="F668" s="56"/>
      <c r="U668" s="54"/>
      <c r="V668" s="54"/>
      <c r="AE668" s="54"/>
      <c r="AG668" s="54"/>
      <c r="AI668" s="54"/>
      <c r="AJ668" s="54"/>
      <c r="AK668" s="54"/>
      <c r="AL668" s="54"/>
      <c r="AO668" s="55"/>
      <c r="AP668" s="55"/>
    </row>
    <row r="669" ht="14.25" customHeight="1">
      <c r="E669" s="56"/>
      <c r="F669" s="56"/>
      <c r="U669" s="54"/>
      <c r="V669" s="54"/>
      <c r="AE669" s="54"/>
      <c r="AG669" s="54"/>
      <c r="AI669" s="54"/>
      <c r="AJ669" s="54"/>
      <c r="AK669" s="54"/>
      <c r="AL669" s="54"/>
      <c r="AO669" s="55"/>
      <c r="AP669" s="55"/>
    </row>
    <row r="670" ht="14.25" customHeight="1">
      <c r="E670" s="56"/>
      <c r="F670" s="56"/>
      <c r="U670" s="54"/>
      <c r="V670" s="54"/>
      <c r="AE670" s="54"/>
      <c r="AG670" s="54"/>
      <c r="AI670" s="54"/>
      <c r="AJ670" s="54"/>
      <c r="AK670" s="54"/>
      <c r="AL670" s="54"/>
      <c r="AO670" s="55"/>
      <c r="AP670" s="55"/>
    </row>
    <row r="671" ht="14.25" customHeight="1">
      <c r="E671" s="56"/>
      <c r="F671" s="56"/>
      <c r="U671" s="54"/>
      <c r="V671" s="54"/>
      <c r="AE671" s="54"/>
      <c r="AG671" s="54"/>
      <c r="AI671" s="54"/>
      <c r="AJ671" s="54"/>
      <c r="AK671" s="54"/>
      <c r="AL671" s="54"/>
      <c r="AO671" s="55"/>
      <c r="AP671" s="55"/>
    </row>
    <row r="672" ht="14.25" customHeight="1">
      <c r="E672" s="56"/>
      <c r="F672" s="56"/>
      <c r="U672" s="54"/>
      <c r="V672" s="54"/>
      <c r="AE672" s="54"/>
      <c r="AG672" s="54"/>
      <c r="AI672" s="54"/>
      <c r="AJ672" s="54"/>
      <c r="AK672" s="54"/>
      <c r="AL672" s="54"/>
      <c r="AO672" s="55"/>
      <c r="AP672" s="55"/>
    </row>
    <row r="673" ht="14.25" customHeight="1">
      <c r="E673" s="56"/>
      <c r="F673" s="56"/>
      <c r="U673" s="54"/>
      <c r="V673" s="54"/>
      <c r="AE673" s="54"/>
      <c r="AG673" s="54"/>
      <c r="AI673" s="54"/>
      <c r="AJ673" s="54"/>
      <c r="AK673" s="54"/>
      <c r="AL673" s="54"/>
      <c r="AO673" s="55"/>
      <c r="AP673" s="55"/>
    </row>
    <row r="674" ht="14.25" customHeight="1">
      <c r="E674" s="56"/>
      <c r="F674" s="56"/>
      <c r="U674" s="54"/>
      <c r="V674" s="54"/>
      <c r="AE674" s="54"/>
      <c r="AG674" s="54"/>
      <c r="AI674" s="54"/>
      <c r="AJ674" s="54"/>
      <c r="AK674" s="54"/>
      <c r="AL674" s="54"/>
      <c r="AO674" s="55"/>
      <c r="AP674" s="55"/>
    </row>
    <row r="675" ht="14.25" customHeight="1">
      <c r="E675" s="56"/>
      <c r="F675" s="56"/>
      <c r="U675" s="54"/>
      <c r="V675" s="54"/>
      <c r="AE675" s="54"/>
      <c r="AG675" s="54"/>
      <c r="AI675" s="54"/>
      <c r="AJ675" s="54"/>
      <c r="AK675" s="54"/>
      <c r="AL675" s="54"/>
      <c r="AO675" s="55"/>
      <c r="AP675" s="55"/>
    </row>
    <row r="676" ht="14.25" customHeight="1">
      <c r="E676" s="56"/>
      <c r="F676" s="56"/>
      <c r="U676" s="54"/>
      <c r="V676" s="54"/>
      <c r="AE676" s="54"/>
      <c r="AG676" s="54"/>
      <c r="AI676" s="54"/>
      <c r="AJ676" s="54"/>
      <c r="AK676" s="54"/>
      <c r="AL676" s="54"/>
      <c r="AO676" s="55"/>
      <c r="AP676" s="55"/>
    </row>
    <row r="677" ht="14.25" customHeight="1">
      <c r="E677" s="56"/>
      <c r="F677" s="56"/>
      <c r="U677" s="54"/>
      <c r="V677" s="54"/>
      <c r="AE677" s="54"/>
      <c r="AG677" s="54"/>
      <c r="AI677" s="54"/>
      <c r="AJ677" s="54"/>
      <c r="AK677" s="54"/>
      <c r="AL677" s="54"/>
      <c r="AO677" s="55"/>
      <c r="AP677" s="55"/>
    </row>
    <row r="678" ht="14.25" customHeight="1">
      <c r="E678" s="56"/>
      <c r="F678" s="56"/>
      <c r="U678" s="54"/>
      <c r="V678" s="54"/>
      <c r="AE678" s="54"/>
      <c r="AG678" s="54"/>
      <c r="AI678" s="54"/>
      <c r="AJ678" s="54"/>
      <c r="AK678" s="54"/>
      <c r="AL678" s="54"/>
      <c r="AO678" s="55"/>
      <c r="AP678" s="55"/>
    </row>
    <row r="679" ht="14.25" customHeight="1">
      <c r="E679" s="56"/>
      <c r="F679" s="56"/>
      <c r="U679" s="54"/>
      <c r="V679" s="54"/>
      <c r="AE679" s="54"/>
      <c r="AG679" s="54"/>
      <c r="AI679" s="54"/>
      <c r="AJ679" s="54"/>
      <c r="AK679" s="54"/>
      <c r="AL679" s="54"/>
      <c r="AO679" s="55"/>
      <c r="AP679" s="55"/>
    </row>
    <row r="680" ht="14.25" customHeight="1">
      <c r="E680" s="56"/>
      <c r="F680" s="56"/>
      <c r="U680" s="54"/>
      <c r="V680" s="54"/>
      <c r="AE680" s="54"/>
      <c r="AG680" s="54"/>
      <c r="AI680" s="54"/>
      <c r="AJ680" s="54"/>
      <c r="AK680" s="54"/>
      <c r="AL680" s="54"/>
      <c r="AO680" s="55"/>
      <c r="AP680" s="55"/>
    </row>
    <row r="681" ht="14.25" customHeight="1">
      <c r="E681" s="56"/>
      <c r="F681" s="56"/>
      <c r="U681" s="54"/>
      <c r="V681" s="54"/>
      <c r="AE681" s="54"/>
      <c r="AG681" s="54"/>
      <c r="AI681" s="54"/>
      <c r="AJ681" s="54"/>
      <c r="AK681" s="54"/>
      <c r="AL681" s="54"/>
      <c r="AO681" s="55"/>
      <c r="AP681" s="55"/>
    </row>
    <row r="682" ht="14.25" customHeight="1">
      <c r="E682" s="56"/>
      <c r="F682" s="56"/>
      <c r="U682" s="54"/>
      <c r="V682" s="54"/>
      <c r="AE682" s="54"/>
      <c r="AG682" s="54"/>
      <c r="AI682" s="54"/>
      <c r="AJ682" s="54"/>
      <c r="AK682" s="54"/>
      <c r="AL682" s="54"/>
      <c r="AO682" s="55"/>
      <c r="AP682" s="55"/>
    </row>
    <row r="683" ht="14.25" customHeight="1">
      <c r="E683" s="56"/>
      <c r="F683" s="56"/>
      <c r="U683" s="54"/>
      <c r="V683" s="54"/>
      <c r="AE683" s="54"/>
      <c r="AG683" s="54"/>
      <c r="AI683" s="54"/>
      <c r="AJ683" s="54"/>
      <c r="AK683" s="54"/>
      <c r="AL683" s="54"/>
      <c r="AO683" s="55"/>
      <c r="AP683" s="55"/>
    </row>
    <row r="684" ht="14.25" customHeight="1">
      <c r="E684" s="56"/>
      <c r="F684" s="56"/>
      <c r="U684" s="54"/>
      <c r="V684" s="54"/>
      <c r="AE684" s="54"/>
      <c r="AG684" s="54"/>
      <c r="AI684" s="54"/>
      <c r="AJ684" s="54"/>
      <c r="AK684" s="54"/>
      <c r="AL684" s="54"/>
      <c r="AO684" s="55"/>
      <c r="AP684" s="55"/>
    </row>
    <row r="685" ht="14.25" customHeight="1">
      <c r="E685" s="56"/>
      <c r="F685" s="56"/>
      <c r="U685" s="54"/>
      <c r="V685" s="54"/>
      <c r="AE685" s="54"/>
      <c r="AG685" s="54"/>
      <c r="AI685" s="54"/>
      <c r="AJ685" s="54"/>
      <c r="AK685" s="54"/>
      <c r="AL685" s="54"/>
      <c r="AO685" s="55"/>
      <c r="AP685" s="55"/>
    </row>
    <row r="686" ht="14.25" customHeight="1">
      <c r="E686" s="56"/>
      <c r="F686" s="56"/>
      <c r="U686" s="54"/>
      <c r="V686" s="54"/>
      <c r="AE686" s="54"/>
      <c r="AG686" s="54"/>
      <c r="AI686" s="54"/>
      <c r="AJ686" s="54"/>
      <c r="AK686" s="54"/>
      <c r="AL686" s="54"/>
      <c r="AO686" s="55"/>
      <c r="AP686" s="55"/>
    </row>
    <row r="687" ht="14.25" customHeight="1">
      <c r="E687" s="56"/>
      <c r="F687" s="56"/>
      <c r="U687" s="54"/>
      <c r="V687" s="54"/>
      <c r="AE687" s="54"/>
      <c r="AG687" s="54"/>
      <c r="AI687" s="54"/>
      <c r="AJ687" s="54"/>
      <c r="AK687" s="54"/>
      <c r="AL687" s="54"/>
      <c r="AO687" s="55"/>
      <c r="AP687" s="55"/>
    </row>
    <row r="688" ht="14.25" customHeight="1">
      <c r="E688" s="56"/>
      <c r="F688" s="56"/>
      <c r="U688" s="54"/>
      <c r="V688" s="54"/>
      <c r="AE688" s="54"/>
      <c r="AG688" s="54"/>
      <c r="AI688" s="54"/>
      <c r="AJ688" s="54"/>
      <c r="AK688" s="54"/>
      <c r="AL688" s="54"/>
      <c r="AO688" s="55"/>
      <c r="AP688" s="55"/>
    </row>
    <row r="689" ht="14.25" customHeight="1">
      <c r="E689" s="56"/>
      <c r="F689" s="56"/>
      <c r="U689" s="54"/>
      <c r="V689" s="54"/>
      <c r="AE689" s="54"/>
      <c r="AG689" s="54"/>
      <c r="AI689" s="54"/>
      <c r="AJ689" s="54"/>
      <c r="AK689" s="54"/>
      <c r="AL689" s="54"/>
      <c r="AO689" s="55"/>
      <c r="AP689" s="55"/>
    </row>
    <row r="690" ht="14.25" customHeight="1">
      <c r="E690" s="56"/>
      <c r="F690" s="56"/>
      <c r="U690" s="54"/>
      <c r="V690" s="54"/>
      <c r="AE690" s="54"/>
      <c r="AG690" s="54"/>
      <c r="AI690" s="54"/>
      <c r="AJ690" s="54"/>
      <c r="AK690" s="54"/>
      <c r="AL690" s="54"/>
      <c r="AO690" s="55"/>
      <c r="AP690" s="55"/>
    </row>
    <row r="691" ht="14.25" customHeight="1">
      <c r="E691" s="56"/>
      <c r="F691" s="56"/>
      <c r="U691" s="54"/>
      <c r="V691" s="54"/>
      <c r="AE691" s="54"/>
      <c r="AG691" s="54"/>
      <c r="AI691" s="54"/>
      <c r="AJ691" s="54"/>
      <c r="AK691" s="54"/>
      <c r="AL691" s="54"/>
      <c r="AO691" s="55"/>
      <c r="AP691" s="55"/>
    </row>
    <row r="692" ht="14.25" customHeight="1">
      <c r="E692" s="56"/>
      <c r="F692" s="56"/>
      <c r="U692" s="54"/>
      <c r="V692" s="54"/>
      <c r="AE692" s="54"/>
      <c r="AG692" s="54"/>
      <c r="AI692" s="54"/>
      <c r="AJ692" s="54"/>
      <c r="AK692" s="54"/>
      <c r="AL692" s="54"/>
      <c r="AO692" s="55"/>
      <c r="AP692" s="55"/>
    </row>
    <row r="693" ht="14.25" customHeight="1">
      <c r="E693" s="56"/>
      <c r="F693" s="56"/>
      <c r="U693" s="54"/>
      <c r="V693" s="54"/>
      <c r="AE693" s="54"/>
      <c r="AG693" s="54"/>
      <c r="AI693" s="54"/>
      <c r="AJ693" s="54"/>
      <c r="AK693" s="54"/>
      <c r="AL693" s="54"/>
      <c r="AO693" s="55"/>
      <c r="AP693" s="55"/>
    </row>
    <row r="694" ht="14.25" customHeight="1">
      <c r="E694" s="56"/>
      <c r="F694" s="56"/>
      <c r="U694" s="54"/>
      <c r="V694" s="54"/>
      <c r="AE694" s="54"/>
      <c r="AG694" s="54"/>
      <c r="AI694" s="54"/>
      <c r="AJ694" s="54"/>
      <c r="AK694" s="54"/>
      <c r="AL694" s="54"/>
      <c r="AO694" s="55"/>
      <c r="AP694" s="55"/>
    </row>
    <row r="695" ht="14.25" customHeight="1">
      <c r="E695" s="56"/>
      <c r="F695" s="56"/>
      <c r="U695" s="54"/>
      <c r="V695" s="54"/>
      <c r="AE695" s="54"/>
      <c r="AG695" s="54"/>
      <c r="AI695" s="54"/>
      <c r="AJ695" s="54"/>
      <c r="AK695" s="54"/>
      <c r="AL695" s="54"/>
      <c r="AO695" s="55"/>
      <c r="AP695" s="55"/>
    </row>
    <row r="696" ht="14.25" customHeight="1">
      <c r="E696" s="56"/>
      <c r="F696" s="56"/>
      <c r="U696" s="54"/>
      <c r="V696" s="54"/>
      <c r="AE696" s="54"/>
      <c r="AG696" s="54"/>
      <c r="AI696" s="54"/>
      <c r="AJ696" s="54"/>
      <c r="AK696" s="54"/>
      <c r="AL696" s="54"/>
      <c r="AO696" s="55"/>
      <c r="AP696" s="55"/>
    </row>
    <row r="697" ht="14.25" customHeight="1">
      <c r="E697" s="56"/>
      <c r="F697" s="56"/>
      <c r="U697" s="54"/>
      <c r="V697" s="54"/>
      <c r="AE697" s="54"/>
      <c r="AG697" s="54"/>
      <c r="AI697" s="54"/>
      <c r="AJ697" s="54"/>
      <c r="AK697" s="54"/>
      <c r="AL697" s="54"/>
      <c r="AO697" s="55"/>
      <c r="AP697" s="55"/>
    </row>
    <row r="698" ht="14.25" customHeight="1">
      <c r="E698" s="56"/>
      <c r="F698" s="56"/>
      <c r="U698" s="54"/>
      <c r="V698" s="54"/>
      <c r="AE698" s="54"/>
      <c r="AG698" s="54"/>
      <c r="AI698" s="54"/>
      <c r="AJ698" s="54"/>
      <c r="AK698" s="54"/>
      <c r="AL698" s="54"/>
      <c r="AO698" s="55"/>
      <c r="AP698" s="55"/>
    </row>
    <row r="699" ht="14.25" customHeight="1">
      <c r="E699" s="56"/>
      <c r="F699" s="56"/>
      <c r="U699" s="54"/>
      <c r="V699" s="54"/>
      <c r="AE699" s="54"/>
      <c r="AG699" s="54"/>
      <c r="AI699" s="54"/>
      <c r="AJ699" s="54"/>
      <c r="AK699" s="54"/>
      <c r="AL699" s="54"/>
      <c r="AO699" s="55"/>
      <c r="AP699" s="55"/>
    </row>
    <row r="700" ht="14.25" customHeight="1">
      <c r="E700" s="56"/>
      <c r="F700" s="56"/>
      <c r="U700" s="54"/>
      <c r="V700" s="54"/>
      <c r="AE700" s="54"/>
      <c r="AG700" s="54"/>
      <c r="AI700" s="54"/>
      <c r="AJ700" s="54"/>
      <c r="AK700" s="54"/>
      <c r="AL700" s="54"/>
      <c r="AO700" s="55"/>
      <c r="AP700" s="55"/>
    </row>
    <row r="701" ht="14.25" customHeight="1">
      <c r="E701" s="56"/>
      <c r="F701" s="56"/>
      <c r="U701" s="54"/>
      <c r="V701" s="54"/>
      <c r="AE701" s="54"/>
      <c r="AG701" s="54"/>
      <c r="AI701" s="54"/>
      <c r="AJ701" s="54"/>
      <c r="AK701" s="54"/>
      <c r="AL701" s="54"/>
      <c r="AO701" s="55"/>
      <c r="AP701" s="55"/>
    </row>
    <row r="702" ht="14.25" customHeight="1">
      <c r="E702" s="56"/>
      <c r="F702" s="56"/>
      <c r="U702" s="54"/>
      <c r="V702" s="54"/>
      <c r="AE702" s="54"/>
      <c r="AG702" s="54"/>
      <c r="AI702" s="54"/>
      <c r="AJ702" s="54"/>
      <c r="AK702" s="54"/>
      <c r="AL702" s="54"/>
      <c r="AO702" s="55"/>
      <c r="AP702" s="55"/>
    </row>
    <row r="703" ht="14.25" customHeight="1">
      <c r="E703" s="56"/>
      <c r="F703" s="56"/>
      <c r="U703" s="54"/>
      <c r="V703" s="54"/>
      <c r="AE703" s="54"/>
      <c r="AG703" s="54"/>
      <c r="AI703" s="54"/>
      <c r="AJ703" s="54"/>
      <c r="AK703" s="54"/>
      <c r="AL703" s="54"/>
      <c r="AO703" s="55"/>
      <c r="AP703" s="55"/>
    </row>
    <row r="704" ht="14.25" customHeight="1">
      <c r="E704" s="56"/>
      <c r="F704" s="56"/>
      <c r="U704" s="54"/>
      <c r="V704" s="54"/>
      <c r="AE704" s="54"/>
      <c r="AG704" s="54"/>
      <c r="AI704" s="54"/>
      <c r="AJ704" s="54"/>
      <c r="AK704" s="54"/>
      <c r="AL704" s="54"/>
      <c r="AO704" s="55"/>
      <c r="AP704" s="55"/>
    </row>
    <row r="705" ht="14.25" customHeight="1">
      <c r="E705" s="56"/>
      <c r="F705" s="56"/>
      <c r="U705" s="54"/>
      <c r="V705" s="54"/>
      <c r="AE705" s="54"/>
      <c r="AG705" s="54"/>
      <c r="AI705" s="54"/>
      <c r="AJ705" s="54"/>
      <c r="AK705" s="54"/>
      <c r="AL705" s="54"/>
      <c r="AO705" s="55"/>
      <c r="AP705" s="55"/>
    </row>
    <row r="706" ht="14.25" customHeight="1">
      <c r="E706" s="56"/>
      <c r="F706" s="56"/>
      <c r="U706" s="54"/>
      <c r="V706" s="54"/>
      <c r="AE706" s="54"/>
      <c r="AG706" s="54"/>
      <c r="AI706" s="54"/>
      <c r="AJ706" s="54"/>
      <c r="AK706" s="54"/>
      <c r="AL706" s="54"/>
      <c r="AO706" s="55"/>
      <c r="AP706" s="55"/>
    </row>
    <row r="707" ht="14.25" customHeight="1">
      <c r="E707" s="56"/>
      <c r="F707" s="56"/>
      <c r="U707" s="54"/>
      <c r="V707" s="54"/>
      <c r="AE707" s="54"/>
      <c r="AG707" s="54"/>
      <c r="AI707" s="54"/>
      <c r="AJ707" s="54"/>
      <c r="AK707" s="54"/>
      <c r="AL707" s="54"/>
      <c r="AO707" s="55"/>
      <c r="AP707" s="55"/>
    </row>
    <row r="708" ht="14.25" customHeight="1">
      <c r="E708" s="56"/>
      <c r="F708" s="56"/>
      <c r="U708" s="54"/>
      <c r="V708" s="54"/>
      <c r="AE708" s="54"/>
      <c r="AG708" s="54"/>
      <c r="AI708" s="54"/>
      <c r="AJ708" s="54"/>
      <c r="AK708" s="54"/>
      <c r="AL708" s="54"/>
      <c r="AO708" s="55"/>
      <c r="AP708" s="55"/>
    </row>
    <row r="709" ht="14.25" customHeight="1">
      <c r="E709" s="56"/>
      <c r="F709" s="56"/>
      <c r="U709" s="54"/>
      <c r="V709" s="54"/>
      <c r="AE709" s="54"/>
      <c r="AG709" s="54"/>
      <c r="AI709" s="54"/>
      <c r="AJ709" s="54"/>
      <c r="AK709" s="54"/>
      <c r="AL709" s="54"/>
      <c r="AO709" s="55"/>
      <c r="AP709" s="55"/>
    </row>
    <row r="710" ht="14.25" customHeight="1">
      <c r="E710" s="56"/>
      <c r="F710" s="56"/>
      <c r="U710" s="54"/>
      <c r="V710" s="54"/>
      <c r="AE710" s="54"/>
      <c r="AG710" s="54"/>
      <c r="AI710" s="54"/>
      <c r="AJ710" s="54"/>
      <c r="AK710" s="54"/>
      <c r="AL710" s="54"/>
      <c r="AO710" s="55"/>
      <c r="AP710" s="55"/>
    </row>
    <row r="711" ht="14.25" customHeight="1">
      <c r="E711" s="56"/>
      <c r="F711" s="56"/>
      <c r="U711" s="54"/>
      <c r="V711" s="54"/>
      <c r="AE711" s="54"/>
      <c r="AG711" s="54"/>
      <c r="AI711" s="54"/>
      <c r="AJ711" s="54"/>
      <c r="AK711" s="54"/>
      <c r="AL711" s="54"/>
      <c r="AO711" s="55"/>
      <c r="AP711" s="55"/>
    </row>
    <row r="712" ht="14.25" customHeight="1">
      <c r="E712" s="56"/>
      <c r="F712" s="56"/>
      <c r="U712" s="54"/>
      <c r="V712" s="54"/>
      <c r="AE712" s="54"/>
      <c r="AG712" s="54"/>
      <c r="AI712" s="54"/>
      <c r="AJ712" s="54"/>
      <c r="AK712" s="54"/>
      <c r="AL712" s="54"/>
      <c r="AO712" s="55"/>
      <c r="AP712" s="55"/>
    </row>
    <row r="713" ht="14.25" customHeight="1">
      <c r="E713" s="56"/>
      <c r="F713" s="56"/>
      <c r="U713" s="54"/>
      <c r="V713" s="54"/>
      <c r="AE713" s="54"/>
      <c r="AG713" s="54"/>
      <c r="AI713" s="54"/>
      <c r="AJ713" s="54"/>
      <c r="AK713" s="54"/>
      <c r="AL713" s="54"/>
      <c r="AO713" s="55"/>
      <c r="AP713" s="55"/>
    </row>
    <row r="714" ht="14.25" customHeight="1">
      <c r="E714" s="56"/>
      <c r="F714" s="56"/>
      <c r="U714" s="54"/>
      <c r="V714" s="54"/>
      <c r="AE714" s="54"/>
      <c r="AG714" s="54"/>
      <c r="AI714" s="54"/>
      <c r="AJ714" s="54"/>
      <c r="AK714" s="54"/>
      <c r="AL714" s="54"/>
      <c r="AO714" s="55"/>
      <c r="AP714" s="55"/>
    </row>
    <row r="715" ht="14.25" customHeight="1">
      <c r="E715" s="56"/>
      <c r="F715" s="56"/>
      <c r="U715" s="54"/>
      <c r="V715" s="54"/>
      <c r="AE715" s="54"/>
      <c r="AG715" s="54"/>
      <c r="AI715" s="54"/>
      <c r="AJ715" s="54"/>
      <c r="AK715" s="54"/>
      <c r="AL715" s="54"/>
      <c r="AO715" s="55"/>
      <c r="AP715" s="55"/>
    </row>
    <row r="716" ht="14.25" customHeight="1">
      <c r="E716" s="56"/>
      <c r="F716" s="56"/>
      <c r="U716" s="54"/>
      <c r="V716" s="54"/>
      <c r="AE716" s="54"/>
      <c r="AG716" s="54"/>
      <c r="AI716" s="54"/>
      <c r="AJ716" s="54"/>
      <c r="AK716" s="54"/>
      <c r="AL716" s="54"/>
      <c r="AO716" s="55"/>
      <c r="AP716" s="55"/>
    </row>
    <row r="717" ht="14.25" customHeight="1">
      <c r="E717" s="56"/>
      <c r="F717" s="56"/>
      <c r="U717" s="54"/>
      <c r="V717" s="54"/>
      <c r="AE717" s="54"/>
      <c r="AG717" s="54"/>
      <c r="AI717" s="54"/>
      <c r="AJ717" s="54"/>
      <c r="AK717" s="54"/>
      <c r="AL717" s="54"/>
      <c r="AO717" s="55"/>
      <c r="AP717" s="55"/>
    </row>
    <row r="718" ht="14.25" customHeight="1">
      <c r="E718" s="56"/>
      <c r="F718" s="56"/>
      <c r="U718" s="54"/>
      <c r="V718" s="54"/>
      <c r="AE718" s="54"/>
      <c r="AG718" s="54"/>
      <c r="AI718" s="54"/>
      <c r="AJ718" s="54"/>
      <c r="AK718" s="54"/>
      <c r="AL718" s="54"/>
      <c r="AO718" s="55"/>
      <c r="AP718" s="55"/>
    </row>
    <row r="719" ht="14.25" customHeight="1">
      <c r="E719" s="56"/>
      <c r="F719" s="56"/>
      <c r="U719" s="54"/>
      <c r="V719" s="54"/>
      <c r="AE719" s="54"/>
      <c r="AG719" s="54"/>
      <c r="AI719" s="54"/>
      <c r="AJ719" s="54"/>
      <c r="AK719" s="54"/>
      <c r="AL719" s="54"/>
      <c r="AO719" s="55"/>
      <c r="AP719" s="55"/>
    </row>
    <row r="720" ht="14.25" customHeight="1">
      <c r="E720" s="56"/>
      <c r="F720" s="56"/>
      <c r="U720" s="54"/>
      <c r="V720" s="54"/>
      <c r="AE720" s="54"/>
      <c r="AG720" s="54"/>
      <c r="AI720" s="54"/>
      <c r="AJ720" s="54"/>
      <c r="AK720" s="54"/>
      <c r="AL720" s="54"/>
      <c r="AO720" s="55"/>
      <c r="AP720" s="55"/>
    </row>
    <row r="721" ht="14.25" customHeight="1">
      <c r="E721" s="56"/>
      <c r="F721" s="56"/>
      <c r="U721" s="54"/>
      <c r="V721" s="54"/>
      <c r="AE721" s="54"/>
      <c r="AG721" s="54"/>
      <c r="AI721" s="54"/>
      <c r="AJ721" s="54"/>
      <c r="AK721" s="54"/>
      <c r="AL721" s="54"/>
      <c r="AO721" s="55"/>
      <c r="AP721" s="55"/>
    </row>
    <row r="722" ht="14.25" customHeight="1">
      <c r="E722" s="56"/>
      <c r="F722" s="56"/>
      <c r="U722" s="54"/>
      <c r="V722" s="54"/>
      <c r="AE722" s="54"/>
      <c r="AG722" s="54"/>
      <c r="AI722" s="54"/>
      <c r="AJ722" s="54"/>
      <c r="AK722" s="54"/>
      <c r="AL722" s="54"/>
      <c r="AO722" s="55"/>
      <c r="AP722" s="55"/>
    </row>
    <row r="723" ht="14.25" customHeight="1">
      <c r="E723" s="56"/>
      <c r="F723" s="56"/>
      <c r="U723" s="54"/>
      <c r="V723" s="54"/>
      <c r="AE723" s="54"/>
      <c r="AG723" s="54"/>
      <c r="AI723" s="54"/>
      <c r="AJ723" s="54"/>
      <c r="AK723" s="54"/>
      <c r="AL723" s="54"/>
      <c r="AO723" s="55"/>
      <c r="AP723" s="55"/>
    </row>
    <row r="724" ht="14.25" customHeight="1">
      <c r="E724" s="56"/>
      <c r="F724" s="56"/>
      <c r="U724" s="54"/>
      <c r="V724" s="54"/>
      <c r="AE724" s="54"/>
      <c r="AG724" s="54"/>
      <c r="AI724" s="54"/>
      <c r="AJ724" s="54"/>
      <c r="AK724" s="54"/>
      <c r="AL724" s="54"/>
      <c r="AO724" s="55"/>
      <c r="AP724" s="55"/>
    </row>
    <row r="725" ht="14.25" customHeight="1">
      <c r="E725" s="56"/>
      <c r="F725" s="56"/>
      <c r="U725" s="54"/>
      <c r="V725" s="54"/>
      <c r="AE725" s="54"/>
      <c r="AG725" s="54"/>
      <c r="AI725" s="54"/>
      <c r="AJ725" s="54"/>
      <c r="AK725" s="54"/>
      <c r="AL725" s="54"/>
      <c r="AO725" s="55"/>
      <c r="AP725" s="55"/>
    </row>
    <row r="726" ht="14.25" customHeight="1">
      <c r="E726" s="56"/>
      <c r="F726" s="56"/>
      <c r="U726" s="54"/>
      <c r="V726" s="54"/>
      <c r="AE726" s="54"/>
      <c r="AG726" s="54"/>
      <c r="AI726" s="54"/>
      <c r="AJ726" s="54"/>
      <c r="AK726" s="54"/>
      <c r="AL726" s="54"/>
      <c r="AO726" s="55"/>
      <c r="AP726" s="55"/>
    </row>
    <row r="727" ht="14.25" customHeight="1">
      <c r="E727" s="56"/>
      <c r="F727" s="56"/>
      <c r="U727" s="54"/>
      <c r="V727" s="54"/>
      <c r="AE727" s="54"/>
      <c r="AG727" s="54"/>
      <c r="AI727" s="54"/>
      <c r="AJ727" s="54"/>
      <c r="AK727" s="54"/>
      <c r="AL727" s="54"/>
      <c r="AO727" s="55"/>
      <c r="AP727" s="55"/>
    </row>
    <row r="728" ht="14.25" customHeight="1">
      <c r="E728" s="56"/>
      <c r="F728" s="56"/>
      <c r="U728" s="54"/>
      <c r="V728" s="54"/>
      <c r="AE728" s="54"/>
      <c r="AG728" s="54"/>
      <c r="AI728" s="54"/>
      <c r="AJ728" s="54"/>
      <c r="AK728" s="54"/>
      <c r="AL728" s="54"/>
      <c r="AO728" s="55"/>
      <c r="AP728" s="55"/>
    </row>
    <row r="729" ht="14.25" customHeight="1">
      <c r="E729" s="56"/>
      <c r="F729" s="56"/>
      <c r="U729" s="54"/>
      <c r="V729" s="54"/>
      <c r="AE729" s="54"/>
      <c r="AG729" s="54"/>
      <c r="AI729" s="54"/>
      <c r="AJ729" s="54"/>
      <c r="AK729" s="54"/>
      <c r="AL729" s="54"/>
      <c r="AO729" s="55"/>
      <c r="AP729" s="55"/>
    </row>
    <row r="730" ht="14.25" customHeight="1">
      <c r="E730" s="56"/>
      <c r="F730" s="56"/>
      <c r="U730" s="54"/>
      <c r="V730" s="54"/>
      <c r="AE730" s="54"/>
      <c r="AG730" s="54"/>
      <c r="AI730" s="54"/>
      <c r="AJ730" s="54"/>
      <c r="AK730" s="54"/>
      <c r="AL730" s="54"/>
      <c r="AO730" s="55"/>
      <c r="AP730" s="55"/>
    </row>
    <row r="731" ht="14.25" customHeight="1">
      <c r="E731" s="56"/>
      <c r="F731" s="56"/>
      <c r="U731" s="54"/>
      <c r="V731" s="54"/>
      <c r="AE731" s="54"/>
      <c r="AG731" s="54"/>
      <c r="AI731" s="54"/>
      <c r="AJ731" s="54"/>
      <c r="AK731" s="54"/>
      <c r="AL731" s="54"/>
      <c r="AO731" s="55"/>
      <c r="AP731" s="55"/>
    </row>
    <row r="732" ht="14.25" customHeight="1">
      <c r="E732" s="56"/>
      <c r="F732" s="56"/>
      <c r="U732" s="54"/>
      <c r="V732" s="54"/>
      <c r="AE732" s="54"/>
      <c r="AG732" s="54"/>
      <c r="AI732" s="54"/>
      <c r="AJ732" s="54"/>
      <c r="AK732" s="54"/>
      <c r="AL732" s="54"/>
      <c r="AO732" s="55"/>
      <c r="AP732" s="55"/>
    </row>
    <row r="733" ht="14.25" customHeight="1">
      <c r="E733" s="56"/>
      <c r="F733" s="56"/>
      <c r="U733" s="54"/>
      <c r="V733" s="54"/>
      <c r="AE733" s="54"/>
      <c r="AG733" s="54"/>
      <c r="AI733" s="54"/>
      <c r="AJ733" s="54"/>
      <c r="AK733" s="54"/>
      <c r="AL733" s="54"/>
      <c r="AO733" s="55"/>
      <c r="AP733" s="55"/>
    </row>
    <row r="734" ht="14.25" customHeight="1">
      <c r="E734" s="56"/>
      <c r="F734" s="56"/>
      <c r="U734" s="54"/>
      <c r="V734" s="54"/>
      <c r="AE734" s="54"/>
      <c r="AG734" s="54"/>
      <c r="AI734" s="54"/>
      <c r="AJ734" s="54"/>
      <c r="AK734" s="54"/>
      <c r="AL734" s="54"/>
      <c r="AO734" s="55"/>
      <c r="AP734" s="55"/>
    </row>
    <row r="735" ht="14.25" customHeight="1">
      <c r="E735" s="56"/>
      <c r="F735" s="56"/>
      <c r="U735" s="54"/>
      <c r="V735" s="54"/>
      <c r="AE735" s="54"/>
      <c r="AG735" s="54"/>
      <c r="AI735" s="54"/>
      <c r="AJ735" s="54"/>
      <c r="AK735" s="54"/>
      <c r="AL735" s="54"/>
      <c r="AO735" s="55"/>
      <c r="AP735" s="55"/>
    </row>
    <row r="736" ht="14.25" customHeight="1">
      <c r="E736" s="56"/>
      <c r="F736" s="56"/>
      <c r="U736" s="54"/>
      <c r="V736" s="54"/>
      <c r="AE736" s="54"/>
      <c r="AG736" s="54"/>
      <c r="AI736" s="54"/>
      <c r="AJ736" s="54"/>
      <c r="AK736" s="54"/>
      <c r="AL736" s="54"/>
      <c r="AO736" s="55"/>
      <c r="AP736" s="55"/>
    </row>
    <row r="737" ht="14.25" customHeight="1">
      <c r="E737" s="56"/>
      <c r="F737" s="56"/>
      <c r="U737" s="54"/>
      <c r="V737" s="54"/>
      <c r="AE737" s="54"/>
      <c r="AG737" s="54"/>
      <c r="AI737" s="54"/>
      <c r="AJ737" s="54"/>
      <c r="AK737" s="54"/>
      <c r="AL737" s="54"/>
      <c r="AO737" s="55"/>
      <c r="AP737" s="55"/>
    </row>
    <row r="738" ht="14.25" customHeight="1">
      <c r="E738" s="56"/>
      <c r="F738" s="56"/>
      <c r="U738" s="54"/>
      <c r="V738" s="54"/>
      <c r="AE738" s="54"/>
      <c r="AG738" s="54"/>
      <c r="AI738" s="54"/>
      <c r="AJ738" s="54"/>
      <c r="AK738" s="54"/>
      <c r="AL738" s="54"/>
      <c r="AO738" s="55"/>
      <c r="AP738" s="55"/>
    </row>
    <row r="739" ht="14.25" customHeight="1">
      <c r="E739" s="56"/>
      <c r="F739" s="56"/>
      <c r="U739" s="54"/>
      <c r="V739" s="54"/>
      <c r="AE739" s="54"/>
      <c r="AG739" s="54"/>
      <c r="AI739" s="54"/>
      <c r="AJ739" s="54"/>
      <c r="AK739" s="54"/>
      <c r="AL739" s="54"/>
      <c r="AO739" s="55"/>
      <c r="AP739" s="55"/>
    </row>
    <row r="740" ht="14.25" customHeight="1">
      <c r="E740" s="56"/>
      <c r="F740" s="56"/>
      <c r="U740" s="54"/>
      <c r="V740" s="54"/>
      <c r="AE740" s="54"/>
      <c r="AG740" s="54"/>
      <c r="AI740" s="54"/>
      <c r="AJ740" s="54"/>
      <c r="AK740" s="54"/>
      <c r="AL740" s="54"/>
      <c r="AO740" s="55"/>
      <c r="AP740" s="55"/>
    </row>
    <row r="741" ht="14.25" customHeight="1">
      <c r="E741" s="56"/>
      <c r="F741" s="56"/>
      <c r="U741" s="54"/>
      <c r="V741" s="54"/>
      <c r="AE741" s="54"/>
      <c r="AG741" s="54"/>
      <c r="AI741" s="54"/>
      <c r="AJ741" s="54"/>
      <c r="AK741" s="54"/>
      <c r="AL741" s="54"/>
      <c r="AO741" s="55"/>
      <c r="AP741" s="55"/>
    </row>
    <row r="742" ht="14.25" customHeight="1">
      <c r="E742" s="56"/>
      <c r="F742" s="56"/>
      <c r="U742" s="54"/>
      <c r="V742" s="54"/>
      <c r="AE742" s="54"/>
      <c r="AG742" s="54"/>
      <c r="AI742" s="54"/>
      <c r="AJ742" s="54"/>
      <c r="AK742" s="54"/>
      <c r="AL742" s="54"/>
      <c r="AO742" s="55"/>
      <c r="AP742" s="55"/>
    </row>
    <row r="743" ht="14.25" customHeight="1">
      <c r="E743" s="56"/>
      <c r="F743" s="56"/>
      <c r="U743" s="54"/>
      <c r="V743" s="54"/>
      <c r="AE743" s="54"/>
      <c r="AG743" s="54"/>
      <c r="AI743" s="54"/>
      <c r="AJ743" s="54"/>
      <c r="AK743" s="54"/>
      <c r="AL743" s="54"/>
      <c r="AO743" s="55"/>
      <c r="AP743" s="55"/>
    </row>
    <row r="744" ht="14.25" customHeight="1">
      <c r="E744" s="56"/>
      <c r="F744" s="56"/>
      <c r="U744" s="54"/>
      <c r="V744" s="54"/>
      <c r="AE744" s="54"/>
      <c r="AG744" s="54"/>
      <c r="AI744" s="54"/>
      <c r="AJ744" s="54"/>
      <c r="AK744" s="54"/>
      <c r="AL744" s="54"/>
      <c r="AO744" s="55"/>
      <c r="AP744" s="55"/>
    </row>
    <row r="745" ht="14.25" customHeight="1">
      <c r="E745" s="56"/>
      <c r="F745" s="56"/>
      <c r="U745" s="54"/>
      <c r="V745" s="54"/>
      <c r="AE745" s="54"/>
      <c r="AG745" s="54"/>
      <c r="AI745" s="54"/>
      <c r="AJ745" s="54"/>
      <c r="AK745" s="54"/>
      <c r="AL745" s="54"/>
      <c r="AO745" s="55"/>
      <c r="AP745" s="55"/>
    </row>
    <row r="746" ht="14.25" customHeight="1">
      <c r="E746" s="56"/>
      <c r="F746" s="56"/>
      <c r="U746" s="54"/>
      <c r="V746" s="54"/>
      <c r="AE746" s="54"/>
      <c r="AG746" s="54"/>
      <c r="AI746" s="54"/>
      <c r="AJ746" s="54"/>
      <c r="AK746" s="54"/>
      <c r="AL746" s="54"/>
      <c r="AO746" s="55"/>
      <c r="AP746" s="55"/>
    </row>
    <row r="747" ht="14.25" customHeight="1">
      <c r="E747" s="56"/>
      <c r="F747" s="56"/>
      <c r="U747" s="54"/>
      <c r="V747" s="54"/>
      <c r="AE747" s="54"/>
      <c r="AG747" s="54"/>
      <c r="AI747" s="54"/>
      <c r="AJ747" s="54"/>
      <c r="AK747" s="54"/>
      <c r="AL747" s="54"/>
      <c r="AO747" s="55"/>
      <c r="AP747" s="55"/>
    </row>
    <row r="748" ht="14.25" customHeight="1">
      <c r="E748" s="56"/>
      <c r="F748" s="56"/>
      <c r="U748" s="54"/>
      <c r="V748" s="54"/>
      <c r="AE748" s="54"/>
      <c r="AG748" s="54"/>
      <c r="AI748" s="54"/>
      <c r="AJ748" s="54"/>
      <c r="AK748" s="54"/>
      <c r="AL748" s="54"/>
      <c r="AO748" s="55"/>
      <c r="AP748" s="55"/>
    </row>
    <row r="749" ht="14.25" customHeight="1">
      <c r="E749" s="56"/>
      <c r="F749" s="56"/>
      <c r="U749" s="54"/>
      <c r="V749" s="54"/>
      <c r="AE749" s="54"/>
      <c r="AG749" s="54"/>
      <c r="AI749" s="54"/>
      <c r="AJ749" s="54"/>
      <c r="AK749" s="54"/>
      <c r="AL749" s="54"/>
      <c r="AO749" s="55"/>
      <c r="AP749" s="55"/>
    </row>
    <row r="750" ht="14.25" customHeight="1">
      <c r="E750" s="56"/>
      <c r="F750" s="56"/>
      <c r="U750" s="54"/>
      <c r="V750" s="54"/>
      <c r="AE750" s="54"/>
      <c r="AG750" s="54"/>
      <c r="AI750" s="54"/>
      <c r="AJ750" s="54"/>
      <c r="AK750" s="54"/>
      <c r="AL750" s="54"/>
      <c r="AO750" s="55"/>
      <c r="AP750" s="55"/>
    </row>
    <row r="751" ht="14.25" customHeight="1">
      <c r="E751" s="56"/>
      <c r="F751" s="56"/>
      <c r="U751" s="54"/>
      <c r="V751" s="54"/>
      <c r="AE751" s="54"/>
      <c r="AG751" s="54"/>
      <c r="AI751" s="54"/>
      <c r="AJ751" s="54"/>
      <c r="AK751" s="54"/>
      <c r="AL751" s="54"/>
      <c r="AO751" s="55"/>
      <c r="AP751" s="55"/>
    </row>
    <row r="752" ht="14.25" customHeight="1">
      <c r="E752" s="56"/>
      <c r="F752" s="56"/>
      <c r="U752" s="54"/>
      <c r="V752" s="54"/>
      <c r="AE752" s="54"/>
      <c r="AG752" s="54"/>
      <c r="AI752" s="54"/>
      <c r="AJ752" s="54"/>
      <c r="AK752" s="54"/>
      <c r="AL752" s="54"/>
      <c r="AO752" s="55"/>
      <c r="AP752" s="55"/>
    </row>
    <row r="753" ht="14.25" customHeight="1">
      <c r="E753" s="56"/>
      <c r="F753" s="56"/>
      <c r="U753" s="54"/>
      <c r="V753" s="54"/>
      <c r="AE753" s="54"/>
      <c r="AG753" s="54"/>
      <c r="AI753" s="54"/>
      <c r="AJ753" s="54"/>
      <c r="AK753" s="54"/>
      <c r="AL753" s="54"/>
      <c r="AO753" s="55"/>
      <c r="AP753" s="55"/>
    </row>
    <row r="754" ht="14.25" customHeight="1">
      <c r="E754" s="56"/>
      <c r="F754" s="56"/>
      <c r="U754" s="54"/>
      <c r="V754" s="54"/>
      <c r="AE754" s="54"/>
      <c r="AG754" s="54"/>
      <c r="AI754" s="54"/>
      <c r="AJ754" s="54"/>
      <c r="AK754" s="54"/>
      <c r="AL754" s="54"/>
      <c r="AO754" s="55"/>
      <c r="AP754" s="55"/>
    </row>
    <row r="755" ht="14.25" customHeight="1">
      <c r="E755" s="56"/>
      <c r="F755" s="56"/>
      <c r="U755" s="54"/>
      <c r="V755" s="54"/>
      <c r="AE755" s="54"/>
      <c r="AG755" s="54"/>
      <c r="AI755" s="54"/>
      <c r="AJ755" s="54"/>
      <c r="AK755" s="54"/>
      <c r="AL755" s="54"/>
      <c r="AO755" s="55"/>
      <c r="AP755" s="55"/>
    </row>
    <row r="756" ht="14.25" customHeight="1">
      <c r="E756" s="56"/>
      <c r="F756" s="56"/>
      <c r="U756" s="54"/>
      <c r="V756" s="54"/>
      <c r="AE756" s="54"/>
      <c r="AG756" s="54"/>
      <c r="AI756" s="54"/>
      <c r="AJ756" s="54"/>
      <c r="AK756" s="54"/>
      <c r="AL756" s="54"/>
      <c r="AO756" s="55"/>
      <c r="AP756" s="55"/>
    </row>
    <row r="757" ht="14.25" customHeight="1">
      <c r="E757" s="56"/>
      <c r="F757" s="56"/>
      <c r="U757" s="54"/>
      <c r="V757" s="54"/>
      <c r="AE757" s="54"/>
      <c r="AG757" s="54"/>
      <c r="AI757" s="54"/>
      <c r="AJ757" s="54"/>
      <c r="AK757" s="54"/>
      <c r="AL757" s="54"/>
      <c r="AO757" s="55"/>
      <c r="AP757" s="55"/>
    </row>
    <row r="758" ht="14.25" customHeight="1">
      <c r="E758" s="56"/>
      <c r="F758" s="56"/>
      <c r="U758" s="54"/>
      <c r="V758" s="54"/>
      <c r="AE758" s="54"/>
      <c r="AG758" s="54"/>
      <c r="AI758" s="54"/>
      <c r="AJ758" s="54"/>
      <c r="AK758" s="54"/>
      <c r="AL758" s="54"/>
      <c r="AO758" s="55"/>
      <c r="AP758" s="55"/>
    </row>
    <row r="759" ht="14.25" customHeight="1">
      <c r="E759" s="56"/>
      <c r="F759" s="56"/>
      <c r="U759" s="54"/>
      <c r="V759" s="54"/>
      <c r="AE759" s="54"/>
      <c r="AG759" s="54"/>
      <c r="AI759" s="54"/>
      <c r="AJ759" s="54"/>
      <c r="AK759" s="54"/>
      <c r="AL759" s="54"/>
      <c r="AO759" s="55"/>
      <c r="AP759" s="55"/>
    </row>
    <row r="760" ht="14.25" customHeight="1">
      <c r="E760" s="56"/>
      <c r="F760" s="56"/>
      <c r="U760" s="54"/>
      <c r="V760" s="54"/>
      <c r="AE760" s="54"/>
      <c r="AG760" s="54"/>
      <c r="AI760" s="54"/>
      <c r="AJ760" s="54"/>
      <c r="AK760" s="54"/>
      <c r="AL760" s="54"/>
      <c r="AO760" s="55"/>
      <c r="AP760" s="55"/>
    </row>
    <row r="761" ht="14.25" customHeight="1">
      <c r="E761" s="56"/>
      <c r="F761" s="56"/>
      <c r="U761" s="54"/>
      <c r="V761" s="54"/>
      <c r="AE761" s="54"/>
      <c r="AG761" s="54"/>
      <c r="AI761" s="54"/>
      <c r="AJ761" s="54"/>
      <c r="AK761" s="54"/>
      <c r="AL761" s="54"/>
      <c r="AO761" s="55"/>
      <c r="AP761" s="55"/>
    </row>
    <row r="762" ht="14.25" customHeight="1">
      <c r="E762" s="56"/>
      <c r="F762" s="56"/>
      <c r="U762" s="54"/>
      <c r="V762" s="54"/>
      <c r="AE762" s="54"/>
      <c r="AG762" s="54"/>
      <c r="AI762" s="54"/>
      <c r="AJ762" s="54"/>
      <c r="AK762" s="54"/>
      <c r="AL762" s="54"/>
      <c r="AO762" s="55"/>
      <c r="AP762" s="55"/>
    </row>
    <row r="763" ht="14.25" customHeight="1">
      <c r="E763" s="56"/>
      <c r="F763" s="56"/>
      <c r="U763" s="54"/>
      <c r="V763" s="54"/>
      <c r="AE763" s="54"/>
      <c r="AG763" s="54"/>
      <c r="AI763" s="54"/>
      <c r="AJ763" s="54"/>
      <c r="AK763" s="54"/>
      <c r="AL763" s="54"/>
      <c r="AO763" s="55"/>
      <c r="AP763" s="55"/>
    </row>
    <row r="764" ht="14.25" customHeight="1">
      <c r="E764" s="56"/>
      <c r="F764" s="56"/>
      <c r="U764" s="54"/>
      <c r="V764" s="54"/>
      <c r="AE764" s="54"/>
      <c r="AG764" s="54"/>
      <c r="AI764" s="54"/>
      <c r="AJ764" s="54"/>
      <c r="AK764" s="54"/>
      <c r="AL764" s="54"/>
      <c r="AO764" s="55"/>
      <c r="AP764" s="55"/>
    </row>
    <row r="765" ht="14.25" customHeight="1">
      <c r="E765" s="56"/>
      <c r="F765" s="56"/>
      <c r="U765" s="54"/>
      <c r="V765" s="54"/>
      <c r="AE765" s="54"/>
      <c r="AG765" s="54"/>
      <c r="AI765" s="54"/>
      <c r="AJ765" s="54"/>
      <c r="AK765" s="54"/>
      <c r="AL765" s="54"/>
      <c r="AO765" s="55"/>
      <c r="AP765" s="55"/>
    </row>
    <row r="766" ht="14.25" customHeight="1">
      <c r="E766" s="56"/>
      <c r="F766" s="56"/>
      <c r="U766" s="54"/>
      <c r="V766" s="54"/>
      <c r="AE766" s="54"/>
      <c r="AG766" s="54"/>
      <c r="AI766" s="54"/>
      <c r="AJ766" s="54"/>
      <c r="AK766" s="54"/>
      <c r="AL766" s="54"/>
      <c r="AO766" s="55"/>
      <c r="AP766" s="55"/>
    </row>
    <row r="767" ht="14.25" customHeight="1">
      <c r="E767" s="56"/>
      <c r="F767" s="56"/>
      <c r="U767" s="54"/>
      <c r="V767" s="54"/>
      <c r="AE767" s="54"/>
      <c r="AG767" s="54"/>
      <c r="AI767" s="54"/>
      <c r="AJ767" s="54"/>
      <c r="AK767" s="54"/>
      <c r="AL767" s="54"/>
      <c r="AO767" s="55"/>
      <c r="AP767" s="55"/>
    </row>
    <row r="768" ht="14.25" customHeight="1">
      <c r="E768" s="56"/>
      <c r="F768" s="56"/>
      <c r="U768" s="54"/>
      <c r="V768" s="54"/>
      <c r="AE768" s="54"/>
      <c r="AG768" s="54"/>
      <c r="AI768" s="54"/>
      <c r="AJ768" s="54"/>
      <c r="AK768" s="54"/>
      <c r="AL768" s="54"/>
      <c r="AO768" s="55"/>
      <c r="AP768" s="55"/>
    </row>
    <row r="769" ht="14.25" customHeight="1">
      <c r="E769" s="56"/>
      <c r="F769" s="56"/>
      <c r="U769" s="54"/>
      <c r="V769" s="54"/>
      <c r="AE769" s="54"/>
      <c r="AG769" s="54"/>
      <c r="AI769" s="54"/>
      <c r="AJ769" s="54"/>
      <c r="AK769" s="54"/>
      <c r="AL769" s="54"/>
      <c r="AO769" s="55"/>
      <c r="AP769" s="55"/>
    </row>
    <row r="770" ht="14.25" customHeight="1">
      <c r="E770" s="56"/>
      <c r="F770" s="56"/>
      <c r="U770" s="54"/>
      <c r="V770" s="54"/>
      <c r="AE770" s="54"/>
      <c r="AG770" s="54"/>
      <c r="AI770" s="54"/>
      <c r="AJ770" s="54"/>
      <c r="AK770" s="54"/>
      <c r="AL770" s="54"/>
      <c r="AO770" s="55"/>
      <c r="AP770" s="55"/>
    </row>
    <row r="771" ht="14.25" customHeight="1">
      <c r="E771" s="56"/>
      <c r="F771" s="56"/>
      <c r="U771" s="54"/>
      <c r="V771" s="54"/>
      <c r="AE771" s="54"/>
      <c r="AG771" s="54"/>
      <c r="AI771" s="54"/>
      <c r="AJ771" s="54"/>
      <c r="AK771" s="54"/>
      <c r="AL771" s="54"/>
      <c r="AO771" s="55"/>
      <c r="AP771" s="55"/>
    </row>
    <row r="772" ht="14.25" customHeight="1">
      <c r="E772" s="56"/>
      <c r="F772" s="56"/>
      <c r="U772" s="54"/>
      <c r="V772" s="54"/>
      <c r="AE772" s="54"/>
      <c r="AG772" s="54"/>
      <c r="AI772" s="54"/>
      <c r="AJ772" s="54"/>
      <c r="AK772" s="54"/>
      <c r="AL772" s="54"/>
      <c r="AO772" s="55"/>
      <c r="AP772" s="55"/>
    </row>
    <row r="773" ht="14.25" customHeight="1">
      <c r="E773" s="56"/>
      <c r="F773" s="56"/>
      <c r="U773" s="54"/>
      <c r="V773" s="54"/>
      <c r="AE773" s="54"/>
      <c r="AG773" s="54"/>
      <c r="AI773" s="54"/>
      <c r="AJ773" s="54"/>
      <c r="AK773" s="54"/>
      <c r="AL773" s="54"/>
      <c r="AO773" s="55"/>
      <c r="AP773" s="55"/>
    </row>
    <row r="774" ht="14.25" customHeight="1">
      <c r="E774" s="56"/>
      <c r="F774" s="56"/>
      <c r="U774" s="54"/>
      <c r="V774" s="54"/>
      <c r="AE774" s="54"/>
      <c r="AG774" s="54"/>
      <c r="AI774" s="54"/>
      <c r="AJ774" s="54"/>
      <c r="AK774" s="54"/>
      <c r="AL774" s="54"/>
      <c r="AO774" s="55"/>
      <c r="AP774" s="55"/>
    </row>
    <row r="775" ht="14.25" customHeight="1">
      <c r="E775" s="56"/>
      <c r="F775" s="56"/>
      <c r="U775" s="54"/>
      <c r="V775" s="54"/>
      <c r="AE775" s="54"/>
      <c r="AG775" s="54"/>
      <c r="AI775" s="54"/>
      <c r="AJ775" s="54"/>
      <c r="AK775" s="54"/>
      <c r="AL775" s="54"/>
      <c r="AO775" s="55"/>
      <c r="AP775" s="55"/>
    </row>
    <row r="776" ht="14.25" customHeight="1">
      <c r="E776" s="56"/>
      <c r="F776" s="56"/>
      <c r="U776" s="54"/>
      <c r="V776" s="54"/>
      <c r="AE776" s="54"/>
      <c r="AG776" s="54"/>
      <c r="AI776" s="54"/>
      <c r="AJ776" s="54"/>
      <c r="AK776" s="54"/>
      <c r="AL776" s="54"/>
      <c r="AO776" s="55"/>
      <c r="AP776" s="55"/>
    </row>
    <row r="777" ht="14.25" customHeight="1">
      <c r="E777" s="56"/>
      <c r="F777" s="56"/>
      <c r="U777" s="54"/>
      <c r="V777" s="54"/>
      <c r="AE777" s="54"/>
      <c r="AG777" s="54"/>
      <c r="AI777" s="54"/>
      <c r="AJ777" s="54"/>
      <c r="AK777" s="54"/>
      <c r="AL777" s="54"/>
      <c r="AO777" s="55"/>
      <c r="AP777" s="55"/>
    </row>
    <row r="778" ht="14.25" customHeight="1">
      <c r="E778" s="56"/>
      <c r="F778" s="56"/>
      <c r="U778" s="54"/>
      <c r="V778" s="54"/>
      <c r="AE778" s="54"/>
      <c r="AG778" s="54"/>
      <c r="AI778" s="54"/>
      <c r="AJ778" s="54"/>
      <c r="AK778" s="54"/>
      <c r="AL778" s="54"/>
      <c r="AO778" s="55"/>
      <c r="AP778" s="55"/>
    </row>
    <row r="779" ht="14.25" customHeight="1">
      <c r="E779" s="56"/>
      <c r="F779" s="56"/>
      <c r="U779" s="54"/>
      <c r="V779" s="54"/>
      <c r="AE779" s="54"/>
      <c r="AG779" s="54"/>
      <c r="AI779" s="54"/>
      <c r="AJ779" s="54"/>
      <c r="AK779" s="54"/>
      <c r="AL779" s="54"/>
      <c r="AO779" s="55"/>
      <c r="AP779" s="55"/>
    </row>
    <row r="780" ht="14.25" customHeight="1">
      <c r="E780" s="56"/>
      <c r="F780" s="56"/>
      <c r="U780" s="54"/>
      <c r="V780" s="54"/>
      <c r="AE780" s="54"/>
      <c r="AG780" s="54"/>
      <c r="AI780" s="54"/>
      <c r="AJ780" s="54"/>
      <c r="AK780" s="54"/>
      <c r="AL780" s="54"/>
      <c r="AO780" s="55"/>
      <c r="AP780" s="55"/>
    </row>
    <row r="781" ht="14.25" customHeight="1">
      <c r="E781" s="56"/>
      <c r="F781" s="56"/>
      <c r="U781" s="54"/>
      <c r="V781" s="54"/>
      <c r="AE781" s="54"/>
      <c r="AG781" s="54"/>
      <c r="AI781" s="54"/>
      <c r="AJ781" s="54"/>
      <c r="AK781" s="54"/>
      <c r="AL781" s="54"/>
      <c r="AO781" s="55"/>
      <c r="AP781" s="55"/>
    </row>
    <row r="782" ht="14.25" customHeight="1">
      <c r="E782" s="56"/>
      <c r="F782" s="56"/>
      <c r="U782" s="54"/>
      <c r="V782" s="54"/>
      <c r="AE782" s="54"/>
      <c r="AG782" s="54"/>
      <c r="AI782" s="54"/>
      <c r="AJ782" s="54"/>
      <c r="AK782" s="54"/>
      <c r="AL782" s="54"/>
      <c r="AO782" s="55"/>
      <c r="AP782" s="55"/>
    </row>
    <row r="783" ht="14.25" customHeight="1">
      <c r="E783" s="56"/>
      <c r="F783" s="56"/>
      <c r="U783" s="54"/>
      <c r="V783" s="54"/>
      <c r="AE783" s="54"/>
      <c r="AG783" s="54"/>
      <c r="AI783" s="54"/>
      <c r="AJ783" s="54"/>
      <c r="AK783" s="54"/>
      <c r="AL783" s="54"/>
      <c r="AO783" s="55"/>
      <c r="AP783" s="55"/>
    </row>
    <row r="784" ht="14.25" customHeight="1">
      <c r="E784" s="56"/>
      <c r="F784" s="56"/>
      <c r="U784" s="54"/>
      <c r="V784" s="54"/>
      <c r="AE784" s="54"/>
      <c r="AG784" s="54"/>
      <c r="AI784" s="54"/>
      <c r="AJ784" s="54"/>
      <c r="AK784" s="54"/>
      <c r="AL784" s="54"/>
      <c r="AO784" s="55"/>
      <c r="AP784" s="55"/>
    </row>
    <row r="785" ht="14.25" customHeight="1">
      <c r="E785" s="56"/>
      <c r="F785" s="56"/>
      <c r="U785" s="54"/>
      <c r="V785" s="54"/>
      <c r="AE785" s="54"/>
      <c r="AG785" s="54"/>
      <c r="AI785" s="54"/>
      <c r="AJ785" s="54"/>
      <c r="AK785" s="54"/>
      <c r="AL785" s="54"/>
      <c r="AO785" s="55"/>
      <c r="AP785" s="55"/>
    </row>
    <row r="786" ht="14.25" customHeight="1">
      <c r="E786" s="56"/>
      <c r="F786" s="56"/>
      <c r="U786" s="54"/>
      <c r="V786" s="54"/>
      <c r="AE786" s="54"/>
      <c r="AG786" s="54"/>
      <c r="AI786" s="54"/>
      <c r="AJ786" s="54"/>
      <c r="AK786" s="54"/>
      <c r="AL786" s="54"/>
      <c r="AO786" s="55"/>
      <c r="AP786" s="55"/>
    </row>
    <row r="787" ht="14.25" customHeight="1">
      <c r="E787" s="56"/>
      <c r="F787" s="56"/>
      <c r="U787" s="54"/>
      <c r="V787" s="54"/>
      <c r="AE787" s="54"/>
      <c r="AG787" s="54"/>
      <c r="AI787" s="54"/>
      <c r="AJ787" s="54"/>
      <c r="AK787" s="54"/>
      <c r="AL787" s="54"/>
      <c r="AO787" s="55"/>
      <c r="AP787" s="55"/>
    </row>
    <row r="788" ht="14.25" customHeight="1">
      <c r="E788" s="56"/>
      <c r="F788" s="56"/>
      <c r="U788" s="54"/>
      <c r="V788" s="54"/>
      <c r="AE788" s="54"/>
      <c r="AG788" s="54"/>
      <c r="AI788" s="54"/>
      <c r="AJ788" s="54"/>
      <c r="AK788" s="54"/>
      <c r="AL788" s="54"/>
      <c r="AO788" s="55"/>
      <c r="AP788" s="55"/>
    </row>
    <row r="789" ht="14.25" customHeight="1">
      <c r="E789" s="56"/>
      <c r="F789" s="56"/>
      <c r="U789" s="54"/>
      <c r="V789" s="54"/>
      <c r="AE789" s="54"/>
      <c r="AG789" s="54"/>
      <c r="AI789" s="54"/>
      <c r="AJ789" s="54"/>
      <c r="AK789" s="54"/>
      <c r="AL789" s="54"/>
      <c r="AO789" s="55"/>
      <c r="AP789" s="55"/>
    </row>
    <row r="790" ht="14.25" customHeight="1">
      <c r="E790" s="56"/>
      <c r="F790" s="56"/>
      <c r="U790" s="54"/>
      <c r="V790" s="54"/>
      <c r="AE790" s="54"/>
      <c r="AG790" s="54"/>
      <c r="AI790" s="54"/>
      <c r="AJ790" s="54"/>
      <c r="AK790" s="54"/>
      <c r="AL790" s="54"/>
      <c r="AO790" s="55"/>
      <c r="AP790" s="55"/>
    </row>
    <row r="791" ht="14.25" customHeight="1">
      <c r="E791" s="56"/>
      <c r="F791" s="56"/>
      <c r="U791" s="54"/>
      <c r="V791" s="54"/>
      <c r="AE791" s="54"/>
      <c r="AG791" s="54"/>
      <c r="AI791" s="54"/>
      <c r="AJ791" s="54"/>
      <c r="AK791" s="54"/>
      <c r="AL791" s="54"/>
      <c r="AO791" s="55"/>
      <c r="AP791" s="55"/>
    </row>
    <row r="792" ht="14.25" customHeight="1">
      <c r="E792" s="56"/>
      <c r="F792" s="56"/>
      <c r="U792" s="54"/>
      <c r="V792" s="54"/>
      <c r="AE792" s="54"/>
      <c r="AG792" s="54"/>
      <c r="AI792" s="54"/>
      <c r="AJ792" s="54"/>
      <c r="AK792" s="54"/>
      <c r="AL792" s="54"/>
      <c r="AO792" s="55"/>
      <c r="AP792" s="55"/>
    </row>
    <row r="793" ht="14.25" customHeight="1">
      <c r="E793" s="56"/>
      <c r="F793" s="56"/>
      <c r="U793" s="54"/>
      <c r="V793" s="54"/>
      <c r="AE793" s="54"/>
      <c r="AG793" s="54"/>
      <c r="AI793" s="54"/>
      <c r="AJ793" s="54"/>
      <c r="AK793" s="54"/>
      <c r="AL793" s="54"/>
      <c r="AO793" s="55"/>
      <c r="AP793" s="55"/>
    </row>
    <row r="794" ht="14.25" customHeight="1">
      <c r="E794" s="56"/>
      <c r="F794" s="56"/>
      <c r="U794" s="54"/>
      <c r="V794" s="54"/>
      <c r="AE794" s="54"/>
      <c r="AG794" s="54"/>
      <c r="AI794" s="54"/>
      <c r="AJ794" s="54"/>
      <c r="AK794" s="54"/>
      <c r="AL794" s="54"/>
      <c r="AO794" s="55"/>
      <c r="AP794" s="55"/>
    </row>
    <row r="795" ht="14.25" customHeight="1">
      <c r="E795" s="56"/>
      <c r="F795" s="56"/>
      <c r="U795" s="54"/>
      <c r="V795" s="54"/>
      <c r="AE795" s="54"/>
      <c r="AG795" s="54"/>
      <c r="AI795" s="54"/>
      <c r="AJ795" s="54"/>
      <c r="AK795" s="54"/>
      <c r="AL795" s="54"/>
      <c r="AO795" s="55"/>
      <c r="AP795" s="55"/>
    </row>
    <row r="796" ht="14.25" customHeight="1">
      <c r="E796" s="56"/>
      <c r="F796" s="56"/>
      <c r="U796" s="54"/>
      <c r="V796" s="54"/>
      <c r="AE796" s="54"/>
      <c r="AG796" s="54"/>
      <c r="AI796" s="54"/>
      <c r="AJ796" s="54"/>
      <c r="AK796" s="54"/>
      <c r="AL796" s="54"/>
      <c r="AO796" s="55"/>
      <c r="AP796" s="55"/>
    </row>
    <row r="797" ht="14.25" customHeight="1">
      <c r="E797" s="56"/>
      <c r="F797" s="56"/>
      <c r="U797" s="54"/>
      <c r="V797" s="54"/>
      <c r="AE797" s="54"/>
      <c r="AG797" s="54"/>
      <c r="AI797" s="54"/>
      <c r="AJ797" s="54"/>
      <c r="AK797" s="54"/>
      <c r="AL797" s="54"/>
      <c r="AO797" s="55"/>
      <c r="AP797" s="55"/>
    </row>
    <row r="798" ht="14.25" customHeight="1">
      <c r="E798" s="56"/>
      <c r="F798" s="56"/>
      <c r="U798" s="54"/>
      <c r="V798" s="54"/>
      <c r="AE798" s="54"/>
      <c r="AG798" s="54"/>
      <c r="AI798" s="54"/>
      <c r="AJ798" s="54"/>
      <c r="AK798" s="54"/>
      <c r="AL798" s="54"/>
      <c r="AO798" s="55"/>
      <c r="AP798" s="55"/>
    </row>
    <row r="799" ht="14.25" customHeight="1">
      <c r="E799" s="56"/>
      <c r="F799" s="56"/>
      <c r="U799" s="54"/>
      <c r="V799" s="54"/>
      <c r="AE799" s="54"/>
      <c r="AG799" s="54"/>
      <c r="AI799" s="54"/>
      <c r="AJ799" s="54"/>
      <c r="AK799" s="54"/>
      <c r="AL799" s="54"/>
      <c r="AO799" s="55"/>
      <c r="AP799" s="55"/>
    </row>
    <row r="800" ht="14.25" customHeight="1">
      <c r="E800" s="56"/>
      <c r="F800" s="56"/>
      <c r="U800" s="54"/>
      <c r="V800" s="54"/>
      <c r="AE800" s="54"/>
      <c r="AG800" s="54"/>
      <c r="AI800" s="54"/>
      <c r="AJ800" s="54"/>
      <c r="AK800" s="54"/>
      <c r="AL800" s="54"/>
      <c r="AO800" s="55"/>
      <c r="AP800" s="55"/>
    </row>
    <row r="801" ht="14.25" customHeight="1">
      <c r="E801" s="56"/>
      <c r="F801" s="56"/>
      <c r="U801" s="54"/>
      <c r="V801" s="54"/>
      <c r="AE801" s="54"/>
      <c r="AG801" s="54"/>
      <c r="AI801" s="54"/>
      <c r="AJ801" s="54"/>
      <c r="AK801" s="54"/>
      <c r="AL801" s="54"/>
      <c r="AO801" s="55"/>
      <c r="AP801" s="55"/>
    </row>
    <row r="802" ht="14.25" customHeight="1">
      <c r="E802" s="56"/>
      <c r="F802" s="56"/>
      <c r="U802" s="54"/>
      <c r="V802" s="54"/>
      <c r="AE802" s="54"/>
      <c r="AG802" s="54"/>
      <c r="AI802" s="54"/>
      <c r="AJ802" s="54"/>
      <c r="AK802" s="54"/>
      <c r="AL802" s="54"/>
      <c r="AO802" s="55"/>
      <c r="AP802" s="55"/>
    </row>
    <row r="803" ht="14.25" customHeight="1">
      <c r="E803" s="56"/>
      <c r="F803" s="56"/>
      <c r="U803" s="54"/>
      <c r="V803" s="54"/>
      <c r="AE803" s="54"/>
      <c r="AG803" s="54"/>
      <c r="AI803" s="54"/>
      <c r="AJ803" s="54"/>
      <c r="AK803" s="54"/>
      <c r="AL803" s="54"/>
      <c r="AO803" s="55"/>
      <c r="AP803" s="55"/>
    </row>
    <row r="804" ht="14.25" customHeight="1">
      <c r="E804" s="56"/>
      <c r="F804" s="56"/>
      <c r="U804" s="54"/>
      <c r="V804" s="54"/>
      <c r="AE804" s="54"/>
      <c r="AG804" s="54"/>
      <c r="AI804" s="54"/>
      <c r="AJ804" s="54"/>
      <c r="AK804" s="54"/>
      <c r="AL804" s="54"/>
      <c r="AO804" s="55"/>
      <c r="AP804" s="55"/>
    </row>
    <row r="805" ht="14.25" customHeight="1">
      <c r="E805" s="56"/>
      <c r="F805" s="56"/>
      <c r="U805" s="54"/>
      <c r="V805" s="54"/>
      <c r="AE805" s="54"/>
      <c r="AG805" s="54"/>
      <c r="AI805" s="54"/>
      <c r="AJ805" s="54"/>
      <c r="AK805" s="54"/>
      <c r="AL805" s="54"/>
      <c r="AO805" s="55"/>
      <c r="AP805" s="55"/>
    </row>
    <row r="806" ht="14.25" customHeight="1">
      <c r="E806" s="56"/>
      <c r="F806" s="56"/>
      <c r="U806" s="54"/>
      <c r="V806" s="54"/>
      <c r="AE806" s="54"/>
      <c r="AG806" s="54"/>
      <c r="AI806" s="54"/>
      <c r="AJ806" s="54"/>
      <c r="AK806" s="54"/>
      <c r="AL806" s="54"/>
      <c r="AO806" s="55"/>
      <c r="AP806" s="55"/>
    </row>
    <row r="807" ht="14.25" customHeight="1">
      <c r="E807" s="56"/>
      <c r="F807" s="56"/>
      <c r="U807" s="54"/>
      <c r="V807" s="54"/>
      <c r="AE807" s="54"/>
      <c r="AG807" s="54"/>
      <c r="AI807" s="54"/>
      <c r="AJ807" s="54"/>
      <c r="AK807" s="54"/>
      <c r="AL807" s="54"/>
      <c r="AO807" s="55"/>
      <c r="AP807" s="55"/>
    </row>
    <row r="808" ht="14.25" customHeight="1">
      <c r="E808" s="56"/>
      <c r="F808" s="56"/>
      <c r="U808" s="54"/>
      <c r="V808" s="54"/>
      <c r="AE808" s="54"/>
      <c r="AG808" s="54"/>
      <c r="AI808" s="54"/>
      <c r="AJ808" s="54"/>
      <c r="AK808" s="54"/>
      <c r="AL808" s="54"/>
      <c r="AO808" s="55"/>
      <c r="AP808" s="55"/>
    </row>
    <row r="809" ht="14.25" customHeight="1">
      <c r="E809" s="56"/>
      <c r="F809" s="56"/>
      <c r="U809" s="54"/>
      <c r="V809" s="54"/>
      <c r="AE809" s="54"/>
      <c r="AG809" s="54"/>
      <c r="AI809" s="54"/>
      <c r="AJ809" s="54"/>
      <c r="AK809" s="54"/>
      <c r="AL809" s="54"/>
      <c r="AO809" s="55"/>
      <c r="AP809" s="55"/>
    </row>
    <row r="810" ht="14.25" customHeight="1">
      <c r="E810" s="56"/>
      <c r="F810" s="56"/>
      <c r="U810" s="54"/>
      <c r="V810" s="54"/>
      <c r="AE810" s="54"/>
      <c r="AG810" s="54"/>
      <c r="AI810" s="54"/>
      <c r="AJ810" s="54"/>
      <c r="AK810" s="54"/>
      <c r="AL810" s="54"/>
      <c r="AO810" s="55"/>
      <c r="AP810" s="55"/>
    </row>
    <row r="811" ht="14.25" customHeight="1">
      <c r="E811" s="56"/>
      <c r="F811" s="56"/>
      <c r="U811" s="54"/>
      <c r="V811" s="54"/>
      <c r="AE811" s="54"/>
      <c r="AG811" s="54"/>
      <c r="AI811" s="54"/>
      <c r="AJ811" s="54"/>
      <c r="AK811" s="54"/>
      <c r="AL811" s="54"/>
      <c r="AO811" s="55"/>
      <c r="AP811" s="55"/>
    </row>
    <row r="812" ht="14.25" customHeight="1">
      <c r="E812" s="56"/>
      <c r="F812" s="56"/>
      <c r="U812" s="54"/>
      <c r="V812" s="54"/>
      <c r="AE812" s="54"/>
      <c r="AG812" s="54"/>
      <c r="AI812" s="54"/>
      <c r="AJ812" s="54"/>
      <c r="AK812" s="54"/>
      <c r="AL812" s="54"/>
      <c r="AO812" s="55"/>
      <c r="AP812" s="55"/>
    </row>
    <row r="813" ht="14.25" customHeight="1">
      <c r="E813" s="56"/>
      <c r="F813" s="56"/>
      <c r="U813" s="54"/>
      <c r="V813" s="54"/>
      <c r="AE813" s="54"/>
      <c r="AG813" s="54"/>
      <c r="AI813" s="54"/>
      <c r="AJ813" s="54"/>
      <c r="AK813" s="54"/>
      <c r="AL813" s="54"/>
      <c r="AO813" s="55"/>
      <c r="AP813" s="55"/>
    </row>
    <row r="814" ht="14.25" customHeight="1">
      <c r="E814" s="56"/>
      <c r="F814" s="56"/>
      <c r="U814" s="54"/>
      <c r="V814" s="54"/>
      <c r="AE814" s="54"/>
      <c r="AG814" s="54"/>
      <c r="AI814" s="54"/>
      <c r="AJ814" s="54"/>
      <c r="AK814" s="54"/>
      <c r="AL814" s="54"/>
      <c r="AO814" s="55"/>
      <c r="AP814" s="55"/>
    </row>
    <row r="815" ht="14.25" customHeight="1">
      <c r="E815" s="56"/>
      <c r="F815" s="56"/>
      <c r="U815" s="54"/>
      <c r="V815" s="54"/>
      <c r="AE815" s="54"/>
      <c r="AG815" s="54"/>
      <c r="AI815" s="54"/>
      <c r="AJ815" s="54"/>
      <c r="AK815" s="54"/>
      <c r="AL815" s="54"/>
      <c r="AO815" s="55"/>
      <c r="AP815" s="55"/>
    </row>
    <row r="816" ht="14.25" customHeight="1">
      <c r="E816" s="56"/>
      <c r="F816" s="56"/>
      <c r="U816" s="54"/>
      <c r="V816" s="54"/>
      <c r="AE816" s="54"/>
      <c r="AG816" s="54"/>
      <c r="AI816" s="54"/>
      <c r="AJ816" s="54"/>
      <c r="AK816" s="54"/>
      <c r="AL816" s="54"/>
      <c r="AO816" s="55"/>
      <c r="AP816" s="55"/>
    </row>
    <row r="817" ht="14.25" customHeight="1">
      <c r="E817" s="56"/>
      <c r="F817" s="56"/>
      <c r="U817" s="54"/>
      <c r="V817" s="54"/>
      <c r="AE817" s="54"/>
      <c r="AG817" s="54"/>
      <c r="AI817" s="54"/>
      <c r="AJ817" s="54"/>
      <c r="AK817" s="54"/>
      <c r="AL817" s="54"/>
      <c r="AO817" s="55"/>
      <c r="AP817" s="55"/>
    </row>
    <row r="818" ht="14.25" customHeight="1">
      <c r="E818" s="56"/>
      <c r="F818" s="56"/>
      <c r="U818" s="54"/>
      <c r="V818" s="54"/>
      <c r="AE818" s="54"/>
      <c r="AG818" s="54"/>
      <c r="AI818" s="54"/>
      <c r="AJ818" s="54"/>
      <c r="AK818" s="54"/>
      <c r="AL818" s="54"/>
      <c r="AO818" s="55"/>
      <c r="AP818" s="55"/>
    </row>
    <row r="819" ht="14.25" customHeight="1">
      <c r="E819" s="56"/>
      <c r="F819" s="56"/>
      <c r="U819" s="54"/>
      <c r="V819" s="54"/>
      <c r="AE819" s="54"/>
      <c r="AG819" s="54"/>
      <c r="AI819" s="54"/>
      <c r="AJ819" s="54"/>
      <c r="AK819" s="54"/>
      <c r="AL819" s="54"/>
      <c r="AO819" s="55"/>
      <c r="AP819" s="55"/>
    </row>
    <row r="820" ht="14.25" customHeight="1">
      <c r="E820" s="56"/>
      <c r="F820" s="56"/>
      <c r="U820" s="54"/>
      <c r="V820" s="54"/>
      <c r="AE820" s="54"/>
      <c r="AG820" s="54"/>
      <c r="AI820" s="54"/>
      <c r="AJ820" s="54"/>
      <c r="AK820" s="54"/>
      <c r="AL820" s="54"/>
      <c r="AO820" s="55"/>
      <c r="AP820" s="55"/>
    </row>
    <row r="821" ht="14.25" customHeight="1">
      <c r="E821" s="56"/>
      <c r="F821" s="56"/>
      <c r="U821" s="54"/>
      <c r="V821" s="54"/>
      <c r="AE821" s="54"/>
      <c r="AG821" s="54"/>
      <c r="AI821" s="54"/>
      <c r="AJ821" s="54"/>
      <c r="AK821" s="54"/>
      <c r="AL821" s="54"/>
      <c r="AO821" s="55"/>
      <c r="AP821" s="55"/>
    </row>
    <row r="822" ht="14.25" customHeight="1">
      <c r="E822" s="56"/>
      <c r="F822" s="56"/>
      <c r="U822" s="54"/>
      <c r="V822" s="54"/>
      <c r="AE822" s="54"/>
      <c r="AG822" s="54"/>
      <c r="AI822" s="54"/>
      <c r="AJ822" s="54"/>
      <c r="AK822" s="54"/>
      <c r="AL822" s="54"/>
      <c r="AO822" s="55"/>
      <c r="AP822" s="55"/>
    </row>
    <row r="823" ht="14.25" customHeight="1">
      <c r="E823" s="56"/>
      <c r="F823" s="56"/>
      <c r="U823" s="54"/>
      <c r="V823" s="54"/>
      <c r="AE823" s="54"/>
      <c r="AG823" s="54"/>
      <c r="AI823" s="54"/>
      <c r="AJ823" s="54"/>
      <c r="AK823" s="54"/>
      <c r="AL823" s="54"/>
      <c r="AO823" s="55"/>
      <c r="AP823" s="55"/>
    </row>
    <row r="824" ht="14.25" customHeight="1">
      <c r="E824" s="56"/>
      <c r="F824" s="56"/>
      <c r="U824" s="54"/>
      <c r="V824" s="54"/>
      <c r="AE824" s="54"/>
      <c r="AG824" s="54"/>
      <c r="AI824" s="54"/>
      <c r="AJ824" s="54"/>
      <c r="AK824" s="54"/>
      <c r="AL824" s="54"/>
      <c r="AO824" s="55"/>
      <c r="AP824" s="55"/>
    </row>
    <row r="825" ht="14.25" customHeight="1">
      <c r="E825" s="56"/>
      <c r="F825" s="56"/>
      <c r="U825" s="54"/>
      <c r="V825" s="54"/>
      <c r="AE825" s="54"/>
      <c r="AG825" s="54"/>
      <c r="AI825" s="54"/>
      <c r="AJ825" s="54"/>
      <c r="AK825" s="54"/>
      <c r="AL825" s="54"/>
      <c r="AO825" s="55"/>
      <c r="AP825" s="55"/>
    </row>
    <row r="826" ht="14.25" customHeight="1">
      <c r="E826" s="56"/>
      <c r="F826" s="56"/>
      <c r="U826" s="54"/>
      <c r="V826" s="54"/>
      <c r="AE826" s="54"/>
      <c r="AG826" s="54"/>
      <c r="AI826" s="54"/>
      <c r="AJ826" s="54"/>
      <c r="AK826" s="54"/>
      <c r="AL826" s="54"/>
      <c r="AO826" s="55"/>
      <c r="AP826" s="55"/>
    </row>
    <row r="827" ht="14.25" customHeight="1">
      <c r="E827" s="56"/>
      <c r="F827" s="56"/>
      <c r="U827" s="54"/>
      <c r="V827" s="54"/>
      <c r="AE827" s="54"/>
      <c r="AG827" s="54"/>
      <c r="AI827" s="54"/>
      <c r="AJ827" s="54"/>
      <c r="AK827" s="54"/>
      <c r="AL827" s="54"/>
      <c r="AO827" s="55"/>
      <c r="AP827" s="55"/>
    </row>
    <row r="828" ht="14.25" customHeight="1">
      <c r="E828" s="56"/>
      <c r="F828" s="56"/>
      <c r="U828" s="54"/>
      <c r="V828" s="54"/>
      <c r="AE828" s="54"/>
      <c r="AG828" s="54"/>
      <c r="AI828" s="54"/>
      <c r="AJ828" s="54"/>
      <c r="AK828" s="54"/>
      <c r="AL828" s="54"/>
      <c r="AO828" s="55"/>
      <c r="AP828" s="55"/>
    </row>
    <row r="829" ht="14.25" customHeight="1">
      <c r="E829" s="56"/>
      <c r="F829" s="56"/>
      <c r="U829" s="54"/>
      <c r="V829" s="54"/>
      <c r="AE829" s="54"/>
      <c r="AG829" s="54"/>
      <c r="AI829" s="54"/>
      <c r="AJ829" s="54"/>
      <c r="AK829" s="54"/>
      <c r="AL829" s="54"/>
      <c r="AO829" s="55"/>
      <c r="AP829" s="55"/>
    </row>
    <row r="830" ht="14.25" customHeight="1">
      <c r="E830" s="56"/>
      <c r="F830" s="56"/>
      <c r="U830" s="54"/>
      <c r="V830" s="54"/>
      <c r="AE830" s="54"/>
      <c r="AG830" s="54"/>
      <c r="AI830" s="54"/>
      <c r="AJ830" s="54"/>
      <c r="AK830" s="54"/>
      <c r="AL830" s="54"/>
      <c r="AO830" s="55"/>
      <c r="AP830" s="55"/>
    </row>
    <row r="831" ht="14.25" customHeight="1">
      <c r="E831" s="56"/>
      <c r="F831" s="56"/>
      <c r="U831" s="54"/>
      <c r="V831" s="54"/>
      <c r="AE831" s="54"/>
      <c r="AG831" s="54"/>
      <c r="AI831" s="54"/>
      <c r="AJ831" s="54"/>
      <c r="AK831" s="54"/>
      <c r="AL831" s="54"/>
      <c r="AO831" s="55"/>
      <c r="AP831" s="55"/>
    </row>
    <row r="832" ht="14.25" customHeight="1">
      <c r="E832" s="56"/>
      <c r="F832" s="56"/>
      <c r="U832" s="54"/>
      <c r="V832" s="54"/>
      <c r="AE832" s="54"/>
      <c r="AG832" s="54"/>
      <c r="AI832" s="54"/>
      <c r="AJ832" s="54"/>
      <c r="AK832" s="54"/>
      <c r="AL832" s="54"/>
      <c r="AO832" s="55"/>
      <c r="AP832" s="55"/>
    </row>
    <row r="833" ht="14.25" customHeight="1">
      <c r="E833" s="56"/>
      <c r="F833" s="56"/>
      <c r="U833" s="54"/>
      <c r="V833" s="54"/>
      <c r="AE833" s="54"/>
      <c r="AG833" s="54"/>
      <c r="AI833" s="54"/>
      <c r="AJ833" s="54"/>
      <c r="AK833" s="54"/>
      <c r="AL833" s="54"/>
      <c r="AO833" s="55"/>
      <c r="AP833" s="55"/>
    </row>
    <row r="834" ht="14.25" customHeight="1">
      <c r="E834" s="56"/>
      <c r="F834" s="56"/>
      <c r="U834" s="54"/>
      <c r="V834" s="54"/>
      <c r="AE834" s="54"/>
      <c r="AG834" s="54"/>
      <c r="AI834" s="54"/>
      <c r="AJ834" s="54"/>
      <c r="AK834" s="54"/>
      <c r="AL834" s="54"/>
      <c r="AO834" s="55"/>
      <c r="AP834" s="55"/>
    </row>
    <row r="835" ht="14.25" customHeight="1">
      <c r="E835" s="56"/>
      <c r="F835" s="56"/>
      <c r="U835" s="54"/>
      <c r="V835" s="54"/>
      <c r="AE835" s="54"/>
      <c r="AG835" s="54"/>
      <c r="AI835" s="54"/>
      <c r="AJ835" s="54"/>
      <c r="AK835" s="54"/>
      <c r="AL835" s="54"/>
      <c r="AO835" s="55"/>
      <c r="AP835" s="55"/>
    </row>
    <row r="836" ht="14.25" customHeight="1">
      <c r="E836" s="56"/>
      <c r="F836" s="56"/>
      <c r="U836" s="54"/>
      <c r="V836" s="54"/>
      <c r="AE836" s="54"/>
      <c r="AG836" s="54"/>
      <c r="AI836" s="54"/>
      <c r="AJ836" s="54"/>
      <c r="AK836" s="54"/>
      <c r="AL836" s="54"/>
      <c r="AO836" s="55"/>
      <c r="AP836" s="55"/>
    </row>
    <row r="837" ht="14.25" customHeight="1">
      <c r="E837" s="56"/>
      <c r="F837" s="56"/>
      <c r="U837" s="54"/>
      <c r="V837" s="54"/>
      <c r="AE837" s="54"/>
      <c r="AG837" s="54"/>
      <c r="AI837" s="54"/>
      <c r="AJ837" s="54"/>
      <c r="AK837" s="54"/>
      <c r="AL837" s="54"/>
      <c r="AO837" s="55"/>
      <c r="AP837" s="55"/>
    </row>
    <row r="838" ht="14.25" customHeight="1">
      <c r="E838" s="56"/>
      <c r="F838" s="56"/>
      <c r="U838" s="54"/>
      <c r="V838" s="54"/>
      <c r="AE838" s="54"/>
      <c r="AG838" s="54"/>
      <c r="AI838" s="54"/>
      <c r="AJ838" s="54"/>
      <c r="AK838" s="54"/>
      <c r="AL838" s="54"/>
      <c r="AO838" s="55"/>
      <c r="AP838" s="55"/>
    </row>
    <row r="839" ht="14.25" customHeight="1">
      <c r="E839" s="56"/>
      <c r="F839" s="56"/>
      <c r="U839" s="54"/>
      <c r="V839" s="54"/>
      <c r="AE839" s="54"/>
      <c r="AG839" s="54"/>
      <c r="AI839" s="54"/>
      <c r="AJ839" s="54"/>
      <c r="AK839" s="54"/>
      <c r="AL839" s="54"/>
      <c r="AO839" s="55"/>
      <c r="AP839" s="55"/>
    </row>
    <row r="840" ht="14.25" customHeight="1">
      <c r="E840" s="56"/>
      <c r="F840" s="56"/>
      <c r="U840" s="54"/>
      <c r="V840" s="54"/>
      <c r="AE840" s="54"/>
      <c r="AG840" s="54"/>
      <c r="AI840" s="54"/>
      <c r="AJ840" s="54"/>
      <c r="AK840" s="54"/>
      <c r="AL840" s="54"/>
      <c r="AO840" s="55"/>
      <c r="AP840" s="55"/>
    </row>
    <row r="841" ht="14.25" customHeight="1">
      <c r="E841" s="56"/>
      <c r="F841" s="56"/>
      <c r="U841" s="54"/>
      <c r="V841" s="54"/>
      <c r="AE841" s="54"/>
      <c r="AG841" s="54"/>
      <c r="AI841" s="54"/>
      <c r="AJ841" s="54"/>
      <c r="AK841" s="54"/>
      <c r="AL841" s="54"/>
      <c r="AO841" s="55"/>
      <c r="AP841" s="55"/>
    </row>
    <row r="842" ht="14.25" customHeight="1">
      <c r="E842" s="56"/>
      <c r="F842" s="56"/>
      <c r="U842" s="54"/>
      <c r="V842" s="54"/>
      <c r="AE842" s="54"/>
      <c r="AG842" s="54"/>
      <c r="AI842" s="54"/>
      <c r="AJ842" s="54"/>
      <c r="AK842" s="54"/>
      <c r="AL842" s="54"/>
      <c r="AO842" s="55"/>
      <c r="AP842" s="55"/>
    </row>
    <row r="843" ht="14.25" customHeight="1">
      <c r="E843" s="56"/>
      <c r="F843" s="56"/>
      <c r="U843" s="54"/>
      <c r="V843" s="54"/>
      <c r="AE843" s="54"/>
      <c r="AG843" s="54"/>
      <c r="AI843" s="54"/>
      <c r="AJ843" s="54"/>
      <c r="AK843" s="54"/>
      <c r="AL843" s="54"/>
      <c r="AO843" s="55"/>
      <c r="AP843" s="55"/>
    </row>
    <row r="844" ht="14.25" customHeight="1">
      <c r="E844" s="56"/>
      <c r="F844" s="56"/>
      <c r="U844" s="54"/>
      <c r="V844" s="54"/>
      <c r="AE844" s="54"/>
      <c r="AG844" s="54"/>
      <c r="AI844" s="54"/>
      <c r="AJ844" s="54"/>
      <c r="AK844" s="54"/>
      <c r="AL844" s="54"/>
      <c r="AO844" s="55"/>
      <c r="AP844" s="55"/>
    </row>
    <row r="845" ht="14.25" customHeight="1">
      <c r="E845" s="56"/>
      <c r="F845" s="56"/>
      <c r="U845" s="54"/>
      <c r="V845" s="54"/>
      <c r="AE845" s="54"/>
      <c r="AG845" s="54"/>
      <c r="AI845" s="54"/>
      <c r="AJ845" s="54"/>
      <c r="AK845" s="54"/>
      <c r="AL845" s="54"/>
      <c r="AO845" s="55"/>
      <c r="AP845" s="55"/>
    </row>
    <row r="846" ht="14.25" customHeight="1">
      <c r="E846" s="56"/>
      <c r="F846" s="56"/>
      <c r="U846" s="54"/>
      <c r="V846" s="54"/>
      <c r="AE846" s="54"/>
      <c r="AG846" s="54"/>
      <c r="AI846" s="54"/>
      <c r="AJ846" s="54"/>
      <c r="AK846" s="54"/>
      <c r="AL846" s="54"/>
      <c r="AO846" s="55"/>
      <c r="AP846" s="55"/>
    </row>
    <row r="847" ht="14.25" customHeight="1">
      <c r="E847" s="56"/>
      <c r="F847" s="56"/>
      <c r="U847" s="54"/>
      <c r="V847" s="54"/>
      <c r="AE847" s="54"/>
      <c r="AG847" s="54"/>
      <c r="AI847" s="54"/>
      <c r="AJ847" s="54"/>
      <c r="AK847" s="54"/>
      <c r="AL847" s="54"/>
      <c r="AO847" s="55"/>
      <c r="AP847" s="55"/>
    </row>
    <row r="848" ht="14.25" customHeight="1">
      <c r="E848" s="56"/>
      <c r="F848" s="56"/>
      <c r="U848" s="54"/>
      <c r="V848" s="54"/>
      <c r="AE848" s="54"/>
      <c r="AG848" s="54"/>
      <c r="AI848" s="54"/>
      <c r="AJ848" s="54"/>
      <c r="AK848" s="54"/>
      <c r="AL848" s="54"/>
      <c r="AO848" s="55"/>
      <c r="AP848" s="55"/>
    </row>
    <row r="849" ht="14.25" customHeight="1">
      <c r="E849" s="56"/>
      <c r="F849" s="56"/>
      <c r="U849" s="54"/>
      <c r="V849" s="54"/>
      <c r="AE849" s="54"/>
      <c r="AG849" s="54"/>
      <c r="AI849" s="54"/>
      <c r="AJ849" s="54"/>
      <c r="AK849" s="54"/>
      <c r="AL849" s="54"/>
      <c r="AO849" s="55"/>
      <c r="AP849" s="55"/>
    </row>
    <row r="850" ht="14.25" customHeight="1">
      <c r="E850" s="56"/>
      <c r="F850" s="56"/>
      <c r="U850" s="54"/>
      <c r="V850" s="54"/>
      <c r="AE850" s="54"/>
      <c r="AG850" s="54"/>
      <c r="AI850" s="54"/>
      <c r="AJ850" s="54"/>
      <c r="AK850" s="54"/>
      <c r="AL850" s="54"/>
      <c r="AO850" s="55"/>
      <c r="AP850" s="55"/>
    </row>
    <row r="851" ht="14.25" customHeight="1">
      <c r="E851" s="56"/>
      <c r="F851" s="56"/>
      <c r="U851" s="54"/>
      <c r="V851" s="54"/>
      <c r="AE851" s="54"/>
      <c r="AG851" s="54"/>
      <c r="AI851" s="54"/>
      <c r="AJ851" s="54"/>
      <c r="AK851" s="54"/>
      <c r="AL851" s="54"/>
      <c r="AO851" s="55"/>
      <c r="AP851" s="55"/>
    </row>
    <row r="852" ht="14.25" customHeight="1">
      <c r="E852" s="56"/>
      <c r="F852" s="56"/>
      <c r="U852" s="54"/>
      <c r="V852" s="54"/>
      <c r="AE852" s="54"/>
      <c r="AG852" s="54"/>
      <c r="AI852" s="54"/>
      <c r="AJ852" s="54"/>
      <c r="AK852" s="54"/>
      <c r="AL852" s="54"/>
      <c r="AO852" s="55"/>
      <c r="AP852" s="55"/>
    </row>
    <row r="853" ht="14.25" customHeight="1">
      <c r="E853" s="56"/>
      <c r="F853" s="56"/>
      <c r="U853" s="54"/>
      <c r="V853" s="54"/>
      <c r="AE853" s="54"/>
      <c r="AG853" s="54"/>
      <c r="AI853" s="54"/>
      <c r="AJ853" s="54"/>
      <c r="AK853" s="54"/>
      <c r="AL853" s="54"/>
      <c r="AO853" s="55"/>
      <c r="AP853" s="55"/>
    </row>
    <row r="854" ht="14.25" customHeight="1">
      <c r="E854" s="56"/>
      <c r="F854" s="56"/>
      <c r="U854" s="54"/>
      <c r="V854" s="54"/>
      <c r="AE854" s="54"/>
      <c r="AG854" s="54"/>
      <c r="AI854" s="54"/>
      <c r="AJ854" s="54"/>
      <c r="AK854" s="54"/>
      <c r="AL854" s="54"/>
      <c r="AO854" s="55"/>
      <c r="AP854" s="55"/>
    </row>
    <row r="855" ht="14.25" customHeight="1">
      <c r="E855" s="56"/>
      <c r="F855" s="56"/>
      <c r="U855" s="54"/>
      <c r="V855" s="54"/>
      <c r="AE855" s="54"/>
      <c r="AG855" s="54"/>
      <c r="AI855" s="54"/>
      <c r="AJ855" s="54"/>
      <c r="AK855" s="54"/>
      <c r="AL855" s="54"/>
      <c r="AO855" s="55"/>
      <c r="AP855" s="55"/>
    </row>
    <row r="856" ht="14.25" customHeight="1">
      <c r="E856" s="56"/>
      <c r="F856" s="56"/>
      <c r="U856" s="54"/>
      <c r="V856" s="54"/>
      <c r="AE856" s="54"/>
      <c r="AG856" s="54"/>
      <c r="AI856" s="54"/>
      <c r="AJ856" s="54"/>
      <c r="AK856" s="54"/>
      <c r="AL856" s="54"/>
      <c r="AO856" s="55"/>
      <c r="AP856" s="55"/>
    </row>
    <row r="857" ht="14.25" customHeight="1">
      <c r="E857" s="56"/>
      <c r="F857" s="56"/>
      <c r="U857" s="54"/>
      <c r="V857" s="54"/>
      <c r="AE857" s="54"/>
      <c r="AG857" s="54"/>
      <c r="AI857" s="54"/>
      <c r="AJ857" s="54"/>
      <c r="AK857" s="54"/>
      <c r="AL857" s="54"/>
      <c r="AO857" s="55"/>
      <c r="AP857" s="55"/>
    </row>
    <row r="858" ht="14.25" customHeight="1">
      <c r="E858" s="56"/>
      <c r="F858" s="56"/>
      <c r="U858" s="54"/>
      <c r="V858" s="54"/>
      <c r="AE858" s="54"/>
      <c r="AG858" s="54"/>
      <c r="AI858" s="54"/>
      <c r="AJ858" s="54"/>
      <c r="AK858" s="54"/>
      <c r="AL858" s="54"/>
      <c r="AO858" s="55"/>
      <c r="AP858" s="55"/>
    </row>
    <row r="859" ht="14.25" customHeight="1">
      <c r="E859" s="56"/>
      <c r="F859" s="56"/>
      <c r="U859" s="54"/>
      <c r="V859" s="54"/>
      <c r="AE859" s="54"/>
      <c r="AG859" s="54"/>
      <c r="AI859" s="54"/>
      <c r="AJ859" s="54"/>
      <c r="AK859" s="54"/>
      <c r="AL859" s="54"/>
      <c r="AO859" s="55"/>
      <c r="AP859" s="55"/>
    </row>
    <row r="860" ht="14.25" customHeight="1">
      <c r="E860" s="56"/>
      <c r="F860" s="56"/>
      <c r="U860" s="54"/>
      <c r="V860" s="54"/>
      <c r="AE860" s="54"/>
      <c r="AG860" s="54"/>
      <c r="AI860" s="54"/>
      <c r="AJ860" s="54"/>
      <c r="AK860" s="54"/>
      <c r="AL860" s="54"/>
      <c r="AO860" s="55"/>
      <c r="AP860" s="55"/>
    </row>
    <row r="861" ht="14.25" customHeight="1">
      <c r="E861" s="56"/>
      <c r="F861" s="56"/>
      <c r="U861" s="54"/>
      <c r="V861" s="54"/>
      <c r="AE861" s="54"/>
      <c r="AG861" s="54"/>
      <c r="AI861" s="54"/>
      <c r="AJ861" s="54"/>
      <c r="AK861" s="54"/>
      <c r="AL861" s="54"/>
      <c r="AO861" s="55"/>
      <c r="AP861" s="55"/>
    </row>
    <row r="862" ht="14.25" customHeight="1">
      <c r="E862" s="56"/>
      <c r="F862" s="56"/>
      <c r="U862" s="54"/>
      <c r="V862" s="54"/>
      <c r="AE862" s="54"/>
      <c r="AG862" s="54"/>
      <c r="AI862" s="54"/>
      <c r="AJ862" s="54"/>
      <c r="AK862" s="54"/>
      <c r="AL862" s="54"/>
      <c r="AO862" s="55"/>
      <c r="AP862" s="55"/>
    </row>
    <row r="863" ht="14.25" customHeight="1">
      <c r="E863" s="56"/>
      <c r="F863" s="56"/>
      <c r="U863" s="54"/>
      <c r="V863" s="54"/>
      <c r="AE863" s="54"/>
      <c r="AG863" s="54"/>
      <c r="AI863" s="54"/>
      <c r="AJ863" s="54"/>
      <c r="AK863" s="54"/>
      <c r="AL863" s="54"/>
      <c r="AO863" s="55"/>
      <c r="AP863" s="55"/>
    </row>
    <row r="864" ht="14.25" customHeight="1">
      <c r="E864" s="56"/>
      <c r="F864" s="56"/>
      <c r="U864" s="54"/>
      <c r="V864" s="54"/>
      <c r="AE864" s="54"/>
      <c r="AG864" s="54"/>
      <c r="AI864" s="54"/>
      <c r="AJ864" s="54"/>
      <c r="AK864" s="54"/>
      <c r="AL864" s="54"/>
      <c r="AO864" s="55"/>
      <c r="AP864" s="55"/>
    </row>
    <row r="865" ht="14.25" customHeight="1">
      <c r="E865" s="56"/>
      <c r="F865" s="56"/>
      <c r="U865" s="54"/>
      <c r="V865" s="54"/>
      <c r="AE865" s="54"/>
      <c r="AG865" s="54"/>
      <c r="AI865" s="54"/>
      <c r="AJ865" s="54"/>
      <c r="AK865" s="54"/>
      <c r="AL865" s="54"/>
      <c r="AO865" s="55"/>
      <c r="AP865" s="55"/>
    </row>
    <row r="866" ht="14.25" customHeight="1">
      <c r="E866" s="56"/>
      <c r="F866" s="56"/>
      <c r="U866" s="54"/>
      <c r="V866" s="54"/>
      <c r="AE866" s="54"/>
      <c r="AG866" s="54"/>
      <c r="AI866" s="54"/>
      <c r="AJ866" s="54"/>
      <c r="AK866" s="54"/>
      <c r="AL866" s="54"/>
      <c r="AO866" s="55"/>
      <c r="AP866" s="55"/>
    </row>
    <row r="867" ht="14.25" customHeight="1">
      <c r="E867" s="56"/>
      <c r="F867" s="56"/>
      <c r="U867" s="54"/>
      <c r="V867" s="54"/>
      <c r="AE867" s="54"/>
      <c r="AG867" s="54"/>
      <c r="AI867" s="54"/>
      <c r="AJ867" s="54"/>
      <c r="AK867" s="54"/>
      <c r="AL867" s="54"/>
      <c r="AO867" s="55"/>
      <c r="AP867" s="55"/>
    </row>
    <row r="868" ht="14.25" customHeight="1">
      <c r="E868" s="56"/>
      <c r="F868" s="56"/>
      <c r="U868" s="54"/>
      <c r="V868" s="54"/>
      <c r="AE868" s="54"/>
      <c r="AG868" s="54"/>
      <c r="AI868" s="54"/>
      <c r="AJ868" s="54"/>
      <c r="AK868" s="54"/>
      <c r="AL868" s="54"/>
      <c r="AO868" s="55"/>
      <c r="AP868" s="55"/>
    </row>
    <row r="869" ht="14.25" customHeight="1">
      <c r="E869" s="56"/>
      <c r="F869" s="56"/>
      <c r="U869" s="54"/>
      <c r="V869" s="54"/>
      <c r="AE869" s="54"/>
      <c r="AG869" s="54"/>
      <c r="AI869" s="54"/>
      <c r="AJ869" s="54"/>
      <c r="AK869" s="54"/>
      <c r="AL869" s="54"/>
      <c r="AO869" s="55"/>
      <c r="AP869" s="55"/>
    </row>
    <row r="870" ht="14.25" customHeight="1">
      <c r="E870" s="56"/>
      <c r="F870" s="56"/>
      <c r="U870" s="54"/>
      <c r="V870" s="54"/>
      <c r="AE870" s="54"/>
      <c r="AG870" s="54"/>
      <c r="AI870" s="54"/>
      <c r="AJ870" s="54"/>
      <c r="AK870" s="54"/>
      <c r="AL870" s="54"/>
      <c r="AO870" s="55"/>
      <c r="AP870" s="55"/>
    </row>
    <row r="871" ht="14.25" customHeight="1">
      <c r="E871" s="56"/>
      <c r="F871" s="56"/>
      <c r="U871" s="54"/>
      <c r="V871" s="54"/>
      <c r="AE871" s="54"/>
      <c r="AG871" s="54"/>
      <c r="AI871" s="54"/>
      <c r="AJ871" s="54"/>
      <c r="AK871" s="54"/>
      <c r="AL871" s="54"/>
      <c r="AO871" s="55"/>
      <c r="AP871" s="55"/>
    </row>
    <row r="872" ht="14.25" customHeight="1">
      <c r="E872" s="56"/>
      <c r="F872" s="56"/>
      <c r="U872" s="54"/>
      <c r="V872" s="54"/>
      <c r="AE872" s="54"/>
      <c r="AG872" s="54"/>
      <c r="AI872" s="54"/>
      <c r="AJ872" s="54"/>
      <c r="AK872" s="54"/>
      <c r="AL872" s="54"/>
      <c r="AO872" s="55"/>
      <c r="AP872" s="55"/>
    </row>
    <row r="873" ht="14.25" customHeight="1">
      <c r="E873" s="56"/>
      <c r="F873" s="56"/>
      <c r="U873" s="54"/>
      <c r="V873" s="54"/>
      <c r="AE873" s="54"/>
      <c r="AG873" s="54"/>
      <c r="AI873" s="54"/>
      <c r="AJ873" s="54"/>
      <c r="AK873" s="54"/>
      <c r="AL873" s="54"/>
      <c r="AO873" s="55"/>
      <c r="AP873" s="55"/>
    </row>
    <row r="874" ht="14.25" customHeight="1">
      <c r="E874" s="56"/>
      <c r="F874" s="56"/>
      <c r="U874" s="54"/>
      <c r="V874" s="54"/>
      <c r="AE874" s="54"/>
      <c r="AG874" s="54"/>
      <c r="AI874" s="54"/>
      <c r="AJ874" s="54"/>
      <c r="AK874" s="54"/>
      <c r="AL874" s="54"/>
      <c r="AO874" s="55"/>
      <c r="AP874" s="55"/>
    </row>
    <row r="875" ht="14.25" customHeight="1">
      <c r="E875" s="56"/>
      <c r="F875" s="56"/>
      <c r="U875" s="54"/>
      <c r="V875" s="54"/>
      <c r="AE875" s="54"/>
      <c r="AG875" s="54"/>
      <c r="AI875" s="54"/>
      <c r="AJ875" s="54"/>
      <c r="AK875" s="54"/>
      <c r="AL875" s="54"/>
      <c r="AO875" s="55"/>
      <c r="AP875" s="55"/>
    </row>
    <row r="876" ht="14.25" customHeight="1">
      <c r="E876" s="56"/>
      <c r="F876" s="56"/>
      <c r="U876" s="54"/>
      <c r="V876" s="54"/>
      <c r="AE876" s="54"/>
      <c r="AG876" s="54"/>
      <c r="AI876" s="54"/>
      <c r="AJ876" s="54"/>
      <c r="AK876" s="54"/>
      <c r="AL876" s="54"/>
      <c r="AO876" s="55"/>
      <c r="AP876" s="55"/>
    </row>
    <row r="877" ht="14.25" customHeight="1">
      <c r="E877" s="56"/>
      <c r="F877" s="56"/>
      <c r="U877" s="54"/>
      <c r="V877" s="54"/>
      <c r="AE877" s="54"/>
      <c r="AG877" s="54"/>
      <c r="AI877" s="54"/>
      <c r="AJ877" s="54"/>
      <c r="AK877" s="54"/>
      <c r="AL877" s="54"/>
      <c r="AO877" s="55"/>
      <c r="AP877" s="55"/>
    </row>
    <row r="878" ht="14.25" customHeight="1">
      <c r="E878" s="56"/>
      <c r="F878" s="56"/>
      <c r="U878" s="54"/>
      <c r="V878" s="54"/>
      <c r="AE878" s="54"/>
      <c r="AG878" s="54"/>
      <c r="AI878" s="54"/>
      <c r="AJ878" s="54"/>
      <c r="AK878" s="54"/>
      <c r="AL878" s="54"/>
      <c r="AO878" s="55"/>
      <c r="AP878" s="55"/>
    </row>
    <row r="879" ht="14.25" customHeight="1">
      <c r="E879" s="56"/>
      <c r="F879" s="56"/>
      <c r="U879" s="54"/>
      <c r="V879" s="54"/>
      <c r="AE879" s="54"/>
      <c r="AG879" s="54"/>
      <c r="AI879" s="54"/>
      <c r="AJ879" s="54"/>
      <c r="AK879" s="54"/>
      <c r="AL879" s="54"/>
      <c r="AO879" s="55"/>
      <c r="AP879" s="55"/>
    </row>
    <row r="880" ht="14.25" customHeight="1">
      <c r="E880" s="56"/>
      <c r="F880" s="56"/>
      <c r="U880" s="54"/>
      <c r="V880" s="54"/>
      <c r="AE880" s="54"/>
      <c r="AG880" s="54"/>
      <c r="AI880" s="54"/>
      <c r="AJ880" s="54"/>
      <c r="AK880" s="54"/>
      <c r="AL880" s="54"/>
      <c r="AO880" s="55"/>
      <c r="AP880" s="55"/>
    </row>
    <row r="881" ht="14.25" customHeight="1">
      <c r="E881" s="56"/>
      <c r="F881" s="56"/>
      <c r="U881" s="54"/>
      <c r="V881" s="54"/>
      <c r="AE881" s="54"/>
      <c r="AG881" s="54"/>
      <c r="AI881" s="54"/>
      <c r="AJ881" s="54"/>
      <c r="AK881" s="54"/>
      <c r="AL881" s="54"/>
      <c r="AO881" s="55"/>
      <c r="AP881" s="55"/>
    </row>
    <row r="882" ht="14.25" customHeight="1">
      <c r="E882" s="56"/>
      <c r="F882" s="56"/>
      <c r="U882" s="54"/>
      <c r="V882" s="54"/>
      <c r="AE882" s="54"/>
      <c r="AG882" s="54"/>
      <c r="AI882" s="54"/>
      <c r="AJ882" s="54"/>
      <c r="AK882" s="54"/>
      <c r="AL882" s="54"/>
      <c r="AO882" s="55"/>
      <c r="AP882" s="55"/>
    </row>
    <row r="883" ht="14.25" customHeight="1">
      <c r="E883" s="56"/>
      <c r="F883" s="56"/>
      <c r="U883" s="54"/>
      <c r="V883" s="54"/>
      <c r="AE883" s="54"/>
      <c r="AG883" s="54"/>
      <c r="AI883" s="54"/>
      <c r="AJ883" s="54"/>
      <c r="AK883" s="54"/>
      <c r="AL883" s="54"/>
      <c r="AO883" s="55"/>
      <c r="AP883" s="55"/>
    </row>
    <row r="884" ht="14.25" customHeight="1">
      <c r="E884" s="56"/>
      <c r="F884" s="56"/>
      <c r="U884" s="54"/>
      <c r="V884" s="54"/>
      <c r="AE884" s="54"/>
      <c r="AG884" s="54"/>
      <c r="AI884" s="54"/>
      <c r="AJ884" s="54"/>
      <c r="AK884" s="54"/>
      <c r="AL884" s="54"/>
      <c r="AO884" s="55"/>
      <c r="AP884" s="55"/>
    </row>
    <row r="885" ht="14.25" customHeight="1">
      <c r="E885" s="56"/>
      <c r="F885" s="56"/>
      <c r="U885" s="54"/>
      <c r="V885" s="54"/>
      <c r="AE885" s="54"/>
      <c r="AG885" s="54"/>
      <c r="AI885" s="54"/>
      <c r="AJ885" s="54"/>
      <c r="AK885" s="54"/>
      <c r="AL885" s="54"/>
      <c r="AO885" s="55"/>
      <c r="AP885" s="55"/>
    </row>
    <row r="886" ht="14.25" customHeight="1">
      <c r="E886" s="56"/>
      <c r="F886" s="56"/>
      <c r="U886" s="54"/>
      <c r="V886" s="54"/>
      <c r="AE886" s="54"/>
      <c r="AG886" s="54"/>
      <c r="AI886" s="54"/>
      <c r="AJ886" s="54"/>
      <c r="AK886" s="54"/>
      <c r="AL886" s="54"/>
      <c r="AO886" s="55"/>
      <c r="AP886" s="55"/>
    </row>
    <row r="887" ht="14.25" customHeight="1">
      <c r="E887" s="56"/>
      <c r="F887" s="56"/>
      <c r="U887" s="54"/>
      <c r="V887" s="54"/>
      <c r="AE887" s="54"/>
      <c r="AG887" s="54"/>
      <c r="AI887" s="54"/>
      <c r="AJ887" s="54"/>
      <c r="AK887" s="54"/>
      <c r="AL887" s="54"/>
      <c r="AO887" s="55"/>
      <c r="AP887" s="55"/>
    </row>
    <row r="888" ht="14.25" customHeight="1">
      <c r="E888" s="56"/>
      <c r="F888" s="56"/>
      <c r="U888" s="54"/>
      <c r="V888" s="54"/>
      <c r="AE888" s="54"/>
      <c r="AG888" s="54"/>
      <c r="AI888" s="54"/>
      <c r="AJ888" s="54"/>
      <c r="AK888" s="54"/>
      <c r="AL888" s="54"/>
      <c r="AO888" s="55"/>
      <c r="AP888" s="55"/>
    </row>
    <row r="889" ht="14.25" customHeight="1">
      <c r="E889" s="56"/>
      <c r="F889" s="56"/>
      <c r="U889" s="54"/>
      <c r="V889" s="54"/>
      <c r="AE889" s="54"/>
      <c r="AG889" s="54"/>
      <c r="AI889" s="54"/>
      <c r="AJ889" s="54"/>
      <c r="AK889" s="54"/>
      <c r="AL889" s="54"/>
      <c r="AO889" s="55"/>
      <c r="AP889" s="55"/>
    </row>
    <row r="890" ht="14.25" customHeight="1">
      <c r="E890" s="56"/>
      <c r="F890" s="56"/>
      <c r="U890" s="54"/>
      <c r="V890" s="54"/>
      <c r="AE890" s="54"/>
      <c r="AG890" s="54"/>
      <c r="AI890" s="54"/>
      <c r="AJ890" s="54"/>
      <c r="AK890" s="54"/>
      <c r="AL890" s="54"/>
      <c r="AO890" s="55"/>
      <c r="AP890" s="55"/>
    </row>
    <row r="891" ht="14.25" customHeight="1">
      <c r="E891" s="56"/>
      <c r="F891" s="56"/>
      <c r="U891" s="54"/>
      <c r="V891" s="54"/>
      <c r="AE891" s="54"/>
      <c r="AG891" s="54"/>
      <c r="AI891" s="54"/>
      <c r="AJ891" s="54"/>
      <c r="AK891" s="54"/>
      <c r="AL891" s="54"/>
      <c r="AO891" s="55"/>
      <c r="AP891" s="55"/>
    </row>
    <row r="892" ht="14.25" customHeight="1">
      <c r="E892" s="56"/>
      <c r="F892" s="56"/>
      <c r="U892" s="54"/>
      <c r="V892" s="54"/>
      <c r="AE892" s="54"/>
      <c r="AG892" s="54"/>
      <c r="AI892" s="54"/>
      <c r="AJ892" s="54"/>
      <c r="AK892" s="54"/>
      <c r="AL892" s="54"/>
      <c r="AO892" s="55"/>
      <c r="AP892" s="55"/>
    </row>
    <row r="893" ht="14.25" customHeight="1">
      <c r="E893" s="56"/>
      <c r="F893" s="56"/>
      <c r="U893" s="54"/>
      <c r="V893" s="54"/>
      <c r="AE893" s="54"/>
      <c r="AG893" s="54"/>
      <c r="AI893" s="54"/>
      <c r="AJ893" s="54"/>
      <c r="AK893" s="54"/>
      <c r="AL893" s="54"/>
      <c r="AO893" s="55"/>
      <c r="AP893" s="55"/>
    </row>
    <row r="894" ht="14.25" customHeight="1">
      <c r="E894" s="56"/>
      <c r="F894" s="56"/>
      <c r="U894" s="54"/>
      <c r="V894" s="54"/>
      <c r="AE894" s="54"/>
      <c r="AG894" s="54"/>
      <c r="AI894" s="54"/>
      <c r="AJ894" s="54"/>
      <c r="AK894" s="54"/>
      <c r="AL894" s="54"/>
      <c r="AO894" s="55"/>
      <c r="AP894" s="55"/>
    </row>
    <row r="895" ht="14.25" customHeight="1">
      <c r="E895" s="56"/>
      <c r="F895" s="56"/>
      <c r="U895" s="54"/>
      <c r="V895" s="54"/>
      <c r="AE895" s="54"/>
      <c r="AG895" s="54"/>
      <c r="AI895" s="54"/>
      <c r="AJ895" s="54"/>
      <c r="AK895" s="54"/>
      <c r="AL895" s="54"/>
      <c r="AO895" s="55"/>
      <c r="AP895" s="55"/>
    </row>
    <row r="896" ht="14.25" customHeight="1">
      <c r="E896" s="56"/>
      <c r="F896" s="56"/>
      <c r="U896" s="54"/>
      <c r="V896" s="54"/>
      <c r="AE896" s="54"/>
      <c r="AG896" s="54"/>
      <c r="AI896" s="54"/>
      <c r="AJ896" s="54"/>
      <c r="AK896" s="54"/>
      <c r="AL896" s="54"/>
      <c r="AO896" s="55"/>
      <c r="AP896" s="55"/>
    </row>
    <row r="897" ht="14.25" customHeight="1">
      <c r="E897" s="56"/>
      <c r="F897" s="56"/>
      <c r="U897" s="54"/>
      <c r="V897" s="54"/>
      <c r="AE897" s="54"/>
      <c r="AG897" s="54"/>
      <c r="AI897" s="54"/>
      <c r="AJ897" s="54"/>
      <c r="AK897" s="54"/>
      <c r="AL897" s="54"/>
      <c r="AO897" s="55"/>
      <c r="AP897" s="55"/>
    </row>
    <row r="898" ht="14.25" customHeight="1">
      <c r="E898" s="56"/>
      <c r="F898" s="56"/>
      <c r="U898" s="54"/>
      <c r="V898" s="54"/>
      <c r="AE898" s="54"/>
      <c r="AG898" s="54"/>
      <c r="AI898" s="54"/>
      <c r="AJ898" s="54"/>
      <c r="AK898" s="54"/>
      <c r="AL898" s="54"/>
      <c r="AO898" s="55"/>
      <c r="AP898" s="55"/>
    </row>
    <row r="899" ht="14.25" customHeight="1">
      <c r="E899" s="56"/>
      <c r="F899" s="56"/>
      <c r="U899" s="54"/>
      <c r="V899" s="54"/>
      <c r="AE899" s="54"/>
      <c r="AG899" s="54"/>
      <c r="AI899" s="54"/>
      <c r="AJ899" s="54"/>
      <c r="AK899" s="54"/>
      <c r="AL899" s="54"/>
      <c r="AO899" s="55"/>
      <c r="AP899" s="55"/>
    </row>
    <row r="900" ht="14.25" customHeight="1">
      <c r="E900" s="56"/>
      <c r="F900" s="56"/>
      <c r="U900" s="54"/>
      <c r="V900" s="54"/>
      <c r="AE900" s="54"/>
      <c r="AG900" s="54"/>
      <c r="AI900" s="54"/>
      <c r="AJ900" s="54"/>
      <c r="AK900" s="54"/>
      <c r="AL900" s="54"/>
      <c r="AO900" s="55"/>
      <c r="AP900" s="55"/>
    </row>
    <row r="901" ht="14.25" customHeight="1">
      <c r="E901" s="56"/>
      <c r="F901" s="56"/>
      <c r="U901" s="54"/>
      <c r="V901" s="54"/>
      <c r="AE901" s="54"/>
      <c r="AG901" s="54"/>
      <c r="AI901" s="54"/>
      <c r="AJ901" s="54"/>
      <c r="AK901" s="54"/>
      <c r="AL901" s="54"/>
      <c r="AO901" s="55"/>
      <c r="AP901" s="55"/>
    </row>
    <row r="902" ht="14.25" customHeight="1">
      <c r="E902" s="56"/>
      <c r="F902" s="56"/>
      <c r="U902" s="54"/>
      <c r="V902" s="54"/>
      <c r="AE902" s="54"/>
      <c r="AG902" s="54"/>
      <c r="AI902" s="54"/>
      <c r="AJ902" s="54"/>
      <c r="AK902" s="54"/>
      <c r="AL902" s="54"/>
      <c r="AO902" s="55"/>
      <c r="AP902" s="55"/>
    </row>
    <row r="903" ht="14.25" customHeight="1">
      <c r="E903" s="56"/>
      <c r="F903" s="56"/>
      <c r="U903" s="54"/>
      <c r="V903" s="54"/>
      <c r="AE903" s="54"/>
      <c r="AG903" s="54"/>
      <c r="AI903" s="54"/>
      <c r="AJ903" s="54"/>
      <c r="AK903" s="54"/>
      <c r="AL903" s="54"/>
      <c r="AO903" s="55"/>
      <c r="AP903" s="55"/>
    </row>
    <row r="904" ht="14.25" customHeight="1">
      <c r="E904" s="56"/>
      <c r="F904" s="56"/>
      <c r="U904" s="54"/>
      <c r="V904" s="54"/>
      <c r="AE904" s="54"/>
      <c r="AG904" s="54"/>
      <c r="AI904" s="54"/>
      <c r="AJ904" s="54"/>
      <c r="AK904" s="54"/>
      <c r="AL904" s="54"/>
      <c r="AO904" s="55"/>
      <c r="AP904" s="55"/>
    </row>
    <row r="905" ht="14.25" customHeight="1">
      <c r="E905" s="56"/>
      <c r="F905" s="56"/>
      <c r="U905" s="54"/>
      <c r="V905" s="54"/>
      <c r="AE905" s="54"/>
      <c r="AG905" s="54"/>
      <c r="AI905" s="54"/>
      <c r="AJ905" s="54"/>
      <c r="AK905" s="54"/>
      <c r="AL905" s="54"/>
      <c r="AO905" s="55"/>
      <c r="AP905" s="55"/>
    </row>
    <row r="906" ht="14.25" customHeight="1">
      <c r="E906" s="56"/>
      <c r="F906" s="56"/>
      <c r="U906" s="54"/>
      <c r="V906" s="54"/>
      <c r="AE906" s="54"/>
      <c r="AG906" s="54"/>
      <c r="AI906" s="54"/>
      <c r="AJ906" s="54"/>
      <c r="AK906" s="54"/>
      <c r="AL906" s="54"/>
      <c r="AO906" s="55"/>
      <c r="AP906" s="55"/>
    </row>
    <row r="907" ht="14.25" customHeight="1">
      <c r="E907" s="56"/>
      <c r="F907" s="56"/>
      <c r="U907" s="54"/>
      <c r="V907" s="54"/>
      <c r="AE907" s="54"/>
      <c r="AG907" s="54"/>
      <c r="AI907" s="54"/>
      <c r="AJ907" s="54"/>
      <c r="AK907" s="54"/>
      <c r="AL907" s="54"/>
      <c r="AO907" s="55"/>
      <c r="AP907" s="55"/>
    </row>
    <row r="908" ht="14.25" customHeight="1">
      <c r="E908" s="56"/>
      <c r="F908" s="56"/>
      <c r="U908" s="54"/>
      <c r="V908" s="54"/>
      <c r="AE908" s="54"/>
      <c r="AG908" s="54"/>
      <c r="AI908" s="54"/>
      <c r="AJ908" s="54"/>
      <c r="AK908" s="54"/>
      <c r="AL908" s="54"/>
      <c r="AO908" s="55"/>
      <c r="AP908" s="55"/>
    </row>
    <row r="909" ht="14.25" customHeight="1">
      <c r="E909" s="56"/>
      <c r="F909" s="56"/>
      <c r="U909" s="54"/>
      <c r="V909" s="54"/>
      <c r="AE909" s="54"/>
      <c r="AG909" s="54"/>
      <c r="AI909" s="54"/>
      <c r="AJ909" s="54"/>
      <c r="AK909" s="54"/>
      <c r="AL909" s="54"/>
      <c r="AO909" s="55"/>
      <c r="AP909" s="55"/>
    </row>
    <row r="910" ht="14.25" customHeight="1">
      <c r="E910" s="56"/>
      <c r="F910" s="56"/>
      <c r="U910" s="54"/>
      <c r="V910" s="54"/>
      <c r="AE910" s="54"/>
      <c r="AG910" s="54"/>
      <c r="AI910" s="54"/>
      <c r="AJ910" s="54"/>
      <c r="AK910" s="54"/>
      <c r="AL910" s="54"/>
      <c r="AO910" s="55"/>
      <c r="AP910" s="55"/>
    </row>
    <row r="911" ht="14.25" customHeight="1">
      <c r="E911" s="56"/>
      <c r="F911" s="56"/>
      <c r="U911" s="54"/>
      <c r="V911" s="54"/>
      <c r="AE911" s="54"/>
      <c r="AG911" s="54"/>
      <c r="AI911" s="54"/>
      <c r="AJ911" s="54"/>
      <c r="AK911" s="54"/>
      <c r="AL911" s="54"/>
      <c r="AO911" s="55"/>
      <c r="AP911" s="55"/>
    </row>
    <row r="912" ht="14.25" customHeight="1">
      <c r="E912" s="56"/>
      <c r="F912" s="56"/>
      <c r="U912" s="54"/>
      <c r="V912" s="54"/>
      <c r="AE912" s="54"/>
      <c r="AG912" s="54"/>
      <c r="AI912" s="54"/>
      <c r="AJ912" s="54"/>
      <c r="AK912" s="54"/>
      <c r="AL912" s="54"/>
      <c r="AO912" s="55"/>
      <c r="AP912" s="55"/>
    </row>
    <row r="913" ht="14.25" customHeight="1">
      <c r="E913" s="56"/>
      <c r="F913" s="56"/>
      <c r="U913" s="54"/>
      <c r="V913" s="54"/>
      <c r="AE913" s="54"/>
      <c r="AG913" s="54"/>
      <c r="AI913" s="54"/>
      <c r="AJ913" s="54"/>
      <c r="AK913" s="54"/>
      <c r="AL913" s="54"/>
      <c r="AO913" s="55"/>
      <c r="AP913" s="55"/>
    </row>
    <row r="914" ht="14.25" customHeight="1">
      <c r="E914" s="56"/>
      <c r="F914" s="56"/>
      <c r="U914" s="54"/>
      <c r="V914" s="54"/>
      <c r="AE914" s="54"/>
      <c r="AG914" s="54"/>
      <c r="AI914" s="54"/>
      <c r="AJ914" s="54"/>
      <c r="AK914" s="54"/>
      <c r="AL914" s="54"/>
      <c r="AO914" s="55"/>
      <c r="AP914" s="55"/>
    </row>
    <row r="915" ht="14.25" customHeight="1">
      <c r="E915" s="56"/>
      <c r="F915" s="56"/>
      <c r="U915" s="54"/>
      <c r="V915" s="54"/>
      <c r="AE915" s="54"/>
      <c r="AG915" s="54"/>
      <c r="AI915" s="54"/>
      <c r="AJ915" s="54"/>
      <c r="AK915" s="54"/>
      <c r="AL915" s="54"/>
      <c r="AO915" s="55"/>
      <c r="AP915" s="55"/>
    </row>
    <row r="916" ht="14.25" customHeight="1">
      <c r="E916" s="56"/>
      <c r="F916" s="56"/>
      <c r="U916" s="54"/>
      <c r="V916" s="54"/>
      <c r="AE916" s="54"/>
      <c r="AG916" s="54"/>
      <c r="AI916" s="54"/>
      <c r="AJ916" s="54"/>
      <c r="AK916" s="54"/>
      <c r="AL916" s="54"/>
      <c r="AO916" s="55"/>
      <c r="AP916" s="55"/>
    </row>
    <row r="917" ht="14.25" customHeight="1">
      <c r="E917" s="56"/>
      <c r="F917" s="56"/>
      <c r="U917" s="54"/>
      <c r="V917" s="54"/>
      <c r="AE917" s="54"/>
      <c r="AG917" s="54"/>
      <c r="AI917" s="54"/>
      <c r="AJ917" s="54"/>
      <c r="AK917" s="54"/>
      <c r="AL917" s="54"/>
      <c r="AO917" s="55"/>
      <c r="AP917" s="55"/>
    </row>
    <row r="918" ht="14.25" customHeight="1">
      <c r="E918" s="56"/>
      <c r="F918" s="56"/>
      <c r="U918" s="54"/>
      <c r="V918" s="54"/>
      <c r="AE918" s="54"/>
      <c r="AG918" s="54"/>
      <c r="AI918" s="54"/>
      <c r="AJ918" s="54"/>
      <c r="AK918" s="54"/>
      <c r="AL918" s="54"/>
      <c r="AO918" s="55"/>
      <c r="AP918" s="55"/>
    </row>
    <row r="919" ht="14.25" customHeight="1">
      <c r="E919" s="56"/>
      <c r="F919" s="56"/>
      <c r="U919" s="54"/>
      <c r="V919" s="54"/>
      <c r="AE919" s="54"/>
      <c r="AG919" s="54"/>
      <c r="AI919" s="54"/>
      <c r="AJ919" s="54"/>
      <c r="AK919" s="54"/>
      <c r="AL919" s="54"/>
      <c r="AO919" s="55"/>
      <c r="AP919" s="55"/>
    </row>
    <row r="920" ht="14.25" customHeight="1">
      <c r="E920" s="56"/>
      <c r="F920" s="56"/>
      <c r="U920" s="54"/>
      <c r="V920" s="54"/>
      <c r="AE920" s="54"/>
      <c r="AG920" s="54"/>
      <c r="AI920" s="54"/>
      <c r="AJ920" s="54"/>
      <c r="AK920" s="54"/>
      <c r="AL920" s="54"/>
      <c r="AO920" s="55"/>
      <c r="AP920" s="55"/>
    </row>
    <row r="921" ht="14.25" customHeight="1">
      <c r="E921" s="56"/>
      <c r="F921" s="56"/>
      <c r="U921" s="54"/>
      <c r="V921" s="54"/>
      <c r="AE921" s="54"/>
      <c r="AG921" s="54"/>
      <c r="AI921" s="54"/>
      <c r="AJ921" s="54"/>
      <c r="AK921" s="54"/>
      <c r="AL921" s="54"/>
      <c r="AO921" s="55"/>
      <c r="AP921" s="55"/>
    </row>
    <row r="922" ht="14.25" customHeight="1">
      <c r="E922" s="56"/>
      <c r="F922" s="56"/>
      <c r="U922" s="54"/>
      <c r="V922" s="54"/>
      <c r="AE922" s="54"/>
      <c r="AG922" s="54"/>
      <c r="AI922" s="54"/>
      <c r="AJ922" s="54"/>
      <c r="AK922" s="54"/>
      <c r="AL922" s="54"/>
      <c r="AO922" s="55"/>
      <c r="AP922" s="55"/>
    </row>
    <row r="923" ht="14.25" customHeight="1">
      <c r="E923" s="56"/>
      <c r="F923" s="56"/>
      <c r="U923" s="54"/>
      <c r="V923" s="54"/>
      <c r="AE923" s="54"/>
      <c r="AG923" s="54"/>
      <c r="AI923" s="54"/>
      <c r="AJ923" s="54"/>
      <c r="AK923" s="54"/>
      <c r="AL923" s="54"/>
      <c r="AO923" s="55"/>
      <c r="AP923" s="55"/>
    </row>
    <row r="924" ht="14.25" customHeight="1">
      <c r="E924" s="56"/>
      <c r="F924" s="56"/>
      <c r="U924" s="54"/>
      <c r="V924" s="54"/>
      <c r="AE924" s="54"/>
      <c r="AG924" s="54"/>
      <c r="AI924" s="54"/>
      <c r="AJ924" s="54"/>
      <c r="AK924" s="54"/>
      <c r="AL924" s="54"/>
      <c r="AO924" s="55"/>
      <c r="AP924" s="55"/>
    </row>
    <row r="925" ht="14.25" customHeight="1">
      <c r="E925" s="56"/>
      <c r="F925" s="56"/>
      <c r="U925" s="54"/>
      <c r="V925" s="54"/>
      <c r="AE925" s="54"/>
      <c r="AG925" s="54"/>
      <c r="AI925" s="54"/>
      <c r="AJ925" s="54"/>
      <c r="AK925" s="54"/>
      <c r="AL925" s="54"/>
      <c r="AO925" s="55"/>
      <c r="AP925" s="55"/>
    </row>
    <row r="926" ht="14.25" customHeight="1">
      <c r="E926" s="56"/>
      <c r="F926" s="56"/>
      <c r="U926" s="54"/>
      <c r="V926" s="54"/>
      <c r="AE926" s="54"/>
      <c r="AG926" s="54"/>
      <c r="AI926" s="54"/>
      <c r="AJ926" s="54"/>
      <c r="AK926" s="54"/>
      <c r="AL926" s="54"/>
      <c r="AO926" s="55"/>
      <c r="AP926" s="55"/>
    </row>
    <row r="927" ht="14.25" customHeight="1">
      <c r="E927" s="56"/>
      <c r="F927" s="56"/>
      <c r="U927" s="54"/>
      <c r="V927" s="54"/>
      <c r="AE927" s="54"/>
      <c r="AG927" s="54"/>
      <c r="AI927" s="54"/>
      <c r="AJ927" s="54"/>
      <c r="AK927" s="54"/>
      <c r="AL927" s="54"/>
      <c r="AO927" s="55"/>
      <c r="AP927" s="55"/>
    </row>
    <row r="928" ht="14.25" customHeight="1">
      <c r="E928" s="56"/>
      <c r="F928" s="56"/>
      <c r="U928" s="54"/>
      <c r="V928" s="54"/>
      <c r="AE928" s="54"/>
      <c r="AG928" s="54"/>
      <c r="AI928" s="54"/>
      <c r="AJ928" s="54"/>
      <c r="AK928" s="54"/>
      <c r="AL928" s="54"/>
      <c r="AO928" s="55"/>
      <c r="AP928" s="55"/>
    </row>
    <row r="929" ht="14.25" customHeight="1">
      <c r="E929" s="56"/>
      <c r="F929" s="56"/>
      <c r="U929" s="54"/>
      <c r="V929" s="54"/>
      <c r="AE929" s="54"/>
      <c r="AG929" s="54"/>
      <c r="AI929" s="54"/>
      <c r="AJ929" s="54"/>
      <c r="AK929" s="54"/>
      <c r="AL929" s="54"/>
      <c r="AO929" s="55"/>
      <c r="AP929" s="55"/>
    </row>
    <row r="930" ht="14.25" customHeight="1">
      <c r="E930" s="56"/>
      <c r="F930" s="56"/>
      <c r="U930" s="54"/>
      <c r="V930" s="54"/>
      <c r="AE930" s="54"/>
      <c r="AG930" s="54"/>
      <c r="AI930" s="54"/>
      <c r="AJ930" s="54"/>
      <c r="AK930" s="54"/>
      <c r="AL930" s="54"/>
      <c r="AO930" s="55"/>
      <c r="AP930" s="55"/>
    </row>
    <row r="931" ht="14.25" customHeight="1">
      <c r="E931" s="56"/>
      <c r="F931" s="56"/>
      <c r="U931" s="54"/>
      <c r="V931" s="54"/>
      <c r="AE931" s="54"/>
      <c r="AG931" s="54"/>
      <c r="AI931" s="54"/>
      <c r="AJ931" s="54"/>
      <c r="AK931" s="54"/>
      <c r="AL931" s="54"/>
      <c r="AO931" s="55"/>
      <c r="AP931" s="55"/>
    </row>
    <row r="932" ht="14.25" customHeight="1">
      <c r="E932" s="56"/>
      <c r="F932" s="56"/>
      <c r="U932" s="54"/>
      <c r="V932" s="54"/>
      <c r="AE932" s="54"/>
      <c r="AG932" s="54"/>
      <c r="AI932" s="54"/>
      <c r="AJ932" s="54"/>
      <c r="AK932" s="54"/>
      <c r="AL932" s="54"/>
      <c r="AO932" s="55"/>
      <c r="AP932" s="55"/>
    </row>
    <row r="933" ht="14.25" customHeight="1">
      <c r="E933" s="56"/>
      <c r="F933" s="56"/>
      <c r="U933" s="54"/>
      <c r="V933" s="54"/>
      <c r="AE933" s="54"/>
      <c r="AG933" s="54"/>
      <c r="AI933" s="54"/>
      <c r="AJ933" s="54"/>
      <c r="AK933" s="54"/>
      <c r="AL933" s="54"/>
      <c r="AO933" s="55"/>
      <c r="AP933" s="55"/>
    </row>
    <row r="934" ht="14.25" customHeight="1">
      <c r="E934" s="56"/>
      <c r="F934" s="56"/>
      <c r="U934" s="54"/>
      <c r="V934" s="54"/>
      <c r="AE934" s="54"/>
      <c r="AG934" s="54"/>
      <c r="AI934" s="54"/>
      <c r="AJ934" s="54"/>
      <c r="AK934" s="54"/>
      <c r="AL934" s="54"/>
      <c r="AO934" s="55"/>
      <c r="AP934" s="55"/>
    </row>
    <row r="935" ht="14.25" customHeight="1">
      <c r="E935" s="56"/>
      <c r="F935" s="56"/>
      <c r="U935" s="54"/>
      <c r="V935" s="54"/>
      <c r="AE935" s="54"/>
      <c r="AG935" s="54"/>
      <c r="AI935" s="54"/>
      <c r="AJ935" s="54"/>
      <c r="AK935" s="54"/>
      <c r="AL935" s="54"/>
      <c r="AO935" s="55"/>
      <c r="AP935" s="55"/>
    </row>
    <row r="936" ht="14.25" customHeight="1">
      <c r="E936" s="56"/>
      <c r="F936" s="56"/>
      <c r="U936" s="54"/>
      <c r="V936" s="54"/>
      <c r="AE936" s="54"/>
      <c r="AG936" s="54"/>
      <c r="AI936" s="54"/>
      <c r="AJ936" s="54"/>
      <c r="AK936" s="54"/>
      <c r="AL936" s="54"/>
      <c r="AO936" s="55"/>
      <c r="AP936" s="55"/>
    </row>
    <row r="937" ht="14.25" customHeight="1">
      <c r="E937" s="56"/>
      <c r="F937" s="56"/>
      <c r="U937" s="54"/>
      <c r="V937" s="54"/>
      <c r="AE937" s="54"/>
      <c r="AG937" s="54"/>
      <c r="AI937" s="54"/>
      <c r="AJ937" s="54"/>
      <c r="AK937" s="54"/>
      <c r="AL937" s="54"/>
      <c r="AO937" s="55"/>
      <c r="AP937" s="55"/>
    </row>
    <row r="938" ht="14.25" customHeight="1">
      <c r="E938" s="56"/>
      <c r="F938" s="56"/>
      <c r="U938" s="54"/>
      <c r="V938" s="54"/>
      <c r="AE938" s="54"/>
      <c r="AG938" s="54"/>
      <c r="AI938" s="54"/>
      <c r="AJ938" s="54"/>
      <c r="AK938" s="54"/>
      <c r="AL938" s="54"/>
      <c r="AO938" s="55"/>
      <c r="AP938" s="55"/>
    </row>
    <row r="939" ht="14.25" customHeight="1">
      <c r="E939" s="56"/>
      <c r="F939" s="56"/>
      <c r="U939" s="54"/>
      <c r="V939" s="54"/>
      <c r="AE939" s="54"/>
      <c r="AG939" s="54"/>
      <c r="AI939" s="54"/>
      <c r="AJ939" s="54"/>
      <c r="AK939" s="54"/>
      <c r="AL939" s="54"/>
      <c r="AO939" s="55"/>
      <c r="AP939" s="55"/>
    </row>
    <row r="940" ht="14.25" customHeight="1">
      <c r="E940" s="56"/>
      <c r="F940" s="56"/>
      <c r="U940" s="54"/>
      <c r="V940" s="54"/>
      <c r="AE940" s="54"/>
      <c r="AG940" s="54"/>
      <c r="AI940" s="54"/>
      <c r="AJ940" s="54"/>
      <c r="AK940" s="54"/>
      <c r="AL940" s="54"/>
      <c r="AO940" s="55"/>
      <c r="AP940" s="55"/>
    </row>
    <row r="941" ht="14.25" customHeight="1">
      <c r="E941" s="56"/>
      <c r="F941" s="56"/>
      <c r="U941" s="54"/>
      <c r="V941" s="54"/>
      <c r="AE941" s="54"/>
      <c r="AG941" s="54"/>
      <c r="AI941" s="54"/>
      <c r="AJ941" s="54"/>
      <c r="AK941" s="54"/>
      <c r="AL941" s="54"/>
      <c r="AO941" s="55"/>
      <c r="AP941" s="55"/>
    </row>
    <row r="942" ht="14.25" customHeight="1">
      <c r="E942" s="56"/>
      <c r="F942" s="56"/>
      <c r="U942" s="54"/>
      <c r="V942" s="54"/>
      <c r="AE942" s="54"/>
      <c r="AG942" s="54"/>
      <c r="AI942" s="54"/>
      <c r="AJ942" s="54"/>
      <c r="AK942" s="54"/>
      <c r="AL942" s="54"/>
      <c r="AO942" s="55"/>
      <c r="AP942" s="55"/>
    </row>
    <row r="943" ht="14.25" customHeight="1">
      <c r="E943" s="56"/>
      <c r="F943" s="56"/>
      <c r="U943" s="54"/>
      <c r="V943" s="54"/>
      <c r="AE943" s="54"/>
      <c r="AG943" s="54"/>
      <c r="AI943" s="54"/>
      <c r="AJ943" s="54"/>
      <c r="AK943" s="54"/>
      <c r="AL943" s="54"/>
      <c r="AO943" s="55"/>
      <c r="AP943" s="55"/>
    </row>
    <row r="944" ht="14.25" customHeight="1">
      <c r="E944" s="56"/>
      <c r="F944" s="56"/>
      <c r="U944" s="54"/>
      <c r="V944" s="54"/>
      <c r="AE944" s="54"/>
      <c r="AG944" s="54"/>
      <c r="AI944" s="54"/>
      <c r="AJ944" s="54"/>
      <c r="AK944" s="54"/>
      <c r="AL944" s="54"/>
      <c r="AO944" s="55"/>
      <c r="AP944" s="55"/>
    </row>
    <row r="945" ht="14.25" customHeight="1">
      <c r="E945" s="56"/>
      <c r="F945" s="56"/>
      <c r="U945" s="54"/>
      <c r="V945" s="54"/>
      <c r="AE945" s="54"/>
      <c r="AG945" s="54"/>
      <c r="AI945" s="54"/>
      <c r="AJ945" s="54"/>
      <c r="AK945" s="54"/>
      <c r="AL945" s="54"/>
      <c r="AO945" s="55"/>
      <c r="AP945" s="55"/>
    </row>
    <row r="946" ht="14.25" customHeight="1">
      <c r="E946" s="56"/>
      <c r="F946" s="56"/>
      <c r="U946" s="54"/>
      <c r="V946" s="54"/>
      <c r="AE946" s="54"/>
      <c r="AG946" s="54"/>
      <c r="AI946" s="54"/>
      <c r="AJ946" s="54"/>
      <c r="AK946" s="54"/>
      <c r="AL946" s="54"/>
      <c r="AO946" s="55"/>
      <c r="AP946" s="55"/>
    </row>
    <row r="947" ht="14.25" customHeight="1">
      <c r="E947" s="56"/>
      <c r="F947" s="56"/>
      <c r="U947" s="54"/>
      <c r="V947" s="54"/>
      <c r="AE947" s="54"/>
      <c r="AG947" s="54"/>
      <c r="AI947" s="54"/>
      <c r="AJ947" s="54"/>
      <c r="AK947" s="54"/>
      <c r="AL947" s="54"/>
      <c r="AO947" s="55"/>
      <c r="AP947" s="55"/>
    </row>
    <row r="948" ht="14.25" customHeight="1">
      <c r="E948" s="56"/>
      <c r="F948" s="56"/>
      <c r="U948" s="54"/>
      <c r="V948" s="54"/>
      <c r="AE948" s="54"/>
      <c r="AG948" s="54"/>
      <c r="AI948" s="54"/>
      <c r="AJ948" s="54"/>
      <c r="AK948" s="54"/>
      <c r="AL948" s="54"/>
      <c r="AO948" s="55"/>
      <c r="AP948" s="55"/>
    </row>
    <row r="949" ht="14.25" customHeight="1">
      <c r="E949" s="56"/>
      <c r="F949" s="56"/>
      <c r="U949" s="54"/>
      <c r="V949" s="54"/>
      <c r="AE949" s="54"/>
      <c r="AG949" s="54"/>
      <c r="AI949" s="54"/>
      <c r="AJ949" s="54"/>
      <c r="AK949" s="54"/>
      <c r="AL949" s="54"/>
      <c r="AO949" s="55"/>
      <c r="AP949" s="55"/>
    </row>
    <row r="950" ht="14.25" customHeight="1">
      <c r="E950" s="56"/>
      <c r="F950" s="56"/>
      <c r="U950" s="54"/>
      <c r="V950" s="54"/>
      <c r="AE950" s="54"/>
      <c r="AG950" s="54"/>
      <c r="AI950" s="54"/>
      <c r="AJ950" s="54"/>
      <c r="AK950" s="54"/>
      <c r="AL950" s="54"/>
      <c r="AO950" s="55"/>
      <c r="AP950" s="55"/>
    </row>
    <row r="951" ht="14.25" customHeight="1">
      <c r="E951" s="56"/>
      <c r="F951" s="56"/>
      <c r="U951" s="54"/>
      <c r="V951" s="54"/>
      <c r="AE951" s="54"/>
      <c r="AG951" s="54"/>
      <c r="AI951" s="54"/>
      <c r="AJ951" s="54"/>
      <c r="AK951" s="54"/>
      <c r="AL951" s="54"/>
      <c r="AO951" s="55"/>
      <c r="AP951" s="55"/>
    </row>
    <row r="952" ht="14.25" customHeight="1">
      <c r="E952" s="56"/>
      <c r="F952" s="56"/>
      <c r="U952" s="54"/>
      <c r="V952" s="54"/>
      <c r="AE952" s="54"/>
      <c r="AG952" s="54"/>
      <c r="AI952" s="54"/>
      <c r="AJ952" s="54"/>
      <c r="AK952" s="54"/>
      <c r="AL952" s="54"/>
      <c r="AO952" s="55"/>
      <c r="AP952" s="55"/>
    </row>
    <row r="953" ht="14.25" customHeight="1">
      <c r="E953" s="56"/>
      <c r="F953" s="56"/>
      <c r="U953" s="54"/>
      <c r="V953" s="54"/>
      <c r="AE953" s="54"/>
      <c r="AG953" s="54"/>
      <c r="AI953" s="54"/>
      <c r="AJ953" s="54"/>
      <c r="AK953" s="54"/>
      <c r="AL953" s="54"/>
      <c r="AO953" s="55"/>
      <c r="AP953" s="55"/>
    </row>
    <row r="954" ht="14.25" customHeight="1">
      <c r="E954" s="56"/>
      <c r="F954" s="56"/>
      <c r="U954" s="54"/>
      <c r="V954" s="54"/>
      <c r="AE954" s="54"/>
      <c r="AG954" s="54"/>
      <c r="AI954" s="54"/>
      <c r="AJ954" s="54"/>
      <c r="AK954" s="54"/>
      <c r="AL954" s="54"/>
      <c r="AO954" s="55"/>
      <c r="AP954" s="55"/>
    </row>
    <row r="955" ht="14.25" customHeight="1">
      <c r="E955" s="56"/>
      <c r="F955" s="56"/>
      <c r="U955" s="54"/>
      <c r="V955" s="54"/>
      <c r="AE955" s="54"/>
      <c r="AG955" s="54"/>
      <c r="AI955" s="54"/>
      <c r="AJ955" s="54"/>
      <c r="AK955" s="54"/>
      <c r="AL955" s="54"/>
      <c r="AO955" s="55"/>
      <c r="AP955" s="55"/>
    </row>
    <row r="956" ht="14.25" customHeight="1">
      <c r="E956" s="56"/>
      <c r="F956" s="56"/>
      <c r="U956" s="54"/>
      <c r="V956" s="54"/>
      <c r="AE956" s="54"/>
      <c r="AG956" s="54"/>
      <c r="AI956" s="54"/>
      <c r="AJ956" s="54"/>
      <c r="AK956" s="54"/>
      <c r="AL956" s="54"/>
      <c r="AO956" s="55"/>
      <c r="AP956" s="55"/>
    </row>
    <row r="957" ht="14.25" customHeight="1">
      <c r="E957" s="56"/>
      <c r="F957" s="56"/>
      <c r="U957" s="54"/>
      <c r="V957" s="54"/>
      <c r="AE957" s="54"/>
      <c r="AG957" s="54"/>
      <c r="AI957" s="54"/>
      <c r="AJ957" s="54"/>
      <c r="AK957" s="54"/>
      <c r="AL957" s="54"/>
      <c r="AO957" s="55"/>
      <c r="AP957" s="55"/>
    </row>
    <row r="958" ht="14.25" customHeight="1">
      <c r="E958" s="56"/>
      <c r="F958" s="56"/>
      <c r="U958" s="54"/>
      <c r="V958" s="54"/>
      <c r="AE958" s="54"/>
      <c r="AG958" s="54"/>
      <c r="AI958" s="54"/>
      <c r="AJ958" s="54"/>
      <c r="AK958" s="54"/>
      <c r="AL958" s="54"/>
      <c r="AO958" s="55"/>
      <c r="AP958" s="55"/>
    </row>
    <row r="959" ht="14.25" customHeight="1">
      <c r="E959" s="56"/>
      <c r="F959" s="56"/>
      <c r="U959" s="54"/>
      <c r="V959" s="54"/>
      <c r="AE959" s="54"/>
      <c r="AG959" s="54"/>
      <c r="AI959" s="54"/>
      <c r="AJ959" s="54"/>
      <c r="AK959" s="54"/>
      <c r="AL959" s="54"/>
      <c r="AO959" s="55"/>
      <c r="AP959" s="55"/>
    </row>
    <row r="960" ht="14.25" customHeight="1">
      <c r="E960" s="56"/>
      <c r="F960" s="56"/>
      <c r="U960" s="54"/>
      <c r="V960" s="54"/>
      <c r="AE960" s="54"/>
      <c r="AG960" s="54"/>
      <c r="AI960" s="54"/>
      <c r="AJ960" s="54"/>
      <c r="AK960" s="54"/>
      <c r="AL960" s="54"/>
      <c r="AO960" s="55"/>
      <c r="AP960" s="55"/>
    </row>
    <row r="961" ht="14.25" customHeight="1">
      <c r="E961" s="56"/>
      <c r="F961" s="56"/>
      <c r="U961" s="54"/>
      <c r="V961" s="54"/>
      <c r="AE961" s="54"/>
      <c r="AG961" s="54"/>
      <c r="AI961" s="54"/>
      <c r="AJ961" s="54"/>
      <c r="AK961" s="54"/>
      <c r="AL961" s="54"/>
      <c r="AO961" s="55"/>
      <c r="AP961" s="55"/>
    </row>
    <row r="962" ht="14.25" customHeight="1">
      <c r="E962" s="56"/>
      <c r="F962" s="56"/>
      <c r="U962" s="54"/>
      <c r="V962" s="54"/>
      <c r="AE962" s="54"/>
      <c r="AG962" s="54"/>
      <c r="AI962" s="54"/>
      <c r="AJ962" s="54"/>
      <c r="AK962" s="54"/>
      <c r="AL962" s="54"/>
      <c r="AO962" s="55"/>
      <c r="AP962" s="55"/>
    </row>
    <row r="963" ht="14.25" customHeight="1">
      <c r="E963" s="56"/>
      <c r="F963" s="56"/>
      <c r="U963" s="54"/>
      <c r="V963" s="54"/>
      <c r="AE963" s="54"/>
      <c r="AG963" s="54"/>
      <c r="AI963" s="54"/>
      <c r="AJ963" s="54"/>
      <c r="AK963" s="54"/>
      <c r="AL963" s="54"/>
      <c r="AO963" s="55"/>
      <c r="AP963" s="55"/>
    </row>
    <row r="964" ht="14.25" customHeight="1">
      <c r="E964" s="56"/>
      <c r="F964" s="56"/>
      <c r="U964" s="54"/>
      <c r="V964" s="54"/>
      <c r="AE964" s="54"/>
      <c r="AG964" s="54"/>
      <c r="AI964" s="54"/>
      <c r="AJ964" s="54"/>
      <c r="AK964" s="54"/>
      <c r="AL964" s="54"/>
      <c r="AO964" s="55"/>
      <c r="AP964" s="55"/>
    </row>
    <row r="965" ht="14.25" customHeight="1">
      <c r="E965" s="56"/>
      <c r="F965" s="56"/>
      <c r="U965" s="54"/>
      <c r="V965" s="54"/>
      <c r="AE965" s="54"/>
      <c r="AG965" s="54"/>
      <c r="AI965" s="54"/>
      <c r="AJ965" s="54"/>
      <c r="AK965" s="54"/>
      <c r="AL965" s="54"/>
      <c r="AO965" s="55"/>
      <c r="AP965" s="55"/>
    </row>
    <row r="966" ht="14.25" customHeight="1">
      <c r="E966" s="56"/>
      <c r="F966" s="56"/>
      <c r="U966" s="54"/>
      <c r="V966" s="54"/>
      <c r="AE966" s="54"/>
      <c r="AG966" s="54"/>
      <c r="AI966" s="54"/>
      <c r="AJ966" s="54"/>
      <c r="AK966" s="54"/>
      <c r="AL966" s="54"/>
      <c r="AO966" s="55"/>
      <c r="AP966" s="55"/>
    </row>
    <row r="967" ht="14.25" customHeight="1">
      <c r="E967" s="56"/>
      <c r="F967" s="56"/>
      <c r="U967" s="54"/>
      <c r="V967" s="54"/>
      <c r="AE967" s="54"/>
      <c r="AG967" s="54"/>
      <c r="AI967" s="54"/>
      <c r="AJ967" s="54"/>
      <c r="AK967" s="54"/>
      <c r="AL967" s="54"/>
      <c r="AO967" s="55"/>
      <c r="AP967" s="55"/>
    </row>
    <row r="968" ht="14.25" customHeight="1">
      <c r="E968" s="56"/>
      <c r="F968" s="56"/>
      <c r="U968" s="54"/>
      <c r="V968" s="54"/>
      <c r="AE968" s="54"/>
      <c r="AG968" s="54"/>
      <c r="AI968" s="54"/>
      <c r="AJ968" s="54"/>
      <c r="AK968" s="54"/>
      <c r="AL968" s="54"/>
      <c r="AO968" s="55"/>
      <c r="AP968" s="55"/>
    </row>
    <row r="969" ht="14.25" customHeight="1">
      <c r="E969" s="56"/>
      <c r="F969" s="56"/>
      <c r="U969" s="54"/>
      <c r="V969" s="54"/>
      <c r="AE969" s="54"/>
      <c r="AG969" s="54"/>
      <c r="AI969" s="54"/>
      <c r="AJ969" s="54"/>
      <c r="AK969" s="54"/>
      <c r="AL969" s="54"/>
      <c r="AO969" s="55"/>
      <c r="AP969" s="55"/>
    </row>
    <row r="970" ht="14.25" customHeight="1">
      <c r="E970" s="56"/>
      <c r="F970" s="56"/>
      <c r="U970" s="54"/>
      <c r="V970" s="54"/>
      <c r="AE970" s="54"/>
      <c r="AG970" s="54"/>
      <c r="AI970" s="54"/>
      <c r="AJ970" s="54"/>
      <c r="AK970" s="54"/>
      <c r="AL970" s="54"/>
      <c r="AO970" s="55"/>
      <c r="AP970" s="55"/>
    </row>
    <row r="971" ht="14.25" customHeight="1">
      <c r="E971" s="56"/>
      <c r="F971" s="56"/>
      <c r="U971" s="54"/>
      <c r="V971" s="54"/>
      <c r="AE971" s="54"/>
      <c r="AG971" s="54"/>
      <c r="AI971" s="54"/>
      <c r="AJ971" s="54"/>
      <c r="AK971" s="54"/>
      <c r="AL971" s="54"/>
      <c r="AO971" s="55"/>
      <c r="AP971" s="55"/>
    </row>
    <row r="972" ht="14.25" customHeight="1">
      <c r="E972" s="56"/>
      <c r="F972" s="56"/>
      <c r="U972" s="54"/>
      <c r="V972" s="54"/>
      <c r="AE972" s="54"/>
      <c r="AG972" s="54"/>
      <c r="AI972" s="54"/>
      <c r="AJ972" s="54"/>
      <c r="AK972" s="54"/>
      <c r="AL972" s="54"/>
      <c r="AO972" s="55"/>
      <c r="AP972" s="55"/>
    </row>
    <row r="973" ht="14.25" customHeight="1">
      <c r="E973" s="56"/>
      <c r="F973" s="56"/>
      <c r="U973" s="54"/>
      <c r="V973" s="54"/>
      <c r="AE973" s="54"/>
      <c r="AG973" s="54"/>
      <c r="AI973" s="54"/>
      <c r="AJ973" s="54"/>
      <c r="AK973" s="54"/>
      <c r="AL973" s="54"/>
      <c r="AO973" s="55"/>
      <c r="AP973" s="55"/>
    </row>
    <row r="974" ht="14.25" customHeight="1">
      <c r="E974" s="56"/>
      <c r="F974" s="56"/>
      <c r="U974" s="54"/>
      <c r="V974" s="54"/>
      <c r="AE974" s="54"/>
      <c r="AG974" s="54"/>
      <c r="AI974" s="54"/>
      <c r="AJ974" s="54"/>
      <c r="AK974" s="54"/>
      <c r="AL974" s="54"/>
      <c r="AO974" s="55"/>
      <c r="AP974" s="55"/>
    </row>
    <row r="975" ht="14.25" customHeight="1">
      <c r="E975" s="56"/>
      <c r="F975" s="56"/>
      <c r="U975" s="54"/>
      <c r="V975" s="54"/>
      <c r="AE975" s="54"/>
      <c r="AG975" s="54"/>
      <c r="AI975" s="54"/>
      <c r="AJ975" s="54"/>
      <c r="AK975" s="54"/>
      <c r="AL975" s="54"/>
      <c r="AO975" s="55"/>
      <c r="AP975" s="55"/>
    </row>
    <row r="976" ht="14.25" customHeight="1">
      <c r="E976" s="56"/>
      <c r="F976" s="56"/>
      <c r="U976" s="54"/>
      <c r="V976" s="54"/>
      <c r="AE976" s="54"/>
      <c r="AG976" s="54"/>
      <c r="AI976" s="54"/>
      <c r="AJ976" s="54"/>
      <c r="AK976" s="54"/>
      <c r="AL976" s="54"/>
      <c r="AO976" s="55"/>
      <c r="AP976" s="55"/>
    </row>
    <row r="977" ht="14.25" customHeight="1">
      <c r="E977" s="56"/>
      <c r="F977" s="56"/>
      <c r="U977" s="54"/>
      <c r="V977" s="54"/>
      <c r="AE977" s="54"/>
      <c r="AG977" s="54"/>
      <c r="AI977" s="54"/>
      <c r="AJ977" s="54"/>
      <c r="AK977" s="54"/>
      <c r="AL977" s="54"/>
      <c r="AO977" s="55"/>
      <c r="AP977" s="55"/>
    </row>
    <row r="978" ht="14.25" customHeight="1">
      <c r="E978" s="56"/>
      <c r="F978" s="56"/>
      <c r="U978" s="54"/>
      <c r="V978" s="54"/>
      <c r="AE978" s="54"/>
      <c r="AG978" s="54"/>
      <c r="AI978" s="54"/>
      <c r="AJ978" s="54"/>
      <c r="AK978" s="54"/>
      <c r="AL978" s="54"/>
      <c r="AO978" s="55"/>
      <c r="AP978" s="55"/>
    </row>
    <row r="979" ht="14.25" customHeight="1">
      <c r="E979" s="56"/>
      <c r="F979" s="56"/>
      <c r="U979" s="54"/>
      <c r="V979" s="54"/>
      <c r="AE979" s="54"/>
      <c r="AG979" s="54"/>
      <c r="AI979" s="54"/>
      <c r="AJ979" s="54"/>
      <c r="AK979" s="54"/>
      <c r="AL979" s="54"/>
      <c r="AO979" s="55"/>
      <c r="AP979" s="55"/>
    </row>
    <row r="980" ht="14.25" customHeight="1">
      <c r="E980" s="56"/>
      <c r="F980" s="56"/>
      <c r="U980" s="54"/>
      <c r="V980" s="54"/>
      <c r="AE980" s="54"/>
      <c r="AG980" s="54"/>
      <c r="AI980" s="54"/>
      <c r="AJ980" s="54"/>
      <c r="AK980" s="54"/>
      <c r="AL980" s="54"/>
      <c r="AO980" s="55"/>
      <c r="AP980" s="55"/>
    </row>
    <row r="981" ht="14.25" customHeight="1">
      <c r="E981" s="56"/>
      <c r="F981" s="56"/>
      <c r="U981" s="54"/>
      <c r="V981" s="54"/>
      <c r="AE981" s="54"/>
      <c r="AG981" s="54"/>
      <c r="AI981" s="54"/>
      <c r="AJ981" s="54"/>
      <c r="AK981" s="54"/>
      <c r="AL981" s="54"/>
      <c r="AO981" s="55"/>
      <c r="AP981" s="55"/>
    </row>
    <row r="982" ht="14.25" customHeight="1">
      <c r="E982" s="56"/>
      <c r="F982" s="56"/>
      <c r="U982" s="54"/>
      <c r="V982" s="54"/>
      <c r="AE982" s="54"/>
      <c r="AG982" s="54"/>
      <c r="AI982" s="54"/>
      <c r="AJ982" s="54"/>
      <c r="AK982" s="54"/>
      <c r="AL982" s="54"/>
      <c r="AO982" s="55"/>
      <c r="AP982" s="55"/>
    </row>
    <row r="983" ht="14.25" customHeight="1">
      <c r="E983" s="56"/>
      <c r="F983" s="56"/>
      <c r="U983" s="54"/>
      <c r="V983" s="54"/>
      <c r="AE983" s="54"/>
      <c r="AG983" s="54"/>
      <c r="AI983" s="54"/>
      <c r="AJ983" s="54"/>
      <c r="AK983" s="54"/>
      <c r="AL983" s="54"/>
      <c r="AO983" s="55"/>
      <c r="AP983" s="55"/>
    </row>
    <row r="984" ht="14.25" customHeight="1">
      <c r="E984" s="56"/>
      <c r="F984" s="56"/>
      <c r="U984" s="54"/>
      <c r="V984" s="54"/>
      <c r="AE984" s="54"/>
      <c r="AG984" s="54"/>
      <c r="AI984" s="54"/>
      <c r="AJ984" s="54"/>
      <c r="AK984" s="54"/>
      <c r="AL984" s="54"/>
      <c r="AO984" s="55"/>
      <c r="AP984" s="55"/>
    </row>
    <row r="985" ht="14.25" customHeight="1">
      <c r="E985" s="56"/>
      <c r="F985" s="56"/>
      <c r="U985" s="54"/>
      <c r="V985" s="54"/>
      <c r="AE985" s="54"/>
      <c r="AG985" s="54"/>
      <c r="AI985" s="54"/>
      <c r="AJ985" s="54"/>
      <c r="AK985" s="54"/>
      <c r="AL985" s="54"/>
      <c r="AO985" s="55"/>
      <c r="AP985" s="55"/>
    </row>
    <row r="986" ht="14.25" customHeight="1">
      <c r="E986" s="56"/>
      <c r="F986" s="56"/>
      <c r="U986" s="54"/>
      <c r="V986" s="54"/>
      <c r="AE986" s="54"/>
      <c r="AG986" s="54"/>
      <c r="AI986" s="54"/>
      <c r="AJ986" s="54"/>
      <c r="AK986" s="54"/>
      <c r="AL986" s="54"/>
      <c r="AO986" s="55"/>
      <c r="AP986" s="55"/>
    </row>
    <row r="987" ht="14.25" customHeight="1">
      <c r="E987" s="56"/>
      <c r="F987" s="56"/>
      <c r="U987" s="54"/>
      <c r="V987" s="54"/>
      <c r="AE987" s="54"/>
      <c r="AG987" s="54"/>
      <c r="AI987" s="54"/>
      <c r="AJ987" s="54"/>
      <c r="AK987" s="54"/>
      <c r="AL987" s="54"/>
      <c r="AO987" s="55"/>
      <c r="AP987" s="55"/>
    </row>
    <row r="988" ht="14.25" customHeight="1">
      <c r="E988" s="56"/>
      <c r="F988" s="56"/>
      <c r="U988" s="54"/>
      <c r="V988" s="54"/>
      <c r="AE988" s="54"/>
      <c r="AG988" s="54"/>
      <c r="AI988" s="54"/>
      <c r="AJ988" s="54"/>
      <c r="AK988" s="54"/>
      <c r="AL988" s="54"/>
      <c r="AO988" s="55"/>
      <c r="AP988" s="55"/>
    </row>
    <row r="989" ht="14.25" customHeight="1">
      <c r="E989" s="56"/>
      <c r="F989" s="56"/>
      <c r="U989" s="54"/>
      <c r="V989" s="54"/>
      <c r="AE989" s="54"/>
      <c r="AG989" s="54"/>
      <c r="AI989" s="54"/>
      <c r="AJ989" s="54"/>
      <c r="AK989" s="54"/>
      <c r="AL989" s="54"/>
      <c r="AO989" s="55"/>
      <c r="AP989" s="55"/>
    </row>
    <row r="990" ht="14.25" customHeight="1">
      <c r="E990" s="56"/>
      <c r="F990" s="56"/>
      <c r="U990" s="54"/>
      <c r="V990" s="54"/>
      <c r="AE990" s="54"/>
      <c r="AG990" s="54"/>
      <c r="AI990" s="54"/>
      <c r="AJ990" s="54"/>
      <c r="AK990" s="54"/>
      <c r="AL990" s="54"/>
      <c r="AO990" s="55"/>
      <c r="AP990" s="55"/>
    </row>
    <row r="991" ht="14.25" customHeight="1">
      <c r="E991" s="56"/>
      <c r="F991" s="56"/>
      <c r="U991" s="54"/>
      <c r="V991" s="54"/>
      <c r="AE991" s="54"/>
      <c r="AG991" s="54"/>
      <c r="AI991" s="54"/>
      <c r="AJ991" s="54"/>
      <c r="AK991" s="54"/>
      <c r="AL991" s="54"/>
      <c r="AO991" s="55"/>
      <c r="AP991" s="55"/>
    </row>
    <row r="992" ht="14.25" customHeight="1">
      <c r="E992" s="56"/>
      <c r="F992" s="56"/>
      <c r="U992" s="54"/>
      <c r="V992" s="54"/>
      <c r="AE992" s="54"/>
      <c r="AG992" s="54"/>
      <c r="AI992" s="54"/>
      <c r="AJ992" s="54"/>
      <c r="AK992" s="54"/>
      <c r="AL992" s="54"/>
      <c r="AO992" s="55"/>
      <c r="AP992" s="55"/>
    </row>
    <row r="993" ht="14.25" customHeight="1">
      <c r="E993" s="56"/>
      <c r="F993" s="56"/>
      <c r="U993" s="54"/>
      <c r="V993" s="54"/>
      <c r="AE993" s="54"/>
      <c r="AG993" s="54"/>
      <c r="AI993" s="54"/>
      <c r="AJ993" s="54"/>
      <c r="AK993" s="54"/>
      <c r="AL993" s="54"/>
      <c r="AO993" s="55"/>
      <c r="AP993" s="55"/>
    </row>
    <row r="994" ht="14.25" customHeight="1">
      <c r="E994" s="56"/>
      <c r="F994" s="56"/>
      <c r="U994" s="54"/>
      <c r="V994" s="54"/>
      <c r="AE994" s="54"/>
      <c r="AG994" s="54"/>
      <c r="AI994" s="54"/>
      <c r="AJ994" s="54"/>
      <c r="AK994" s="54"/>
      <c r="AL994" s="54"/>
      <c r="AO994" s="55"/>
      <c r="AP994" s="55"/>
    </row>
    <row r="995" ht="14.25" customHeight="1">
      <c r="E995" s="56"/>
      <c r="F995" s="56"/>
      <c r="U995" s="54"/>
      <c r="V995" s="54"/>
      <c r="AE995" s="54"/>
      <c r="AG995" s="54"/>
      <c r="AI995" s="54"/>
      <c r="AJ995" s="54"/>
      <c r="AK995" s="54"/>
      <c r="AL995" s="54"/>
      <c r="AO995" s="55"/>
      <c r="AP995" s="55"/>
    </row>
    <row r="996" ht="14.25" customHeight="1">
      <c r="E996" s="56"/>
      <c r="F996" s="56"/>
      <c r="U996" s="54"/>
      <c r="V996" s="54"/>
      <c r="AE996" s="54"/>
      <c r="AG996" s="54"/>
      <c r="AI996" s="54"/>
      <c r="AJ996" s="54"/>
      <c r="AK996" s="54"/>
      <c r="AL996" s="54"/>
      <c r="AO996" s="55"/>
      <c r="AP996" s="55"/>
    </row>
    <row r="997" ht="14.25" customHeight="1">
      <c r="E997" s="56"/>
      <c r="F997" s="56"/>
      <c r="U997" s="54"/>
      <c r="V997" s="54"/>
      <c r="AE997" s="54"/>
      <c r="AG997" s="54"/>
      <c r="AI997" s="54"/>
      <c r="AJ997" s="54"/>
      <c r="AK997" s="54"/>
      <c r="AL997" s="54"/>
      <c r="AO997" s="55"/>
      <c r="AP997" s="55"/>
    </row>
    <row r="998" ht="14.25" customHeight="1">
      <c r="E998" s="56"/>
      <c r="F998" s="56"/>
      <c r="U998" s="54"/>
      <c r="V998" s="54"/>
      <c r="AE998" s="54"/>
      <c r="AG998" s="54"/>
      <c r="AI998" s="54"/>
      <c r="AJ998" s="54"/>
      <c r="AK998" s="54"/>
      <c r="AL998" s="54"/>
      <c r="AO998" s="55"/>
      <c r="AP998" s="55"/>
    </row>
    <row r="999" ht="14.25" customHeight="1">
      <c r="E999" s="56"/>
      <c r="F999" s="56"/>
      <c r="U999" s="54"/>
      <c r="V999" s="54"/>
      <c r="AE999" s="54"/>
      <c r="AG999" s="54"/>
      <c r="AI999" s="54"/>
      <c r="AJ999" s="54"/>
      <c r="AK999" s="54"/>
      <c r="AL999" s="54"/>
      <c r="AO999" s="55"/>
      <c r="AP999" s="55"/>
    </row>
    <row r="1000" ht="14.25" customHeight="1">
      <c r="E1000" s="56"/>
      <c r="F1000" s="56"/>
      <c r="U1000" s="54"/>
      <c r="V1000" s="54"/>
      <c r="AE1000" s="54"/>
      <c r="AG1000" s="54"/>
      <c r="AI1000" s="54"/>
      <c r="AJ1000" s="54"/>
      <c r="AK1000" s="54"/>
      <c r="AL1000" s="54"/>
      <c r="AO1000" s="55"/>
      <c r="AP1000" s="55"/>
    </row>
  </sheetData>
  <mergeCells count="2">
    <mergeCell ref="Q3:R3"/>
    <mergeCell ref="S3:T3"/>
  </mergeCells>
  <hyperlinks>
    <hyperlink r:id="rId1" ref="AR4"/>
  </hyperlinks>
  <printOptions/>
  <pageMargins bottom="0.75" footer="0.0" header="0.0" left="0.7" right="0.7" top="0.75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4.29"/>
    <col customWidth="1" min="2" max="2" width="15.43"/>
    <col customWidth="1" min="3" max="3" width="19.14"/>
    <col customWidth="1" min="4" max="4" width="15.43"/>
    <col customWidth="1" min="5" max="6" width="8.86"/>
    <col customWidth="1" hidden="1" min="7" max="7" width="23.29"/>
    <col customWidth="1" hidden="1" min="8" max="8" width="22.57"/>
    <col customWidth="1" hidden="1" min="9" max="9" width="28.43"/>
    <col customWidth="1" min="10" max="10" width="24.0"/>
    <col customWidth="1" min="11" max="11" width="25.57"/>
    <col customWidth="1" min="12" max="12" width="20.29"/>
    <col customWidth="1" min="13" max="13" width="13.86"/>
    <col customWidth="1" min="14" max="14" width="16.0"/>
    <col customWidth="1" min="15" max="15" width="17.57"/>
    <col customWidth="1" min="16" max="16" width="16.0"/>
    <col customWidth="1" min="17" max="17" width="18.0"/>
    <col customWidth="1" min="18" max="19" width="14.14"/>
    <col customWidth="1" min="20" max="20" width="17.57"/>
    <col customWidth="1" min="21" max="23" width="14.0"/>
    <col customWidth="1" min="24" max="24" width="20.0"/>
    <col customWidth="1" min="25" max="26" width="22.57"/>
    <col customWidth="1" min="27" max="27" width="24.14"/>
    <col customWidth="1" min="28" max="28" width="22.57"/>
    <col customWidth="1" min="29" max="29" width="13.14"/>
    <col customWidth="1" min="30" max="30" width="14.57"/>
    <col customWidth="1" min="31" max="31" width="14.14"/>
    <col customWidth="1" min="32" max="32" width="12.57"/>
    <col customWidth="1" min="33" max="33" width="22.57"/>
    <col customWidth="1" min="34" max="34" width="20.57"/>
    <col customWidth="1" min="35" max="35" width="15.29"/>
    <col customWidth="1" min="36" max="37" width="22.57"/>
    <col customWidth="1" min="38" max="38" width="14.29"/>
    <col customWidth="1" min="39" max="39" width="65.57"/>
    <col customWidth="1" min="40" max="40" width="62.43"/>
    <col customWidth="1" min="41" max="41" width="25.57"/>
    <col customWidth="1" min="42" max="42" width="32.57"/>
    <col customWidth="1" min="43" max="43" width="22.57"/>
    <col customWidth="1" min="44" max="44" width="35.14"/>
    <col customWidth="1" min="45" max="48" width="15.43"/>
    <col customWidth="1" min="49" max="49" width="19.0"/>
    <col customWidth="1" min="50" max="50" width="21.14"/>
    <col customWidth="1" min="51" max="51" width="13.29"/>
    <col customWidth="1" min="52" max="52" width="18.43"/>
    <col customWidth="1" min="53" max="53" width="29.29"/>
    <col customWidth="1" min="54" max="56" width="9.0"/>
  </cols>
  <sheetData>
    <row r="1" ht="48.75" customHeight="1">
      <c r="A1" s="57"/>
      <c r="B1" s="57"/>
      <c r="C1" s="58" t="s">
        <v>96</v>
      </c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</row>
    <row r="2" ht="30.75" customHeight="1">
      <c r="A2" s="5" t="s">
        <v>1</v>
      </c>
      <c r="B2" s="5" t="s">
        <v>2</v>
      </c>
      <c r="C2" s="5" t="s">
        <v>3</v>
      </c>
      <c r="D2" s="5" t="s">
        <v>4</v>
      </c>
      <c r="E2" s="10" t="s">
        <v>5</v>
      </c>
      <c r="F2" s="10" t="s">
        <v>97</v>
      </c>
      <c r="G2" s="5" t="s">
        <v>7</v>
      </c>
      <c r="H2" s="5" t="s">
        <v>7</v>
      </c>
      <c r="I2" s="5" t="s">
        <v>7</v>
      </c>
      <c r="J2" s="5" t="s">
        <v>8</v>
      </c>
      <c r="K2" s="5" t="s">
        <v>10</v>
      </c>
      <c r="L2" s="5" t="s">
        <v>11</v>
      </c>
      <c r="M2" s="5" t="s">
        <v>12</v>
      </c>
      <c r="N2" s="5" t="s">
        <v>98</v>
      </c>
      <c r="O2" s="5" t="s">
        <v>14</v>
      </c>
      <c r="P2" s="8" t="s">
        <v>15</v>
      </c>
      <c r="Q2" s="9"/>
      <c r="R2" s="8" t="s">
        <v>16</v>
      </c>
      <c r="S2" s="9"/>
      <c r="T2" s="5" t="s">
        <v>17</v>
      </c>
      <c r="U2" s="5" t="s">
        <v>18</v>
      </c>
      <c r="V2" s="5" t="s">
        <v>19</v>
      </c>
      <c r="W2" s="5" t="s">
        <v>20</v>
      </c>
      <c r="X2" s="5" t="s">
        <v>21</v>
      </c>
      <c r="Y2" s="5" t="s">
        <v>22</v>
      </c>
      <c r="Z2" s="5" t="s">
        <v>23</v>
      </c>
      <c r="AA2" s="5" t="s">
        <v>24</v>
      </c>
      <c r="AB2" s="5" t="s">
        <v>23</v>
      </c>
      <c r="AC2" s="5" t="s">
        <v>26</v>
      </c>
      <c r="AD2" s="5" t="s">
        <v>27</v>
      </c>
      <c r="AE2" s="10" t="s">
        <v>28</v>
      </c>
      <c r="AF2" s="5" t="s">
        <v>29</v>
      </c>
      <c r="AG2" s="5" t="s">
        <v>30</v>
      </c>
      <c r="AH2" s="60" t="s">
        <v>31</v>
      </c>
      <c r="AI2" s="10" t="s">
        <v>32</v>
      </c>
      <c r="AJ2" s="5" t="s">
        <v>33</v>
      </c>
      <c r="AK2" s="5" t="s">
        <v>34</v>
      </c>
      <c r="AL2" s="5" t="s">
        <v>35</v>
      </c>
      <c r="AM2" s="5" t="s">
        <v>36</v>
      </c>
      <c r="AN2" s="5" t="s">
        <v>37</v>
      </c>
      <c r="AO2" s="5" t="s">
        <v>38</v>
      </c>
      <c r="AP2" s="5" t="s">
        <v>39</v>
      </c>
      <c r="AQ2" s="10" t="s">
        <v>40</v>
      </c>
      <c r="AR2" s="5" t="s">
        <v>41</v>
      </c>
      <c r="AS2" s="5" t="s">
        <v>42</v>
      </c>
      <c r="AT2" s="5" t="s">
        <v>43</v>
      </c>
      <c r="AU2" s="5" t="s">
        <v>44</v>
      </c>
      <c r="AV2" s="5" t="s">
        <v>45</v>
      </c>
      <c r="AW2" s="10" t="s">
        <v>46</v>
      </c>
      <c r="AX2" s="5" t="s">
        <v>47</v>
      </c>
      <c r="AY2" s="5" t="s">
        <v>48</v>
      </c>
      <c r="AZ2" s="5" t="s">
        <v>49</v>
      </c>
      <c r="BA2" s="5" t="s">
        <v>50</v>
      </c>
    </row>
    <row r="3" ht="19.5" customHeight="1">
      <c r="A3" s="19">
        <v>1.0</v>
      </c>
      <c r="B3" s="15" t="s">
        <v>99</v>
      </c>
      <c r="C3" s="16" t="s">
        <v>100</v>
      </c>
      <c r="D3" s="16" t="s">
        <v>101</v>
      </c>
      <c r="E3" s="19" t="s">
        <v>102</v>
      </c>
      <c r="F3" s="19"/>
      <c r="G3" s="16" t="str">
        <f t="shared" ref="G3:G10" si="1">CONCATENATE(B3,", ",C3," ",E3,".")</f>
        <v>Masing, Joselito A.</v>
      </c>
      <c r="H3" s="16" t="str">
        <f t="shared" ref="H3:H10" si="2">CONCATENATE(C3," ",E3,". ",B3)</f>
        <v>Joselito A. Masing</v>
      </c>
      <c r="I3" s="16" t="str">
        <f t="shared" ref="I3:I10" si="3">CONCATENATE(B3,", ",C3," ",D3)</f>
        <v>Masing, Joselito Ario</v>
      </c>
      <c r="J3" s="19" t="s">
        <v>103</v>
      </c>
      <c r="K3" s="19" t="s">
        <v>104</v>
      </c>
      <c r="L3" s="19" t="s">
        <v>57</v>
      </c>
      <c r="M3" s="19" t="s">
        <v>105</v>
      </c>
      <c r="N3" s="19">
        <v>1.050422129E9</v>
      </c>
      <c r="O3" s="19">
        <v>44685.0</v>
      </c>
      <c r="P3" s="19"/>
      <c r="Q3" s="19"/>
      <c r="R3" s="19"/>
      <c r="S3" s="19"/>
      <c r="T3" s="61">
        <f t="shared" ref="T3:T25" si="4">TODAY()</f>
        <v>46132</v>
      </c>
      <c r="U3" s="19">
        <f t="shared" ref="U3:U26" si="5">DATEDIF(O3,T3,"y")</f>
        <v>3</v>
      </c>
      <c r="V3" s="19">
        <f t="shared" ref="V3:V26" si="6">DATEDIF(O3,T3,"ym")</f>
        <v>11</v>
      </c>
      <c r="W3" s="19">
        <f t="shared" ref="W3:W26" si="7">DATEDIF(O3,T3,"MD")</f>
        <v>16</v>
      </c>
      <c r="X3" s="19">
        <v>44685.0</v>
      </c>
      <c r="Y3" s="19"/>
      <c r="Z3" s="19"/>
      <c r="AA3" s="19"/>
      <c r="AB3" s="19"/>
      <c r="AC3" s="22">
        <f>20586.25+1216.66+1064.59+1520.84</f>
        <v>24388.34</v>
      </c>
      <c r="AD3" s="19"/>
      <c r="AE3" s="22">
        <f t="shared" ref="AE3:AE26" si="8">SUM(AC3:AD3)</f>
        <v>24388.34</v>
      </c>
      <c r="AF3" s="62">
        <f t="shared" ref="AF3:AF7" si="9">AE3*12/365</f>
        <v>801.8084384</v>
      </c>
      <c r="AG3" s="19" t="s">
        <v>59</v>
      </c>
      <c r="AH3" s="24" t="s">
        <v>106</v>
      </c>
      <c r="AI3" s="19" t="s">
        <v>61</v>
      </c>
      <c r="AJ3" s="19" t="s">
        <v>107</v>
      </c>
      <c r="AK3" s="20">
        <v>32106.0</v>
      </c>
      <c r="AL3" s="62">
        <f t="shared" ref="AL3:AL26" si="10">((TODAY()-AK3)/365)</f>
        <v>38.42739726</v>
      </c>
      <c r="AM3" s="26" t="s">
        <v>108</v>
      </c>
      <c r="AN3" s="26"/>
      <c r="AO3" s="19">
        <v>9.062854043E9</v>
      </c>
      <c r="AP3" s="63" t="s">
        <v>109</v>
      </c>
      <c r="AQ3" s="16" t="s">
        <v>110</v>
      </c>
      <c r="AR3" s="16" t="s">
        <v>111</v>
      </c>
      <c r="AS3" s="64" t="s">
        <v>112</v>
      </c>
      <c r="AT3" s="64" t="s">
        <v>113</v>
      </c>
      <c r="AU3" s="64" t="s">
        <v>114</v>
      </c>
      <c r="AV3" s="64" t="s">
        <v>115</v>
      </c>
      <c r="AW3" s="19">
        <v>2.0</v>
      </c>
      <c r="AX3" s="26" t="s">
        <v>116</v>
      </c>
      <c r="AY3" s="19" t="s">
        <v>117</v>
      </c>
      <c r="AZ3" s="19">
        <v>9.16453432E9</v>
      </c>
      <c r="BA3" s="16"/>
    </row>
    <row r="4" ht="14.25" customHeight="1">
      <c r="A4" s="19">
        <f t="shared" ref="A4:A29" si="11">+A3+1</f>
        <v>2</v>
      </c>
      <c r="B4" s="65" t="s">
        <v>118</v>
      </c>
      <c r="C4" s="26" t="s">
        <v>119</v>
      </c>
      <c r="D4" s="26" t="s">
        <v>120</v>
      </c>
      <c r="E4" s="19" t="s">
        <v>54</v>
      </c>
      <c r="F4" s="19"/>
      <c r="G4" s="16" t="str">
        <f t="shared" si="1"/>
        <v>Labitan, Frankie  D.</v>
      </c>
      <c r="H4" s="16" t="str">
        <f t="shared" si="2"/>
        <v>Frankie  D. Labitan</v>
      </c>
      <c r="I4" s="16" t="str">
        <f t="shared" si="3"/>
        <v>Labitan, Frankie  David</v>
      </c>
      <c r="J4" s="19" t="s">
        <v>103</v>
      </c>
      <c r="K4" s="19" t="s">
        <v>104</v>
      </c>
      <c r="L4" s="19" t="s">
        <v>57</v>
      </c>
      <c r="M4" s="19" t="s">
        <v>105</v>
      </c>
      <c r="N4" s="19">
        <v>1.050422235E9</v>
      </c>
      <c r="O4" s="19">
        <v>44685.0</v>
      </c>
      <c r="P4" s="19"/>
      <c r="Q4" s="19"/>
      <c r="R4" s="19"/>
      <c r="S4" s="19"/>
      <c r="T4" s="61">
        <f t="shared" si="4"/>
        <v>46132</v>
      </c>
      <c r="U4" s="19">
        <f t="shared" si="5"/>
        <v>3</v>
      </c>
      <c r="V4" s="19">
        <f t="shared" si="6"/>
        <v>11</v>
      </c>
      <c r="W4" s="19">
        <f t="shared" si="7"/>
        <v>16</v>
      </c>
      <c r="X4" s="19">
        <v>44685.0</v>
      </c>
      <c r="Y4" s="19"/>
      <c r="Z4" s="19"/>
      <c r="AA4" s="19"/>
      <c r="AB4" s="19"/>
      <c r="AC4" s="22">
        <f>19903.75+1216.66+1064.59+1520.84</f>
        <v>23705.84</v>
      </c>
      <c r="AD4" s="19"/>
      <c r="AE4" s="22">
        <f t="shared" si="8"/>
        <v>23705.84</v>
      </c>
      <c r="AF4" s="62">
        <f t="shared" si="9"/>
        <v>779.3700822</v>
      </c>
      <c r="AG4" s="19" t="s">
        <v>59</v>
      </c>
      <c r="AH4" s="24"/>
      <c r="AI4" s="19" t="s">
        <v>61</v>
      </c>
      <c r="AJ4" s="19" t="s">
        <v>107</v>
      </c>
      <c r="AK4" s="20">
        <v>28680.0</v>
      </c>
      <c r="AL4" s="62">
        <f t="shared" si="10"/>
        <v>47.81369863</v>
      </c>
      <c r="AM4" s="26" t="s">
        <v>121</v>
      </c>
      <c r="AN4" s="26"/>
      <c r="AO4" s="19">
        <v>9.566615459E9</v>
      </c>
      <c r="AP4" s="63" t="s">
        <v>122</v>
      </c>
      <c r="AQ4" s="16"/>
      <c r="AR4" s="16" t="s">
        <v>123</v>
      </c>
      <c r="AS4" s="64" t="s">
        <v>124</v>
      </c>
      <c r="AT4" s="64" t="s">
        <v>125</v>
      </c>
      <c r="AU4" s="64" t="s">
        <v>126</v>
      </c>
      <c r="AV4" s="64" t="s">
        <v>127</v>
      </c>
      <c r="AW4" s="19">
        <v>2.0</v>
      </c>
      <c r="AX4" s="26" t="s">
        <v>128</v>
      </c>
      <c r="AY4" s="19" t="s">
        <v>117</v>
      </c>
      <c r="AZ4" s="19">
        <v>9.271640996E9</v>
      </c>
      <c r="BA4" s="16"/>
    </row>
    <row r="5" ht="14.25" customHeight="1">
      <c r="A5" s="19">
        <f t="shared" si="11"/>
        <v>3</v>
      </c>
      <c r="B5" s="15" t="s">
        <v>129</v>
      </c>
      <c r="C5" s="26" t="s">
        <v>130</v>
      </c>
      <c r="D5" s="16" t="s">
        <v>131</v>
      </c>
      <c r="E5" s="19" t="s">
        <v>132</v>
      </c>
      <c r="F5" s="19"/>
      <c r="G5" s="16" t="str">
        <f t="shared" si="1"/>
        <v>Palayar, Meryme C.</v>
      </c>
      <c r="H5" s="16" t="str">
        <f t="shared" si="2"/>
        <v>Meryme C. Palayar</v>
      </c>
      <c r="I5" s="16" t="str">
        <f t="shared" si="3"/>
        <v>Palayar, Meryme Canalita</v>
      </c>
      <c r="J5" s="19" t="s">
        <v>133</v>
      </c>
      <c r="K5" s="19" t="s">
        <v>104</v>
      </c>
      <c r="L5" s="19" t="s">
        <v>57</v>
      </c>
      <c r="M5" s="19" t="s">
        <v>105</v>
      </c>
      <c r="N5" s="19">
        <v>1.050422192E9</v>
      </c>
      <c r="O5" s="19">
        <v>44685.0</v>
      </c>
      <c r="P5" s="19"/>
      <c r="Q5" s="19"/>
      <c r="R5" s="19"/>
      <c r="S5" s="19"/>
      <c r="T5" s="61">
        <f t="shared" si="4"/>
        <v>46132</v>
      </c>
      <c r="U5" s="19">
        <f t="shared" si="5"/>
        <v>3</v>
      </c>
      <c r="V5" s="19">
        <f t="shared" si="6"/>
        <v>11</v>
      </c>
      <c r="W5" s="19">
        <f t="shared" si="7"/>
        <v>16</v>
      </c>
      <c r="X5" s="19">
        <v>44685.0</v>
      </c>
      <c r="Y5" s="19"/>
      <c r="Z5" s="19"/>
      <c r="AA5" s="19"/>
      <c r="AB5" s="19"/>
      <c r="AC5" s="22">
        <f t="shared" ref="AC5:AC6" si="12">17337.5+1216.66+1064.59+1520.84</f>
        <v>21139.59</v>
      </c>
      <c r="AD5" s="19"/>
      <c r="AE5" s="22">
        <f t="shared" si="8"/>
        <v>21139.59</v>
      </c>
      <c r="AF5" s="62">
        <f t="shared" si="9"/>
        <v>695.0002192</v>
      </c>
      <c r="AG5" s="19" t="s">
        <v>59</v>
      </c>
      <c r="AH5" s="24" t="s">
        <v>134</v>
      </c>
      <c r="AI5" s="19" t="s">
        <v>135</v>
      </c>
      <c r="AJ5" s="19" t="s">
        <v>62</v>
      </c>
      <c r="AK5" s="20">
        <v>35806.0</v>
      </c>
      <c r="AL5" s="62">
        <f t="shared" si="10"/>
        <v>28.29041096</v>
      </c>
      <c r="AM5" s="26" t="s">
        <v>136</v>
      </c>
      <c r="AN5" s="26" t="s">
        <v>137</v>
      </c>
      <c r="AO5" s="19">
        <v>9.262330463E9</v>
      </c>
      <c r="AP5" s="63" t="s">
        <v>138</v>
      </c>
      <c r="AQ5" s="16" t="s">
        <v>110</v>
      </c>
      <c r="AR5" s="16" t="s">
        <v>139</v>
      </c>
      <c r="AS5" s="64" t="s">
        <v>140</v>
      </c>
      <c r="AT5" s="64" t="s">
        <v>141</v>
      </c>
      <c r="AU5" s="64" t="s">
        <v>142</v>
      </c>
      <c r="AV5" s="64" t="s">
        <v>143</v>
      </c>
      <c r="AW5" s="19"/>
      <c r="AX5" s="26" t="s">
        <v>144</v>
      </c>
      <c r="AY5" s="19" t="s">
        <v>73</v>
      </c>
      <c r="AZ5" s="19">
        <v>9.071277626E9</v>
      </c>
      <c r="BA5" s="16"/>
    </row>
    <row r="6" ht="14.25" customHeight="1">
      <c r="A6" s="19">
        <f t="shared" si="11"/>
        <v>4</v>
      </c>
      <c r="B6" s="15" t="s">
        <v>145</v>
      </c>
      <c r="C6" s="16" t="s">
        <v>146</v>
      </c>
      <c r="D6" s="16" t="s">
        <v>147</v>
      </c>
      <c r="E6" s="19" t="s">
        <v>77</v>
      </c>
      <c r="F6" s="19"/>
      <c r="G6" s="16" t="str">
        <f t="shared" si="1"/>
        <v>Gloria, Cristine R.</v>
      </c>
      <c r="H6" s="16" t="str">
        <f t="shared" si="2"/>
        <v>Cristine R. Gloria</v>
      </c>
      <c r="I6" s="16" t="str">
        <f t="shared" si="3"/>
        <v>Gloria, Cristine Realon</v>
      </c>
      <c r="J6" s="19" t="s">
        <v>133</v>
      </c>
      <c r="K6" s="19" t="s">
        <v>104</v>
      </c>
      <c r="L6" s="19" t="s">
        <v>57</v>
      </c>
      <c r="M6" s="19" t="s">
        <v>105</v>
      </c>
      <c r="N6" s="19">
        <v>1.050422056E9</v>
      </c>
      <c r="O6" s="19">
        <v>44685.0</v>
      </c>
      <c r="P6" s="19"/>
      <c r="Q6" s="19"/>
      <c r="R6" s="19"/>
      <c r="S6" s="19"/>
      <c r="T6" s="61">
        <f t="shared" si="4"/>
        <v>46132</v>
      </c>
      <c r="U6" s="19">
        <f t="shared" si="5"/>
        <v>3</v>
      </c>
      <c r="V6" s="19">
        <f t="shared" si="6"/>
        <v>11</v>
      </c>
      <c r="W6" s="19">
        <f t="shared" si="7"/>
        <v>16</v>
      </c>
      <c r="X6" s="19">
        <v>44685.0</v>
      </c>
      <c r="Y6" s="19"/>
      <c r="Z6" s="19"/>
      <c r="AA6" s="19"/>
      <c r="AB6" s="19"/>
      <c r="AC6" s="22">
        <f t="shared" si="12"/>
        <v>21139.59</v>
      </c>
      <c r="AD6" s="19"/>
      <c r="AE6" s="22">
        <f t="shared" si="8"/>
        <v>21139.59</v>
      </c>
      <c r="AF6" s="62">
        <f t="shared" si="9"/>
        <v>695.0002192</v>
      </c>
      <c r="AG6" s="19" t="s">
        <v>59</v>
      </c>
      <c r="AH6" s="24" t="s">
        <v>148</v>
      </c>
      <c r="AI6" s="19" t="s">
        <v>135</v>
      </c>
      <c r="AJ6" s="19" t="s">
        <v>62</v>
      </c>
      <c r="AK6" s="20">
        <v>33991.0</v>
      </c>
      <c r="AL6" s="62">
        <f t="shared" si="10"/>
        <v>33.2630137</v>
      </c>
      <c r="AM6" s="26" t="s">
        <v>149</v>
      </c>
      <c r="AN6" s="26" t="s">
        <v>150</v>
      </c>
      <c r="AO6" s="19">
        <v>9.673124657E9</v>
      </c>
      <c r="AP6" s="63" t="s">
        <v>151</v>
      </c>
      <c r="AQ6" s="16"/>
      <c r="AR6" s="16"/>
      <c r="AS6" s="64" t="s">
        <v>152</v>
      </c>
      <c r="AT6" s="64" t="s">
        <v>153</v>
      </c>
      <c r="AU6" s="64" t="s">
        <v>154</v>
      </c>
      <c r="AV6" s="64" t="s">
        <v>155</v>
      </c>
      <c r="AW6" s="19"/>
      <c r="AX6" s="26" t="s">
        <v>156</v>
      </c>
      <c r="AY6" s="19" t="s">
        <v>73</v>
      </c>
      <c r="AZ6" s="19">
        <v>9.565278272E9</v>
      </c>
      <c r="BA6" s="16"/>
    </row>
    <row r="7" ht="14.25" customHeight="1">
      <c r="A7" s="19">
        <f t="shared" si="11"/>
        <v>5</v>
      </c>
      <c r="B7" s="15" t="s">
        <v>157</v>
      </c>
      <c r="C7" s="16" t="s">
        <v>158</v>
      </c>
      <c r="D7" s="16" t="s">
        <v>159</v>
      </c>
      <c r="E7" s="19" t="s">
        <v>102</v>
      </c>
      <c r="F7" s="19"/>
      <c r="G7" s="16" t="str">
        <f t="shared" si="1"/>
        <v>Branzuela, Arnel A.</v>
      </c>
      <c r="H7" s="16" t="str">
        <f t="shared" si="2"/>
        <v>Arnel A. Branzuela</v>
      </c>
      <c r="I7" s="16" t="str">
        <f t="shared" si="3"/>
        <v>Branzuela, Arnel Alcantara</v>
      </c>
      <c r="J7" s="19" t="s">
        <v>160</v>
      </c>
      <c r="K7" s="19" t="s">
        <v>161</v>
      </c>
      <c r="L7" s="19" t="s">
        <v>57</v>
      </c>
      <c r="M7" s="19" t="s">
        <v>105</v>
      </c>
      <c r="N7" s="19">
        <v>1.050422039E9</v>
      </c>
      <c r="O7" s="19">
        <v>44685.0</v>
      </c>
      <c r="P7" s="19"/>
      <c r="Q7" s="19"/>
      <c r="R7" s="19"/>
      <c r="S7" s="19"/>
      <c r="T7" s="61">
        <f t="shared" si="4"/>
        <v>46132</v>
      </c>
      <c r="U7" s="19">
        <f t="shared" si="5"/>
        <v>3</v>
      </c>
      <c r="V7" s="19">
        <f t="shared" si="6"/>
        <v>11</v>
      </c>
      <c r="W7" s="19">
        <f t="shared" si="7"/>
        <v>16</v>
      </c>
      <c r="X7" s="19">
        <v>44685.0</v>
      </c>
      <c r="Y7" s="19"/>
      <c r="Z7" s="19"/>
      <c r="AA7" s="19"/>
      <c r="AB7" s="19"/>
      <c r="AC7" s="22">
        <f>18403.75+1216.66+1064.59+1520.84</f>
        <v>22205.84</v>
      </c>
      <c r="AD7" s="19"/>
      <c r="AE7" s="22">
        <f t="shared" si="8"/>
        <v>22205.84</v>
      </c>
      <c r="AF7" s="62">
        <f t="shared" si="9"/>
        <v>730.0550137</v>
      </c>
      <c r="AG7" s="19" t="s">
        <v>59</v>
      </c>
      <c r="AH7" s="24" t="s">
        <v>162</v>
      </c>
      <c r="AI7" s="19" t="s">
        <v>61</v>
      </c>
      <c r="AJ7" s="19" t="s">
        <v>107</v>
      </c>
      <c r="AK7" s="20">
        <v>26106.0</v>
      </c>
      <c r="AL7" s="62">
        <f t="shared" si="10"/>
        <v>54.86575342</v>
      </c>
      <c r="AM7" s="26" t="s">
        <v>163</v>
      </c>
      <c r="AN7" s="26"/>
      <c r="AO7" s="66">
        <v>9.368988368E9</v>
      </c>
      <c r="AP7" s="67" t="s">
        <v>164</v>
      </c>
      <c r="AQ7" s="16" t="s">
        <v>165</v>
      </c>
      <c r="AR7" s="16" t="s">
        <v>166</v>
      </c>
      <c r="AS7" s="64" t="s">
        <v>167</v>
      </c>
      <c r="AT7" s="64" t="s">
        <v>168</v>
      </c>
      <c r="AU7" s="64" t="s">
        <v>169</v>
      </c>
      <c r="AV7" s="64" t="s">
        <v>170</v>
      </c>
      <c r="AW7" s="19"/>
      <c r="AX7" s="26" t="s">
        <v>171</v>
      </c>
      <c r="AY7" s="19" t="s">
        <v>172</v>
      </c>
      <c r="AZ7" s="68">
        <v>9.264712457E9</v>
      </c>
      <c r="BA7" s="16"/>
    </row>
    <row r="8" ht="14.25" customHeight="1">
      <c r="A8" s="19">
        <f t="shared" si="11"/>
        <v>6</v>
      </c>
      <c r="B8" s="15" t="s">
        <v>173</v>
      </c>
      <c r="C8" s="16" t="s">
        <v>174</v>
      </c>
      <c r="D8" s="16" t="s">
        <v>175</v>
      </c>
      <c r="E8" s="19" t="s">
        <v>77</v>
      </c>
      <c r="F8" s="19"/>
      <c r="G8" s="16" t="str">
        <f t="shared" si="1"/>
        <v>San Juan, Nilo R.</v>
      </c>
      <c r="H8" s="16" t="str">
        <f t="shared" si="2"/>
        <v>Nilo R. San Juan</v>
      </c>
      <c r="I8" s="16" t="str">
        <f t="shared" si="3"/>
        <v>San Juan, Nilo Roja</v>
      </c>
      <c r="J8" s="19" t="s">
        <v>176</v>
      </c>
      <c r="K8" s="19" t="s">
        <v>177</v>
      </c>
      <c r="L8" s="19" t="s">
        <v>57</v>
      </c>
      <c r="M8" s="19" t="s">
        <v>105</v>
      </c>
      <c r="N8" s="19">
        <v>1.050422193E9</v>
      </c>
      <c r="O8" s="19">
        <v>44685.0</v>
      </c>
      <c r="P8" s="19"/>
      <c r="Q8" s="19"/>
      <c r="R8" s="19"/>
      <c r="S8" s="19"/>
      <c r="T8" s="61">
        <f t="shared" si="4"/>
        <v>46132</v>
      </c>
      <c r="U8" s="19">
        <f t="shared" si="5"/>
        <v>3</v>
      </c>
      <c r="V8" s="19">
        <f t="shared" si="6"/>
        <v>11</v>
      </c>
      <c r="W8" s="19">
        <f t="shared" si="7"/>
        <v>16</v>
      </c>
      <c r="X8" s="19">
        <v>44685.0</v>
      </c>
      <c r="Y8" s="19"/>
      <c r="Z8" s="19"/>
      <c r="AA8" s="19"/>
      <c r="AB8" s="19"/>
      <c r="AC8" s="22">
        <f>14867.5+1043.33+912.92+1304.18</f>
        <v>18127.93</v>
      </c>
      <c r="AD8" s="19"/>
      <c r="AE8" s="22">
        <f t="shared" si="8"/>
        <v>18127.93</v>
      </c>
      <c r="AF8" s="62">
        <f>AE8*12/313</f>
        <v>695.0005112</v>
      </c>
      <c r="AG8" s="19" t="s">
        <v>178</v>
      </c>
      <c r="AH8" s="24" t="s">
        <v>179</v>
      </c>
      <c r="AI8" s="19" t="s">
        <v>61</v>
      </c>
      <c r="AJ8" s="19" t="s">
        <v>107</v>
      </c>
      <c r="AK8" s="20">
        <v>25710.0</v>
      </c>
      <c r="AL8" s="62">
        <f t="shared" si="10"/>
        <v>55.95068493</v>
      </c>
      <c r="AM8" s="26" t="s">
        <v>180</v>
      </c>
      <c r="AN8" s="26" t="s">
        <v>181</v>
      </c>
      <c r="AO8" s="42">
        <v>9.267434E8</v>
      </c>
      <c r="AP8" s="16"/>
      <c r="AQ8" s="16"/>
      <c r="AR8" s="16"/>
      <c r="AS8" s="64" t="s">
        <v>182</v>
      </c>
      <c r="AT8" s="69" t="s">
        <v>183</v>
      </c>
      <c r="AU8" s="70" t="s">
        <v>184</v>
      </c>
      <c r="AV8" s="64" t="s">
        <v>185</v>
      </c>
      <c r="AW8" s="19"/>
      <c r="AX8" s="26" t="s">
        <v>186</v>
      </c>
      <c r="AY8" s="19" t="s">
        <v>117</v>
      </c>
      <c r="AZ8" s="19">
        <v>9.567789551E9</v>
      </c>
      <c r="BA8" s="16"/>
    </row>
    <row r="9" ht="15.0" customHeight="1">
      <c r="A9" s="19">
        <f t="shared" si="11"/>
        <v>7</v>
      </c>
      <c r="B9" s="15" t="s">
        <v>187</v>
      </c>
      <c r="C9" s="16" t="s">
        <v>188</v>
      </c>
      <c r="D9" s="16" t="s">
        <v>189</v>
      </c>
      <c r="E9" s="19" t="s">
        <v>87</v>
      </c>
      <c r="F9" s="19"/>
      <c r="G9" s="16" t="str">
        <f t="shared" si="1"/>
        <v>Dungo, Marvin L.</v>
      </c>
      <c r="H9" s="16" t="str">
        <f t="shared" si="2"/>
        <v>Marvin L. Dungo</v>
      </c>
      <c r="I9" s="16" t="str">
        <f t="shared" si="3"/>
        <v>Dungo, Marvin Lising</v>
      </c>
      <c r="J9" s="19" t="s">
        <v>190</v>
      </c>
      <c r="K9" s="19" t="s">
        <v>191</v>
      </c>
      <c r="L9" s="19" t="s">
        <v>57</v>
      </c>
      <c r="M9" s="19" t="s">
        <v>105</v>
      </c>
      <c r="N9" s="19">
        <v>1.050422048E9</v>
      </c>
      <c r="O9" s="19">
        <v>44685.0</v>
      </c>
      <c r="P9" s="19"/>
      <c r="Q9" s="19"/>
      <c r="R9" s="19"/>
      <c r="S9" s="19"/>
      <c r="T9" s="61">
        <f t="shared" si="4"/>
        <v>46132</v>
      </c>
      <c r="U9" s="19">
        <f t="shared" si="5"/>
        <v>3</v>
      </c>
      <c r="V9" s="19">
        <f t="shared" si="6"/>
        <v>11</v>
      </c>
      <c r="W9" s="19">
        <f t="shared" si="7"/>
        <v>16</v>
      </c>
      <c r="X9" s="19">
        <v>44685.0</v>
      </c>
      <c r="Y9" s="19"/>
      <c r="Z9" s="19"/>
      <c r="AA9" s="19"/>
      <c r="AB9" s="19"/>
      <c r="AC9" s="22">
        <f>18503.75+1216.66+1064.59+1520.84</f>
        <v>22305.84</v>
      </c>
      <c r="AD9" s="19"/>
      <c r="AE9" s="22">
        <f t="shared" si="8"/>
        <v>22305.84</v>
      </c>
      <c r="AF9" s="62">
        <f t="shared" ref="AF9:AF10" si="13">AE9*12/365</f>
        <v>733.3426849</v>
      </c>
      <c r="AG9" s="19" t="s">
        <v>59</v>
      </c>
      <c r="AH9" s="24" t="s">
        <v>192</v>
      </c>
      <c r="AI9" s="19" t="s">
        <v>61</v>
      </c>
      <c r="AJ9" s="19" t="s">
        <v>107</v>
      </c>
      <c r="AK9" s="20">
        <v>29801.0</v>
      </c>
      <c r="AL9" s="62">
        <f t="shared" si="10"/>
        <v>44.74246575</v>
      </c>
      <c r="AM9" s="26" t="s">
        <v>193</v>
      </c>
      <c r="AN9" s="26" t="s">
        <v>194</v>
      </c>
      <c r="AO9" s="71">
        <v>9.392721474E9</v>
      </c>
      <c r="AP9" s="63" t="s">
        <v>195</v>
      </c>
      <c r="AQ9" s="16" t="s">
        <v>165</v>
      </c>
      <c r="AR9" s="16" t="s">
        <v>196</v>
      </c>
      <c r="AS9" s="64" t="s">
        <v>197</v>
      </c>
      <c r="AT9" s="64" t="s">
        <v>198</v>
      </c>
      <c r="AU9" s="64" t="s">
        <v>199</v>
      </c>
      <c r="AV9" s="64" t="s">
        <v>200</v>
      </c>
      <c r="AW9" s="19"/>
      <c r="AX9" s="26" t="s">
        <v>201</v>
      </c>
      <c r="AY9" s="19" t="s">
        <v>117</v>
      </c>
      <c r="AZ9" s="19">
        <v>9.202330594E9</v>
      </c>
      <c r="BA9" s="16"/>
    </row>
    <row r="10" ht="14.25" customHeight="1">
      <c r="A10" s="19">
        <f t="shared" si="11"/>
        <v>8</v>
      </c>
      <c r="B10" s="15" t="s">
        <v>202</v>
      </c>
      <c r="C10" s="16" t="s">
        <v>203</v>
      </c>
      <c r="D10" s="16" t="s">
        <v>204</v>
      </c>
      <c r="E10" s="19" t="s">
        <v>87</v>
      </c>
      <c r="F10" s="19"/>
      <c r="G10" s="16" t="str">
        <f t="shared" si="1"/>
        <v>Molina, Andy L.</v>
      </c>
      <c r="H10" s="16" t="str">
        <f t="shared" si="2"/>
        <v>Andy L. Molina</v>
      </c>
      <c r="I10" s="16" t="str">
        <f t="shared" si="3"/>
        <v>Molina, Andy Lamadrid</v>
      </c>
      <c r="J10" s="19" t="s">
        <v>82</v>
      </c>
      <c r="K10" s="19" t="s">
        <v>191</v>
      </c>
      <c r="L10" s="19" t="s">
        <v>57</v>
      </c>
      <c r="M10" s="19" t="s">
        <v>105</v>
      </c>
      <c r="N10" s="19">
        <v>1.051322244E9</v>
      </c>
      <c r="O10" s="19">
        <v>44694.0</v>
      </c>
      <c r="P10" s="19">
        <v>44678.0</v>
      </c>
      <c r="Q10" s="19">
        <v>44693.0</v>
      </c>
      <c r="R10" s="19">
        <v>44694.0</v>
      </c>
      <c r="S10" s="19">
        <v>44877.0</v>
      </c>
      <c r="T10" s="61">
        <f t="shared" si="4"/>
        <v>46132</v>
      </c>
      <c r="U10" s="19">
        <f t="shared" si="5"/>
        <v>3</v>
      </c>
      <c r="V10" s="19">
        <f t="shared" si="6"/>
        <v>11</v>
      </c>
      <c r="W10" s="19">
        <f t="shared" si="7"/>
        <v>7</v>
      </c>
      <c r="X10" s="19">
        <v>44878.0</v>
      </c>
      <c r="Y10" s="19"/>
      <c r="Z10" s="19"/>
      <c r="AA10" s="19"/>
      <c r="AB10" s="19"/>
      <c r="AC10" s="22">
        <f>14867.5+1043.33+912.92+2795+1520.84</f>
        <v>21139.59</v>
      </c>
      <c r="AD10" s="19"/>
      <c r="AE10" s="22">
        <f t="shared" si="8"/>
        <v>21139.59</v>
      </c>
      <c r="AF10" s="62">
        <f t="shared" si="13"/>
        <v>695.0002192</v>
      </c>
      <c r="AG10" s="19" t="s">
        <v>59</v>
      </c>
      <c r="AH10" s="24"/>
      <c r="AI10" s="19" t="s">
        <v>61</v>
      </c>
      <c r="AJ10" s="19" t="s">
        <v>62</v>
      </c>
      <c r="AK10" s="20">
        <v>34955.0</v>
      </c>
      <c r="AL10" s="62">
        <f t="shared" si="10"/>
        <v>30.62191781</v>
      </c>
      <c r="AM10" s="26" t="s">
        <v>205</v>
      </c>
      <c r="AN10" s="26" t="s">
        <v>206</v>
      </c>
      <c r="AO10" s="19">
        <v>9.294169301E9</v>
      </c>
      <c r="AP10" s="63" t="s">
        <v>207</v>
      </c>
      <c r="AQ10" s="16" t="s">
        <v>110</v>
      </c>
      <c r="AR10" s="16" t="s">
        <v>139</v>
      </c>
      <c r="AS10" s="64" t="s">
        <v>208</v>
      </c>
      <c r="AT10" s="64" t="s">
        <v>209</v>
      </c>
      <c r="AU10" s="64" t="s">
        <v>210</v>
      </c>
      <c r="AV10" s="64" t="s">
        <v>211</v>
      </c>
      <c r="AW10" s="16"/>
      <c r="AX10" s="26" t="s">
        <v>212</v>
      </c>
      <c r="AY10" s="19" t="s">
        <v>213</v>
      </c>
      <c r="AZ10" s="19">
        <v>9.153545801E9</v>
      </c>
      <c r="BA10" s="16"/>
    </row>
    <row r="11" ht="14.25" customHeight="1">
      <c r="A11" s="19">
        <f t="shared" si="11"/>
        <v>9</v>
      </c>
      <c r="B11" s="15" t="s">
        <v>214</v>
      </c>
      <c r="C11" s="16" t="s">
        <v>215</v>
      </c>
      <c r="D11" s="16" t="s">
        <v>216</v>
      </c>
      <c r="E11" s="19" t="s">
        <v>217</v>
      </c>
      <c r="F11" s="19"/>
      <c r="G11" s="16" t="str">
        <f t="shared" ref="G11:G18" si="14">CONCATENATE(B11," ",F11,", ",C11," ",E11,".")</f>
        <v>Hilario , Manuel M.</v>
      </c>
      <c r="H11" s="16" t="str">
        <f t="shared" ref="H11:H18" si="15">CONCATENATE(C11," ",E11,". ",B11," ",F11)</f>
        <v>Manuel M. Hilario </v>
      </c>
      <c r="I11" s="16" t="str">
        <f t="shared" ref="I11:I18" si="16">CONCATENATE(B11," ",F11,", ",C11," ",D11)</f>
        <v>Hilario , Manuel Marasigan</v>
      </c>
      <c r="J11" s="19" t="s">
        <v>218</v>
      </c>
      <c r="K11" s="19" t="s">
        <v>161</v>
      </c>
      <c r="L11" s="19" t="s">
        <v>57</v>
      </c>
      <c r="M11" s="19" t="s">
        <v>105</v>
      </c>
      <c r="N11" s="19">
        <v>1.030924292E9</v>
      </c>
      <c r="O11" s="19">
        <v>45360.0</v>
      </c>
      <c r="P11" s="19">
        <v>45344.0</v>
      </c>
      <c r="Q11" s="19">
        <v>45359.0</v>
      </c>
      <c r="R11" s="19">
        <v>45360.0</v>
      </c>
      <c r="S11" s="61">
        <f t="shared" ref="S11:S15" si="17">EDATE(R11-1,6)</f>
        <v>45543</v>
      </c>
      <c r="T11" s="61">
        <f t="shared" si="4"/>
        <v>46132</v>
      </c>
      <c r="U11" s="19">
        <f t="shared" si="5"/>
        <v>2</v>
      </c>
      <c r="V11" s="19">
        <f t="shared" si="6"/>
        <v>1</v>
      </c>
      <c r="W11" s="19">
        <f t="shared" si="7"/>
        <v>11</v>
      </c>
      <c r="X11" s="61">
        <f t="shared" ref="X11:X26" si="18">EDATE(R11,6)</f>
        <v>45544</v>
      </c>
      <c r="Y11" s="26" t="s">
        <v>219</v>
      </c>
      <c r="Z11" s="19"/>
      <c r="AA11" s="19"/>
      <c r="AB11" s="19"/>
      <c r="AC11" s="22">
        <f t="shared" ref="AC11:AC18" si="19">14867.5+1043.33+912.92+1304.18</f>
        <v>18127.93</v>
      </c>
      <c r="AD11" s="19"/>
      <c r="AE11" s="22">
        <f t="shared" si="8"/>
        <v>18127.93</v>
      </c>
      <c r="AF11" s="62">
        <f t="shared" ref="AF11:AF21" si="20">AE11*12/313</f>
        <v>695.0005112</v>
      </c>
      <c r="AG11" s="19" t="s">
        <v>178</v>
      </c>
      <c r="AH11" s="24"/>
      <c r="AI11" s="19" t="s">
        <v>61</v>
      </c>
      <c r="AJ11" s="19" t="s">
        <v>220</v>
      </c>
      <c r="AK11" s="20">
        <v>35994.0</v>
      </c>
      <c r="AL11" s="62">
        <f t="shared" si="10"/>
        <v>27.77534247</v>
      </c>
      <c r="AM11" s="26" t="s">
        <v>221</v>
      </c>
      <c r="AN11" s="26"/>
      <c r="AO11" s="19">
        <v>9.942184807E9</v>
      </c>
      <c r="AP11" s="67" t="s">
        <v>222</v>
      </c>
      <c r="AQ11" s="16" t="s">
        <v>223</v>
      </c>
      <c r="AR11" s="16"/>
      <c r="AS11" s="64" t="s">
        <v>224</v>
      </c>
      <c r="AT11" s="64" t="s">
        <v>225</v>
      </c>
      <c r="AU11" s="64" t="s">
        <v>226</v>
      </c>
      <c r="AV11" s="64" t="s">
        <v>227</v>
      </c>
      <c r="AW11" s="16"/>
      <c r="AX11" s="16"/>
      <c r="AY11" s="19"/>
      <c r="AZ11" s="19"/>
      <c r="BA11" s="16"/>
    </row>
    <row r="12" ht="14.25" customHeight="1">
      <c r="A12" s="19">
        <f t="shared" si="11"/>
        <v>10</v>
      </c>
      <c r="B12" s="15" t="s">
        <v>228</v>
      </c>
      <c r="C12" s="16" t="s">
        <v>229</v>
      </c>
      <c r="D12" s="16" t="s">
        <v>230</v>
      </c>
      <c r="E12" s="19" t="s">
        <v>132</v>
      </c>
      <c r="F12" s="19" t="s">
        <v>231</v>
      </c>
      <c r="G12" s="16" t="str">
        <f t="shared" si="14"/>
        <v>Cortado Jr., George  C.</v>
      </c>
      <c r="H12" s="16" t="str">
        <f t="shared" si="15"/>
        <v>George  C. Cortado Jr.</v>
      </c>
      <c r="I12" s="16" t="str">
        <f t="shared" si="16"/>
        <v>Cortado Jr., George  Calatrava</v>
      </c>
      <c r="J12" s="19" t="s">
        <v>82</v>
      </c>
      <c r="K12" s="19" t="s">
        <v>191</v>
      </c>
      <c r="L12" s="19" t="s">
        <v>57</v>
      </c>
      <c r="M12" s="19" t="s">
        <v>105</v>
      </c>
      <c r="N12" s="19">
        <v>1.032924293E9</v>
      </c>
      <c r="O12" s="20">
        <v>45380.0</v>
      </c>
      <c r="P12" s="19">
        <v>45364.0</v>
      </c>
      <c r="Q12" s="19">
        <v>45379.0</v>
      </c>
      <c r="R12" s="19">
        <v>45380.0</v>
      </c>
      <c r="S12" s="61">
        <f t="shared" si="17"/>
        <v>45563</v>
      </c>
      <c r="T12" s="61">
        <f t="shared" si="4"/>
        <v>46132</v>
      </c>
      <c r="U12" s="19">
        <f t="shared" si="5"/>
        <v>2</v>
      </c>
      <c r="V12" s="19">
        <f t="shared" si="6"/>
        <v>0</v>
      </c>
      <c r="W12" s="19">
        <f t="shared" si="7"/>
        <v>22</v>
      </c>
      <c r="X12" s="61">
        <f t="shared" si="18"/>
        <v>45564</v>
      </c>
      <c r="Y12" s="26" t="s">
        <v>82</v>
      </c>
      <c r="Z12" s="19"/>
      <c r="AA12" s="19"/>
      <c r="AB12" s="19"/>
      <c r="AC12" s="22">
        <f t="shared" si="19"/>
        <v>18127.93</v>
      </c>
      <c r="AD12" s="19"/>
      <c r="AE12" s="22">
        <f t="shared" si="8"/>
        <v>18127.93</v>
      </c>
      <c r="AF12" s="62">
        <f t="shared" si="20"/>
        <v>695.0005112</v>
      </c>
      <c r="AG12" s="19" t="s">
        <v>178</v>
      </c>
      <c r="AH12" s="24"/>
      <c r="AI12" s="19" t="s">
        <v>61</v>
      </c>
      <c r="AJ12" s="19" t="s">
        <v>62</v>
      </c>
      <c r="AK12" s="20">
        <v>36780.0</v>
      </c>
      <c r="AL12" s="62">
        <f t="shared" si="10"/>
        <v>25.62191781</v>
      </c>
      <c r="AM12" s="26" t="s">
        <v>232</v>
      </c>
      <c r="AN12" s="26" t="s">
        <v>233</v>
      </c>
      <c r="AO12" s="19">
        <v>9.511306796E9</v>
      </c>
      <c r="AP12" s="67" t="s">
        <v>234</v>
      </c>
      <c r="AQ12" s="16" t="s">
        <v>235</v>
      </c>
      <c r="AR12" s="16" t="s">
        <v>236</v>
      </c>
      <c r="AS12" s="64" t="s">
        <v>237</v>
      </c>
      <c r="AT12" s="64" t="s">
        <v>238</v>
      </c>
      <c r="AU12" s="64" t="s">
        <v>239</v>
      </c>
      <c r="AV12" s="64" t="s">
        <v>240</v>
      </c>
      <c r="AW12" s="16"/>
      <c r="AX12" s="16" t="s">
        <v>241</v>
      </c>
      <c r="AY12" s="19" t="s">
        <v>73</v>
      </c>
      <c r="AZ12" s="19">
        <v>9.276686626E9</v>
      </c>
      <c r="BA12" s="16"/>
    </row>
    <row r="13" ht="14.25" customHeight="1">
      <c r="A13" s="19">
        <f t="shared" si="11"/>
        <v>11</v>
      </c>
      <c r="B13" s="15" t="s">
        <v>242</v>
      </c>
      <c r="C13" s="16" t="s">
        <v>243</v>
      </c>
      <c r="D13" s="16" t="s">
        <v>244</v>
      </c>
      <c r="E13" s="19" t="s">
        <v>54</v>
      </c>
      <c r="F13" s="19" t="s">
        <v>231</v>
      </c>
      <c r="G13" s="16" t="str">
        <f t="shared" si="14"/>
        <v>Salangsang Jr., Roberto D.</v>
      </c>
      <c r="H13" s="16" t="str">
        <f t="shared" si="15"/>
        <v>Roberto D. Salangsang Jr.</v>
      </c>
      <c r="I13" s="16" t="str">
        <f t="shared" si="16"/>
        <v>Salangsang Jr., Roberto De Mesa</v>
      </c>
      <c r="J13" s="19" t="s">
        <v>82</v>
      </c>
      <c r="K13" s="19" t="s">
        <v>191</v>
      </c>
      <c r="L13" s="19" t="s">
        <v>57</v>
      </c>
      <c r="M13" s="19" t="s">
        <v>105</v>
      </c>
      <c r="N13" s="19">
        <v>1.060924296E9</v>
      </c>
      <c r="O13" s="20">
        <v>45452.0</v>
      </c>
      <c r="P13" s="19">
        <v>45436.0</v>
      </c>
      <c r="Q13" s="19">
        <v>45451.0</v>
      </c>
      <c r="R13" s="19">
        <v>45452.0</v>
      </c>
      <c r="S13" s="61">
        <f t="shared" si="17"/>
        <v>45634</v>
      </c>
      <c r="T13" s="61">
        <f t="shared" si="4"/>
        <v>46132</v>
      </c>
      <c r="U13" s="19">
        <f t="shared" si="5"/>
        <v>1</v>
      </c>
      <c r="V13" s="19">
        <f t="shared" si="6"/>
        <v>10</v>
      </c>
      <c r="W13" s="19">
        <f t="shared" si="7"/>
        <v>11</v>
      </c>
      <c r="X13" s="61">
        <f t="shared" si="18"/>
        <v>45635</v>
      </c>
      <c r="Y13" s="26" t="s">
        <v>82</v>
      </c>
      <c r="Z13" s="19"/>
      <c r="AA13" s="19"/>
      <c r="AB13" s="19"/>
      <c r="AC13" s="22">
        <f t="shared" si="19"/>
        <v>18127.93</v>
      </c>
      <c r="AD13" s="19"/>
      <c r="AE13" s="22">
        <f t="shared" si="8"/>
        <v>18127.93</v>
      </c>
      <c r="AF13" s="62">
        <f t="shared" si="20"/>
        <v>695.0005112</v>
      </c>
      <c r="AG13" s="19" t="s">
        <v>178</v>
      </c>
      <c r="AH13" s="24"/>
      <c r="AI13" s="19" t="s">
        <v>61</v>
      </c>
      <c r="AJ13" s="19" t="s">
        <v>62</v>
      </c>
      <c r="AK13" s="20">
        <v>36146.0</v>
      </c>
      <c r="AL13" s="62">
        <f t="shared" si="10"/>
        <v>27.35890411</v>
      </c>
      <c r="AM13" s="26" t="s">
        <v>245</v>
      </c>
      <c r="AN13" s="26"/>
      <c r="AO13" s="19">
        <v>9.485322863E9</v>
      </c>
      <c r="AP13" s="67" t="s">
        <v>246</v>
      </c>
      <c r="AQ13" s="16" t="s">
        <v>247</v>
      </c>
      <c r="AR13" s="26" t="s">
        <v>248</v>
      </c>
      <c r="AS13" s="64" t="s">
        <v>249</v>
      </c>
      <c r="AT13" s="64" t="s">
        <v>250</v>
      </c>
      <c r="AU13" s="64" t="s">
        <v>251</v>
      </c>
      <c r="AV13" s="64" t="s">
        <v>252</v>
      </c>
      <c r="AW13" s="16"/>
      <c r="AX13" s="16" t="s">
        <v>253</v>
      </c>
      <c r="AY13" s="19" t="s">
        <v>73</v>
      </c>
      <c r="AZ13" s="19">
        <v>9.20722342E9</v>
      </c>
      <c r="BA13" s="16"/>
    </row>
    <row r="14" ht="14.25" customHeight="1">
      <c r="A14" s="19">
        <f t="shared" si="11"/>
        <v>12</v>
      </c>
      <c r="B14" s="15" t="s">
        <v>254</v>
      </c>
      <c r="C14" s="16" t="s">
        <v>255</v>
      </c>
      <c r="D14" s="16" t="s">
        <v>256</v>
      </c>
      <c r="E14" s="19" t="s">
        <v>257</v>
      </c>
      <c r="F14" s="19"/>
      <c r="G14" s="16" t="str">
        <f t="shared" si="14"/>
        <v>Lontayao , June Rey J.</v>
      </c>
      <c r="H14" s="16" t="str">
        <f t="shared" si="15"/>
        <v>June Rey J. Lontayao </v>
      </c>
      <c r="I14" s="16" t="str">
        <f t="shared" si="16"/>
        <v>Lontayao , June Rey Jaudian</v>
      </c>
      <c r="J14" s="19" t="s">
        <v>82</v>
      </c>
      <c r="K14" s="19" t="s">
        <v>191</v>
      </c>
      <c r="L14" s="19" t="s">
        <v>57</v>
      </c>
      <c r="M14" s="19" t="s">
        <v>105</v>
      </c>
      <c r="N14" s="19">
        <v>1.082324301E9</v>
      </c>
      <c r="O14" s="20">
        <v>45527.0</v>
      </c>
      <c r="P14" s="19">
        <v>45511.0</v>
      </c>
      <c r="Q14" s="19">
        <v>45526.0</v>
      </c>
      <c r="R14" s="19">
        <v>45527.0</v>
      </c>
      <c r="S14" s="72">
        <f t="shared" si="17"/>
        <v>45710</v>
      </c>
      <c r="T14" s="61">
        <f t="shared" si="4"/>
        <v>46132</v>
      </c>
      <c r="U14" s="19">
        <f t="shared" si="5"/>
        <v>1</v>
      </c>
      <c r="V14" s="19">
        <f t="shared" si="6"/>
        <v>7</v>
      </c>
      <c r="W14" s="19">
        <f t="shared" si="7"/>
        <v>28</v>
      </c>
      <c r="X14" s="61">
        <f t="shared" si="18"/>
        <v>45711</v>
      </c>
      <c r="Y14" s="26" t="s">
        <v>82</v>
      </c>
      <c r="Z14" s="19"/>
      <c r="AA14" s="19"/>
      <c r="AB14" s="19"/>
      <c r="AC14" s="22">
        <f t="shared" si="19"/>
        <v>18127.93</v>
      </c>
      <c r="AD14" s="19"/>
      <c r="AE14" s="22">
        <f t="shared" si="8"/>
        <v>18127.93</v>
      </c>
      <c r="AF14" s="62">
        <f t="shared" si="20"/>
        <v>695.0005112</v>
      </c>
      <c r="AG14" s="19" t="s">
        <v>178</v>
      </c>
      <c r="AH14" s="24"/>
      <c r="AI14" s="19" t="s">
        <v>61</v>
      </c>
      <c r="AJ14" s="19" t="s">
        <v>62</v>
      </c>
      <c r="AK14" s="20">
        <v>36314.0</v>
      </c>
      <c r="AL14" s="62">
        <f t="shared" si="10"/>
        <v>26.89863014</v>
      </c>
      <c r="AM14" s="26" t="s">
        <v>258</v>
      </c>
      <c r="AN14" s="26" t="s">
        <v>259</v>
      </c>
      <c r="AO14" s="19">
        <v>9.979078167E9</v>
      </c>
      <c r="AP14" s="67" t="s">
        <v>260</v>
      </c>
      <c r="AQ14" s="16" t="s">
        <v>223</v>
      </c>
      <c r="AR14" s="26"/>
      <c r="AS14" s="64" t="s">
        <v>261</v>
      </c>
      <c r="AT14" s="64" t="s">
        <v>262</v>
      </c>
      <c r="AU14" s="64" t="s">
        <v>263</v>
      </c>
      <c r="AV14" s="64" t="s">
        <v>264</v>
      </c>
      <c r="AW14" s="16"/>
      <c r="AX14" s="16" t="s">
        <v>265</v>
      </c>
      <c r="AY14" s="19" t="s">
        <v>266</v>
      </c>
      <c r="AZ14" s="19">
        <v>9.919132851E9</v>
      </c>
      <c r="BA14" s="16"/>
    </row>
    <row r="15" ht="14.25" customHeight="1">
      <c r="A15" s="19">
        <f t="shared" si="11"/>
        <v>13</v>
      </c>
      <c r="B15" s="15" t="s">
        <v>267</v>
      </c>
      <c r="C15" s="16" t="s">
        <v>268</v>
      </c>
      <c r="D15" s="16" t="s">
        <v>76</v>
      </c>
      <c r="E15" s="19" t="s">
        <v>77</v>
      </c>
      <c r="F15" s="19"/>
      <c r="G15" s="16" t="str">
        <f t="shared" si="14"/>
        <v>Pornillos , Emman R.</v>
      </c>
      <c r="H15" s="16" t="str">
        <f t="shared" si="15"/>
        <v>Emman R. Pornillos </v>
      </c>
      <c r="I15" s="16" t="str">
        <f t="shared" si="16"/>
        <v>Pornillos , Emman Reyes</v>
      </c>
      <c r="J15" s="19" t="s">
        <v>82</v>
      </c>
      <c r="K15" s="19" t="s">
        <v>191</v>
      </c>
      <c r="L15" s="19" t="s">
        <v>57</v>
      </c>
      <c r="M15" s="19" t="s">
        <v>105</v>
      </c>
      <c r="N15" s="19">
        <v>1.01022531E9</v>
      </c>
      <c r="O15" s="20">
        <v>45659.0</v>
      </c>
      <c r="P15" s="19">
        <v>45643.0</v>
      </c>
      <c r="Q15" s="19">
        <v>45658.0</v>
      </c>
      <c r="R15" s="19">
        <v>45659.0</v>
      </c>
      <c r="S15" s="72">
        <f t="shared" si="17"/>
        <v>45839</v>
      </c>
      <c r="T15" s="61">
        <f t="shared" si="4"/>
        <v>46132</v>
      </c>
      <c r="U15" s="19">
        <f t="shared" si="5"/>
        <v>1</v>
      </c>
      <c r="V15" s="19">
        <f t="shared" si="6"/>
        <v>3</v>
      </c>
      <c r="W15" s="19">
        <f t="shared" si="7"/>
        <v>18</v>
      </c>
      <c r="X15" s="61">
        <f t="shared" si="18"/>
        <v>45840</v>
      </c>
      <c r="Y15" s="26" t="s">
        <v>82</v>
      </c>
      <c r="Z15" s="19"/>
      <c r="AA15" s="26" t="s">
        <v>269</v>
      </c>
      <c r="AB15" s="19"/>
      <c r="AC15" s="22">
        <f t="shared" si="19"/>
        <v>18127.93</v>
      </c>
      <c r="AD15" s="19"/>
      <c r="AE15" s="22">
        <f t="shared" si="8"/>
        <v>18127.93</v>
      </c>
      <c r="AF15" s="62">
        <f t="shared" si="20"/>
        <v>695.0005112</v>
      </c>
      <c r="AG15" s="19" t="s">
        <v>178</v>
      </c>
      <c r="AH15" s="24"/>
      <c r="AI15" s="19" t="s">
        <v>61</v>
      </c>
      <c r="AJ15" s="19" t="s">
        <v>62</v>
      </c>
      <c r="AK15" s="20">
        <v>37701.0</v>
      </c>
      <c r="AL15" s="62">
        <f t="shared" si="10"/>
        <v>23.09863014</v>
      </c>
      <c r="AM15" s="26" t="s">
        <v>270</v>
      </c>
      <c r="AN15" s="26" t="s">
        <v>271</v>
      </c>
      <c r="AO15" s="19">
        <v>9.92880497E9</v>
      </c>
      <c r="AP15" s="67" t="s">
        <v>272</v>
      </c>
      <c r="AQ15" s="16" t="s">
        <v>223</v>
      </c>
      <c r="AR15" s="26" t="s">
        <v>273</v>
      </c>
      <c r="AS15" s="64" t="s">
        <v>274</v>
      </c>
      <c r="AT15" s="64" t="s">
        <v>275</v>
      </c>
      <c r="AU15" s="64" t="s">
        <v>276</v>
      </c>
      <c r="AV15" s="64" t="s">
        <v>277</v>
      </c>
      <c r="AW15" s="16"/>
      <c r="AX15" s="16" t="s">
        <v>278</v>
      </c>
      <c r="AY15" s="19" t="s">
        <v>279</v>
      </c>
      <c r="AZ15" s="19">
        <v>9.955404613E9</v>
      </c>
      <c r="BA15" s="16"/>
    </row>
    <row r="16" ht="14.25" customHeight="1">
      <c r="A16" s="19">
        <f t="shared" si="11"/>
        <v>14</v>
      </c>
      <c r="B16" s="15" t="s">
        <v>280</v>
      </c>
      <c r="C16" s="16" t="s">
        <v>281</v>
      </c>
      <c r="D16" s="16"/>
      <c r="E16" s="19"/>
      <c r="F16" s="19"/>
      <c r="G16" s="16" t="str">
        <f t="shared" si="14"/>
        <v>Perez , Luis Alejandro .</v>
      </c>
      <c r="H16" s="16" t="str">
        <f t="shared" si="15"/>
        <v>Luis Alejandro . Perez </v>
      </c>
      <c r="I16" s="16" t="str">
        <f t="shared" si="16"/>
        <v>Perez , Luis Alejandro </v>
      </c>
      <c r="J16" s="19" t="s">
        <v>82</v>
      </c>
      <c r="K16" s="19" t="s">
        <v>191</v>
      </c>
      <c r="L16" s="19" t="s">
        <v>57</v>
      </c>
      <c r="M16" s="19" t="s">
        <v>105</v>
      </c>
      <c r="N16" s="19">
        <v>1.060425319E9</v>
      </c>
      <c r="O16" s="20">
        <v>45812.0</v>
      </c>
      <c r="P16" s="73" t="s">
        <v>282</v>
      </c>
      <c r="Q16" s="17">
        <v>45811.0</v>
      </c>
      <c r="R16" s="17">
        <v>45812.0</v>
      </c>
      <c r="S16" s="17">
        <v>45994.0</v>
      </c>
      <c r="T16" s="61">
        <f t="shared" si="4"/>
        <v>46132</v>
      </c>
      <c r="U16" s="19">
        <f t="shared" si="5"/>
        <v>0</v>
      </c>
      <c r="V16" s="19">
        <f t="shared" si="6"/>
        <v>10</v>
      </c>
      <c r="W16" s="19">
        <f t="shared" si="7"/>
        <v>16</v>
      </c>
      <c r="X16" s="61">
        <f t="shared" si="18"/>
        <v>45995</v>
      </c>
      <c r="Y16" s="26" t="s">
        <v>82</v>
      </c>
      <c r="Z16" s="19"/>
      <c r="AA16" s="19"/>
      <c r="AB16" s="19"/>
      <c r="AC16" s="22">
        <f t="shared" si="19"/>
        <v>18127.93</v>
      </c>
      <c r="AD16" s="19"/>
      <c r="AE16" s="22">
        <f t="shared" si="8"/>
        <v>18127.93</v>
      </c>
      <c r="AF16" s="62">
        <f t="shared" si="20"/>
        <v>695.0005112</v>
      </c>
      <c r="AG16" s="19" t="s">
        <v>178</v>
      </c>
      <c r="AH16" s="24"/>
      <c r="AI16" s="19" t="s">
        <v>61</v>
      </c>
      <c r="AJ16" s="19" t="s">
        <v>62</v>
      </c>
      <c r="AK16" s="19">
        <v>37483.0</v>
      </c>
      <c r="AL16" s="62">
        <f t="shared" si="10"/>
        <v>23.69589041</v>
      </c>
      <c r="AM16" s="26" t="s">
        <v>283</v>
      </c>
      <c r="AN16" s="26" t="s">
        <v>284</v>
      </c>
      <c r="AO16" s="19">
        <v>9.318409374E9</v>
      </c>
      <c r="AP16" s="67" t="s">
        <v>285</v>
      </c>
      <c r="AQ16" s="16" t="s">
        <v>247</v>
      </c>
      <c r="AR16" s="26" t="s">
        <v>286</v>
      </c>
      <c r="AS16" s="64" t="s">
        <v>287</v>
      </c>
      <c r="AT16" s="64" t="s">
        <v>288</v>
      </c>
      <c r="AU16" s="64" t="s">
        <v>289</v>
      </c>
      <c r="AV16" s="64" t="s">
        <v>290</v>
      </c>
      <c r="AW16" s="16"/>
      <c r="AX16" s="16" t="s">
        <v>291</v>
      </c>
      <c r="AY16" s="19" t="s">
        <v>213</v>
      </c>
      <c r="AZ16" s="19"/>
      <c r="BA16" s="16"/>
    </row>
    <row r="17" ht="14.25" customHeight="1">
      <c r="A17" s="19">
        <f t="shared" si="11"/>
        <v>15</v>
      </c>
      <c r="B17" s="15" t="s">
        <v>292</v>
      </c>
      <c r="C17" s="16" t="s">
        <v>293</v>
      </c>
      <c r="D17" s="16" t="s">
        <v>294</v>
      </c>
      <c r="E17" s="19" t="s">
        <v>295</v>
      </c>
      <c r="F17" s="19"/>
      <c r="G17" s="16" t="str">
        <f t="shared" si="14"/>
        <v>Marqueso , Barry V.</v>
      </c>
      <c r="H17" s="16" t="str">
        <f t="shared" si="15"/>
        <v>Barry V. Marqueso </v>
      </c>
      <c r="I17" s="16" t="str">
        <f t="shared" si="16"/>
        <v>Marqueso , Barry Velasco</v>
      </c>
      <c r="J17" s="17" t="s">
        <v>218</v>
      </c>
      <c r="K17" s="19" t="s">
        <v>161</v>
      </c>
      <c r="L17" s="19" t="s">
        <v>57</v>
      </c>
      <c r="M17" s="19" t="s">
        <v>105</v>
      </c>
      <c r="N17" s="19">
        <v>1.070525321E9</v>
      </c>
      <c r="O17" s="19">
        <v>45784.0</v>
      </c>
      <c r="P17" s="20">
        <v>45827.0</v>
      </c>
      <c r="Q17" s="17">
        <v>45842.0</v>
      </c>
      <c r="R17" s="17">
        <v>45843.0</v>
      </c>
      <c r="S17" s="17">
        <v>46026.0</v>
      </c>
      <c r="T17" s="61">
        <f t="shared" si="4"/>
        <v>46132</v>
      </c>
      <c r="U17" s="19">
        <f t="shared" si="5"/>
        <v>0</v>
      </c>
      <c r="V17" s="19">
        <f t="shared" si="6"/>
        <v>11</v>
      </c>
      <c r="W17" s="19">
        <f t="shared" si="7"/>
        <v>13</v>
      </c>
      <c r="X17" s="61">
        <f t="shared" si="18"/>
        <v>46027</v>
      </c>
      <c r="Y17" s="26" t="s">
        <v>219</v>
      </c>
      <c r="Z17" s="19"/>
      <c r="AA17" s="19"/>
      <c r="AB17" s="19"/>
      <c r="AC17" s="22">
        <f t="shared" si="19"/>
        <v>18127.93</v>
      </c>
      <c r="AD17" s="19"/>
      <c r="AE17" s="22">
        <f t="shared" si="8"/>
        <v>18127.93</v>
      </c>
      <c r="AF17" s="62">
        <f t="shared" si="20"/>
        <v>695.0005112</v>
      </c>
      <c r="AG17" s="19" t="s">
        <v>178</v>
      </c>
      <c r="AH17" s="24"/>
      <c r="AI17" s="19" t="s">
        <v>61</v>
      </c>
      <c r="AJ17" s="19" t="s">
        <v>62</v>
      </c>
      <c r="AK17" s="19">
        <v>37147.0</v>
      </c>
      <c r="AL17" s="62">
        <f t="shared" si="10"/>
        <v>24.61643836</v>
      </c>
      <c r="AM17" s="26" t="s">
        <v>296</v>
      </c>
      <c r="AN17" s="26"/>
      <c r="AO17" s="19">
        <v>9.53598095E9</v>
      </c>
      <c r="AP17" s="67" t="s">
        <v>297</v>
      </c>
      <c r="AQ17" s="16" t="s">
        <v>110</v>
      </c>
      <c r="AR17" s="26" t="s">
        <v>298</v>
      </c>
      <c r="AS17" s="64" t="s">
        <v>299</v>
      </c>
      <c r="AT17" s="64" t="s">
        <v>300</v>
      </c>
      <c r="AU17" s="64" t="s">
        <v>301</v>
      </c>
      <c r="AV17" s="64" t="s">
        <v>302</v>
      </c>
      <c r="AW17" s="16"/>
      <c r="AX17" s="16" t="s">
        <v>303</v>
      </c>
      <c r="AY17" s="19" t="s">
        <v>304</v>
      </c>
      <c r="AZ17" s="19">
        <v>9.173113198E9</v>
      </c>
      <c r="BA17" s="16"/>
    </row>
    <row r="18" ht="14.25" customHeight="1">
      <c r="A18" s="19">
        <f t="shared" si="11"/>
        <v>16</v>
      </c>
      <c r="B18" s="15" t="s">
        <v>305</v>
      </c>
      <c r="C18" s="16" t="s">
        <v>306</v>
      </c>
      <c r="D18" s="16" t="s">
        <v>307</v>
      </c>
      <c r="E18" s="19" t="s">
        <v>308</v>
      </c>
      <c r="F18" s="19"/>
      <c r="G18" s="16" t="str">
        <f t="shared" si="14"/>
        <v>De Mesa  , Rece Jun B.</v>
      </c>
      <c r="H18" s="16" t="str">
        <f t="shared" si="15"/>
        <v>Rece Jun B. De Mesa  </v>
      </c>
      <c r="I18" s="16" t="str">
        <f t="shared" si="16"/>
        <v>De Mesa  , Rece Jun Bumatay</v>
      </c>
      <c r="J18" s="19" t="s">
        <v>82</v>
      </c>
      <c r="K18" s="19" t="s">
        <v>191</v>
      </c>
      <c r="L18" s="19" t="s">
        <v>57</v>
      </c>
      <c r="M18" s="19" t="s">
        <v>105</v>
      </c>
      <c r="N18" s="19">
        <v>1.091125327E9</v>
      </c>
      <c r="O18" s="19">
        <v>45970.0</v>
      </c>
      <c r="P18" s="20">
        <v>45895.0</v>
      </c>
      <c r="Q18" s="17">
        <v>45910.0</v>
      </c>
      <c r="R18" s="17">
        <v>45911.0</v>
      </c>
      <c r="S18" s="17">
        <v>46091.0</v>
      </c>
      <c r="T18" s="61">
        <f t="shared" si="4"/>
        <v>46132</v>
      </c>
      <c r="U18" s="19">
        <f t="shared" si="5"/>
        <v>0</v>
      </c>
      <c r="V18" s="19">
        <f t="shared" si="6"/>
        <v>5</v>
      </c>
      <c r="W18" s="19">
        <f t="shared" si="7"/>
        <v>11</v>
      </c>
      <c r="X18" s="61">
        <f t="shared" si="18"/>
        <v>46092</v>
      </c>
      <c r="Y18" s="26" t="s">
        <v>82</v>
      </c>
      <c r="Z18" s="19"/>
      <c r="AA18" s="19"/>
      <c r="AB18" s="19"/>
      <c r="AC18" s="22">
        <f t="shared" si="19"/>
        <v>18127.93</v>
      </c>
      <c r="AD18" s="19"/>
      <c r="AE18" s="22">
        <f t="shared" si="8"/>
        <v>18127.93</v>
      </c>
      <c r="AF18" s="62">
        <f t="shared" si="20"/>
        <v>695.0005112</v>
      </c>
      <c r="AG18" s="19" t="s">
        <v>178</v>
      </c>
      <c r="AH18" s="24"/>
      <c r="AI18" s="19" t="s">
        <v>61</v>
      </c>
      <c r="AJ18" s="19" t="s">
        <v>62</v>
      </c>
      <c r="AK18" s="19">
        <v>37427.0</v>
      </c>
      <c r="AL18" s="62">
        <f t="shared" si="10"/>
        <v>23.84931507</v>
      </c>
      <c r="AM18" s="26" t="s">
        <v>309</v>
      </c>
      <c r="AN18" s="26" t="s">
        <v>310</v>
      </c>
      <c r="AO18" s="19">
        <v>9.508969995E9</v>
      </c>
      <c r="AP18" s="67" t="s">
        <v>311</v>
      </c>
      <c r="AQ18" s="16" t="s">
        <v>110</v>
      </c>
      <c r="AR18" s="16" t="s">
        <v>312</v>
      </c>
      <c r="AS18" s="64" t="s">
        <v>313</v>
      </c>
      <c r="AT18" s="64" t="s">
        <v>314</v>
      </c>
      <c r="AU18" s="64" t="s">
        <v>315</v>
      </c>
      <c r="AV18" s="64" t="s">
        <v>316</v>
      </c>
      <c r="AW18" s="16"/>
      <c r="AX18" s="16" t="s">
        <v>317</v>
      </c>
      <c r="AY18" s="19" t="s">
        <v>318</v>
      </c>
      <c r="AZ18" s="19">
        <v>9.559780201E9</v>
      </c>
      <c r="BA18" s="16"/>
    </row>
    <row r="19" ht="14.25" customHeight="1">
      <c r="A19" s="19">
        <f t="shared" si="11"/>
        <v>17</v>
      </c>
      <c r="B19" s="15" t="s">
        <v>319</v>
      </c>
      <c r="C19" s="16" t="s">
        <v>320</v>
      </c>
      <c r="D19" s="16" t="s">
        <v>321</v>
      </c>
      <c r="E19" s="17" t="s">
        <v>132</v>
      </c>
      <c r="F19" s="17"/>
      <c r="G19" s="16" t="str">
        <f>CONCATENATE(B19,", ",C19," ",E19,".")</f>
        <v>Peligro, Marivic C.</v>
      </c>
      <c r="H19" s="16" t="str">
        <f>CONCATENATE(C19," ",E19,". ",B19)</f>
        <v>Marivic C. Peligro</v>
      </c>
      <c r="I19" s="16" t="str">
        <f>CONCATENATE(B19,", ",C19," ",D19)</f>
        <v>Peligro, Marivic Centeno</v>
      </c>
      <c r="J19" s="19" t="s">
        <v>133</v>
      </c>
      <c r="K19" s="19" t="s">
        <v>104</v>
      </c>
      <c r="L19" s="19" t="s">
        <v>57</v>
      </c>
      <c r="M19" s="19" t="s">
        <v>58</v>
      </c>
      <c r="N19" s="19">
        <v>1.112223285E9</v>
      </c>
      <c r="O19" s="20">
        <v>45252.0</v>
      </c>
      <c r="P19" s="20">
        <v>45236.0</v>
      </c>
      <c r="Q19" s="20">
        <v>45251.0</v>
      </c>
      <c r="R19" s="20">
        <v>45252.0</v>
      </c>
      <c r="S19" s="20">
        <f>EDATE(R19-1,6)</f>
        <v>45433</v>
      </c>
      <c r="T19" s="20">
        <f t="shared" si="4"/>
        <v>46132</v>
      </c>
      <c r="U19" s="21">
        <f t="shared" si="5"/>
        <v>2</v>
      </c>
      <c r="V19" s="19">
        <f t="shared" si="6"/>
        <v>4</v>
      </c>
      <c r="W19" s="19">
        <f t="shared" si="7"/>
        <v>29</v>
      </c>
      <c r="X19" s="74">
        <f t="shared" si="18"/>
        <v>45434</v>
      </c>
      <c r="Y19" s="16" t="s">
        <v>82</v>
      </c>
      <c r="Z19" s="19" t="s">
        <v>322</v>
      </c>
      <c r="AA19" s="19" t="s">
        <v>133</v>
      </c>
      <c r="AB19" s="16"/>
      <c r="AC19" s="22">
        <f>19618.75+1520.84</f>
        <v>21139.59</v>
      </c>
      <c r="AD19" s="23"/>
      <c r="AE19" s="22">
        <f t="shared" si="8"/>
        <v>21139.59</v>
      </c>
      <c r="AF19" s="22">
        <f t="shared" si="20"/>
        <v>810.4635144</v>
      </c>
      <c r="AG19" s="19" t="s">
        <v>59</v>
      </c>
      <c r="AH19" s="19"/>
      <c r="AI19" s="24" t="s">
        <v>135</v>
      </c>
      <c r="AJ19" s="19" t="s">
        <v>62</v>
      </c>
      <c r="AK19" s="20">
        <v>36761.0</v>
      </c>
      <c r="AL19" s="25">
        <f t="shared" si="10"/>
        <v>25.6739726</v>
      </c>
      <c r="AM19" s="26" t="s">
        <v>323</v>
      </c>
      <c r="AN19" s="26" t="s">
        <v>324</v>
      </c>
      <c r="AO19" s="19">
        <v>9.771325793E9</v>
      </c>
      <c r="AP19" s="75" t="s">
        <v>325</v>
      </c>
      <c r="AQ19" s="16" t="s">
        <v>110</v>
      </c>
      <c r="AR19" s="16" t="s">
        <v>326</v>
      </c>
      <c r="AS19" s="19" t="s">
        <v>327</v>
      </c>
      <c r="AT19" s="19" t="s">
        <v>328</v>
      </c>
      <c r="AU19" s="19" t="s">
        <v>329</v>
      </c>
      <c r="AV19" s="19" t="s">
        <v>330</v>
      </c>
      <c r="AW19" s="16"/>
      <c r="AX19" s="16" t="s">
        <v>331</v>
      </c>
      <c r="AY19" s="19" t="s">
        <v>73</v>
      </c>
      <c r="AZ19" s="19">
        <v>9.05274854E9</v>
      </c>
      <c r="BA19" s="16"/>
    </row>
    <row r="20" ht="14.25" customHeight="1">
      <c r="A20" s="19">
        <f t="shared" si="11"/>
        <v>18</v>
      </c>
      <c r="B20" s="15" t="s">
        <v>332</v>
      </c>
      <c r="C20" s="16" t="s">
        <v>333</v>
      </c>
      <c r="D20" s="16" t="s">
        <v>334</v>
      </c>
      <c r="E20" s="19" t="s">
        <v>81</v>
      </c>
      <c r="F20" s="19"/>
      <c r="G20" s="16"/>
      <c r="H20" s="16"/>
      <c r="I20" s="16"/>
      <c r="J20" s="19" t="s">
        <v>82</v>
      </c>
      <c r="K20" s="19" t="s">
        <v>335</v>
      </c>
      <c r="L20" s="19" t="s">
        <v>16</v>
      </c>
      <c r="M20" s="19" t="s">
        <v>105</v>
      </c>
      <c r="N20" s="19">
        <v>1.120725332E9</v>
      </c>
      <c r="O20" s="19">
        <v>45850.0</v>
      </c>
      <c r="P20" s="19" t="s">
        <v>336</v>
      </c>
      <c r="Q20" s="17">
        <v>45997.0</v>
      </c>
      <c r="R20" s="17">
        <v>45998.0</v>
      </c>
      <c r="S20" s="76">
        <v>46179.0</v>
      </c>
      <c r="T20" s="20">
        <f t="shared" si="4"/>
        <v>46132</v>
      </c>
      <c r="U20" s="21">
        <f t="shared" si="5"/>
        <v>0</v>
      </c>
      <c r="V20" s="19">
        <f t="shared" si="6"/>
        <v>9</v>
      </c>
      <c r="W20" s="19">
        <f t="shared" si="7"/>
        <v>8</v>
      </c>
      <c r="X20" s="74">
        <f t="shared" si="18"/>
        <v>46180</v>
      </c>
      <c r="Y20" s="16" t="s">
        <v>82</v>
      </c>
      <c r="Z20" s="19"/>
      <c r="AA20" s="19"/>
      <c r="AB20" s="19"/>
      <c r="AC20" s="22">
        <f t="shared" ref="AC20:AC21" si="21">14867.5+1043.33+912.92+1304.18</f>
        <v>18127.93</v>
      </c>
      <c r="AD20" s="19"/>
      <c r="AE20" s="22">
        <f t="shared" si="8"/>
        <v>18127.93</v>
      </c>
      <c r="AF20" s="62">
        <f t="shared" si="20"/>
        <v>695.0005112</v>
      </c>
      <c r="AG20" s="19" t="s">
        <v>178</v>
      </c>
      <c r="AH20" s="24"/>
      <c r="AI20" s="19" t="s">
        <v>61</v>
      </c>
      <c r="AJ20" s="19" t="s">
        <v>62</v>
      </c>
      <c r="AK20" s="20">
        <v>34871.0</v>
      </c>
      <c r="AL20" s="25">
        <f t="shared" si="10"/>
        <v>30.85205479</v>
      </c>
      <c r="AM20" s="26" t="s">
        <v>337</v>
      </c>
      <c r="AN20" s="26" t="s">
        <v>338</v>
      </c>
      <c r="AO20" s="19">
        <v>9.275921761E9</v>
      </c>
      <c r="AP20" s="67" t="s">
        <v>339</v>
      </c>
      <c r="AQ20" s="16" t="s">
        <v>340</v>
      </c>
      <c r="AR20" s="26" t="s">
        <v>341</v>
      </c>
      <c r="AS20" s="64" t="s">
        <v>342</v>
      </c>
      <c r="AT20" s="64" t="s">
        <v>343</v>
      </c>
      <c r="AU20" s="64" t="s">
        <v>344</v>
      </c>
      <c r="AV20" s="64" t="s">
        <v>345</v>
      </c>
      <c r="AW20" s="16"/>
      <c r="AX20" s="16" t="s">
        <v>346</v>
      </c>
      <c r="AY20" s="19" t="s">
        <v>213</v>
      </c>
      <c r="AZ20" s="19">
        <v>9.383635618E9</v>
      </c>
      <c r="BA20" s="16"/>
    </row>
    <row r="21" ht="14.25" customHeight="1">
      <c r="A21" s="19">
        <f t="shared" si="11"/>
        <v>19</v>
      </c>
      <c r="B21" s="15" t="s">
        <v>347</v>
      </c>
      <c r="C21" s="16" t="s">
        <v>348</v>
      </c>
      <c r="D21" s="16" t="s">
        <v>349</v>
      </c>
      <c r="E21" s="19" t="s">
        <v>217</v>
      </c>
      <c r="F21" s="19"/>
      <c r="G21" s="16" t="str">
        <f>CONCATENATE(B21,", ",C21," ",E21,".")</f>
        <v>Posoc, Russian M.</v>
      </c>
      <c r="H21" s="16" t="str">
        <f>CONCATENATE(C21," ",E21,". ",B21)</f>
        <v>Russian M. Posoc</v>
      </c>
      <c r="I21" s="16" t="str">
        <f>CONCATENATE(B21,", ",C21," ",D21)</f>
        <v>Posoc, Russian Melchor</v>
      </c>
      <c r="J21" s="19" t="s">
        <v>82</v>
      </c>
      <c r="K21" s="19" t="s">
        <v>335</v>
      </c>
      <c r="L21" s="19" t="s">
        <v>16</v>
      </c>
      <c r="M21" s="19" t="s">
        <v>105</v>
      </c>
      <c r="N21" s="19">
        <v>1.121025333E9</v>
      </c>
      <c r="O21" s="19">
        <v>45942.0</v>
      </c>
      <c r="P21" s="19">
        <v>45985.0</v>
      </c>
      <c r="Q21" s="17">
        <v>46000.0</v>
      </c>
      <c r="R21" s="17">
        <v>46001.0</v>
      </c>
      <c r="S21" s="76">
        <v>46182.0</v>
      </c>
      <c r="T21" s="20">
        <f t="shared" si="4"/>
        <v>46132</v>
      </c>
      <c r="U21" s="21">
        <f t="shared" si="5"/>
        <v>0</v>
      </c>
      <c r="V21" s="19">
        <f t="shared" si="6"/>
        <v>6</v>
      </c>
      <c r="W21" s="19">
        <f t="shared" si="7"/>
        <v>8</v>
      </c>
      <c r="X21" s="74">
        <f t="shared" si="18"/>
        <v>46183</v>
      </c>
      <c r="Y21" s="16" t="s">
        <v>82</v>
      </c>
      <c r="Z21" s="19"/>
      <c r="AA21" s="19"/>
      <c r="AB21" s="19"/>
      <c r="AC21" s="22">
        <f t="shared" si="21"/>
        <v>18127.93</v>
      </c>
      <c r="AD21" s="19"/>
      <c r="AE21" s="22">
        <f t="shared" si="8"/>
        <v>18127.93</v>
      </c>
      <c r="AF21" s="62">
        <f t="shared" si="20"/>
        <v>695.0005112</v>
      </c>
      <c r="AG21" s="19" t="s">
        <v>178</v>
      </c>
      <c r="AH21" s="24"/>
      <c r="AI21" s="19" t="s">
        <v>61</v>
      </c>
      <c r="AJ21" s="19" t="s">
        <v>62</v>
      </c>
      <c r="AK21" s="20">
        <v>37994.0</v>
      </c>
      <c r="AL21" s="25">
        <f t="shared" si="10"/>
        <v>22.29589041</v>
      </c>
      <c r="AM21" s="26" t="s">
        <v>350</v>
      </c>
      <c r="AN21" s="26" t="s">
        <v>350</v>
      </c>
      <c r="AO21" s="19">
        <v>9.914366082E9</v>
      </c>
      <c r="AP21" s="67" t="s">
        <v>351</v>
      </c>
      <c r="AQ21" s="16" t="s">
        <v>352</v>
      </c>
      <c r="AR21" s="26" t="s">
        <v>353</v>
      </c>
      <c r="AS21" s="64" t="s">
        <v>354</v>
      </c>
      <c r="AT21" s="64" t="s">
        <v>355</v>
      </c>
      <c r="AU21" s="64" t="s">
        <v>356</v>
      </c>
      <c r="AV21" s="64" t="s">
        <v>357</v>
      </c>
      <c r="AW21" s="16"/>
      <c r="AX21" s="16" t="s">
        <v>358</v>
      </c>
      <c r="AY21" s="19" t="s">
        <v>213</v>
      </c>
      <c r="AZ21" s="19">
        <v>9.184309942E9</v>
      </c>
      <c r="BA21" s="16"/>
    </row>
    <row r="22" ht="14.25" customHeight="1">
      <c r="A22" s="19">
        <f t="shared" si="11"/>
        <v>20</v>
      </c>
      <c r="B22" s="15" t="s">
        <v>359</v>
      </c>
      <c r="C22" s="15" t="s">
        <v>360</v>
      </c>
      <c r="D22" s="15" t="s">
        <v>361</v>
      </c>
      <c r="E22" s="17" t="s">
        <v>102</v>
      </c>
      <c r="F22" s="17"/>
      <c r="G22" s="15" t="s">
        <v>362</v>
      </c>
      <c r="H22" s="15" t="s">
        <v>363</v>
      </c>
      <c r="I22" s="15" t="s">
        <v>364</v>
      </c>
      <c r="J22" s="17" t="s">
        <v>82</v>
      </c>
      <c r="K22" s="17" t="s">
        <v>191</v>
      </c>
      <c r="L22" s="19" t="s">
        <v>16</v>
      </c>
      <c r="M22" s="17" t="s">
        <v>105</v>
      </c>
      <c r="N22" s="17">
        <v>1.012926288E9</v>
      </c>
      <c r="O22" s="17">
        <v>46051.0</v>
      </c>
      <c r="P22" s="77">
        <v>46035.0</v>
      </c>
      <c r="Q22" s="77">
        <v>46050.0</v>
      </c>
      <c r="R22" s="76" t="s">
        <v>365</v>
      </c>
      <c r="S22" s="17">
        <v>46231.0</v>
      </c>
      <c r="T22" s="20">
        <f t="shared" si="4"/>
        <v>46132</v>
      </c>
      <c r="U22" s="21">
        <f t="shared" si="5"/>
        <v>0</v>
      </c>
      <c r="V22" s="19">
        <f t="shared" si="6"/>
        <v>2</v>
      </c>
      <c r="W22" s="19">
        <f t="shared" si="7"/>
        <v>22</v>
      </c>
      <c r="X22" s="74">
        <f t="shared" si="18"/>
        <v>46232</v>
      </c>
      <c r="Y22" s="65" t="s">
        <v>82</v>
      </c>
      <c r="Z22" s="17"/>
      <c r="AA22" s="17"/>
      <c r="AB22" s="17"/>
      <c r="AC22" s="78">
        <f t="shared" ref="AC22:AC26" si="22">16823.75+1304.18</f>
        <v>18127.93</v>
      </c>
      <c r="AD22" s="17"/>
      <c r="AE22" s="22">
        <f t="shared" si="8"/>
        <v>18127.93</v>
      </c>
      <c r="AF22" s="79">
        <v>695.0</v>
      </c>
      <c r="AG22" s="17" t="s">
        <v>178</v>
      </c>
      <c r="AH22" s="80"/>
      <c r="AI22" s="17" t="s">
        <v>61</v>
      </c>
      <c r="AJ22" s="17" t="s">
        <v>62</v>
      </c>
      <c r="AK22" s="20">
        <v>37445.0</v>
      </c>
      <c r="AL22" s="25">
        <f t="shared" si="10"/>
        <v>23.8</v>
      </c>
      <c r="AM22" s="65" t="s">
        <v>366</v>
      </c>
      <c r="AN22" s="65"/>
      <c r="AO22" s="17">
        <v>9.66694092E9</v>
      </c>
      <c r="AP22" s="81" t="s">
        <v>367</v>
      </c>
      <c r="AQ22" s="15" t="s">
        <v>235</v>
      </c>
      <c r="AR22" s="65" t="s">
        <v>368</v>
      </c>
      <c r="AS22" s="82" t="s">
        <v>369</v>
      </c>
      <c r="AT22" s="82" t="s">
        <v>370</v>
      </c>
      <c r="AU22" s="82" t="s">
        <v>371</v>
      </c>
      <c r="AV22" s="82" t="s">
        <v>372</v>
      </c>
      <c r="AW22" s="15"/>
      <c r="AX22" s="15" t="s">
        <v>373</v>
      </c>
      <c r="AY22" s="17" t="s">
        <v>374</v>
      </c>
      <c r="AZ22" s="17">
        <v>9.999195484E9</v>
      </c>
      <c r="BA22" s="16" t="s">
        <v>375</v>
      </c>
      <c r="BD22" s="83"/>
    </row>
    <row r="23" ht="14.25" customHeight="1">
      <c r="A23" s="19">
        <f t="shared" si="11"/>
        <v>21</v>
      </c>
      <c r="B23" s="15" t="s">
        <v>376</v>
      </c>
      <c r="C23" s="15" t="s">
        <v>377</v>
      </c>
      <c r="D23" s="15" t="s">
        <v>378</v>
      </c>
      <c r="E23" s="17" t="s">
        <v>379</v>
      </c>
      <c r="F23" s="17"/>
      <c r="G23" s="15" t="s">
        <v>362</v>
      </c>
      <c r="H23" s="15" t="s">
        <v>363</v>
      </c>
      <c r="I23" s="15" t="s">
        <v>364</v>
      </c>
      <c r="J23" s="19" t="s">
        <v>133</v>
      </c>
      <c r="K23" s="19" t="s">
        <v>104</v>
      </c>
      <c r="L23" s="19" t="s">
        <v>16</v>
      </c>
      <c r="M23" s="17" t="s">
        <v>105</v>
      </c>
      <c r="N23" s="17">
        <v>1.021826335E9</v>
      </c>
      <c r="O23" s="17" t="s">
        <v>380</v>
      </c>
      <c r="P23" s="77">
        <v>46055.0</v>
      </c>
      <c r="Q23" s="77">
        <v>46070.0</v>
      </c>
      <c r="R23" s="76">
        <v>46071.0</v>
      </c>
      <c r="S23" s="17" t="s">
        <v>381</v>
      </c>
      <c r="T23" s="20">
        <f t="shared" si="4"/>
        <v>46132</v>
      </c>
      <c r="U23" s="21">
        <f t="shared" si="5"/>
        <v>0</v>
      </c>
      <c r="V23" s="19">
        <f t="shared" si="6"/>
        <v>2</v>
      </c>
      <c r="W23" s="19">
        <f t="shared" si="7"/>
        <v>2</v>
      </c>
      <c r="X23" s="74">
        <f t="shared" si="18"/>
        <v>46252</v>
      </c>
      <c r="Y23" s="26" t="s">
        <v>133</v>
      </c>
      <c r="Z23" s="17"/>
      <c r="AA23" s="17"/>
      <c r="AB23" s="17"/>
      <c r="AC23" s="78">
        <f t="shared" si="22"/>
        <v>18127.93</v>
      </c>
      <c r="AD23" s="17"/>
      <c r="AE23" s="22">
        <f t="shared" si="8"/>
        <v>18127.93</v>
      </c>
      <c r="AF23" s="79">
        <v>695.0</v>
      </c>
      <c r="AG23" s="17" t="s">
        <v>178</v>
      </c>
      <c r="AH23" s="80"/>
      <c r="AI23" s="24" t="s">
        <v>135</v>
      </c>
      <c r="AJ23" s="17" t="s">
        <v>62</v>
      </c>
      <c r="AK23" s="20">
        <v>37707.0</v>
      </c>
      <c r="AL23" s="25">
        <f t="shared" si="10"/>
        <v>23.08219178</v>
      </c>
      <c r="AM23" s="65" t="s">
        <v>382</v>
      </c>
      <c r="AN23" s="65" t="s">
        <v>383</v>
      </c>
      <c r="AO23" s="17">
        <v>9.150879447E9</v>
      </c>
      <c r="AP23" s="81" t="s">
        <v>384</v>
      </c>
      <c r="AQ23" s="16" t="s">
        <v>110</v>
      </c>
      <c r="AR23" s="16" t="s">
        <v>326</v>
      </c>
      <c r="AS23" s="82" t="s">
        <v>385</v>
      </c>
      <c r="AT23" s="82" t="s">
        <v>386</v>
      </c>
      <c r="AU23" s="82" t="s">
        <v>387</v>
      </c>
      <c r="AV23" s="82" t="s">
        <v>388</v>
      </c>
      <c r="AW23" s="15"/>
      <c r="AX23" s="15" t="s">
        <v>389</v>
      </c>
      <c r="AY23" s="17" t="s">
        <v>390</v>
      </c>
      <c r="AZ23" s="17">
        <v>9.977566308E9</v>
      </c>
      <c r="BA23" s="16"/>
      <c r="BD23" s="83"/>
    </row>
    <row r="24" ht="14.25" customHeight="1">
      <c r="A24" s="19">
        <f t="shared" si="11"/>
        <v>22</v>
      </c>
      <c r="B24" s="15" t="s">
        <v>391</v>
      </c>
      <c r="C24" s="15" t="s">
        <v>392</v>
      </c>
      <c r="D24" s="15" t="s">
        <v>393</v>
      </c>
      <c r="E24" s="17" t="s">
        <v>394</v>
      </c>
      <c r="F24" s="17"/>
      <c r="G24" s="15"/>
      <c r="H24" s="15"/>
      <c r="I24" s="15"/>
      <c r="J24" s="17" t="s">
        <v>82</v>
      </c>
      <c r="K24" s="17" t="s">
        <v>191</v>
      </c>
      <c r="L24" s="19" t="s">
        <v>16</v>
      </c>
      <c r="M24" s="17" t="s">
        <v>105</v>
      </c>
      <c r="N24" s="17">
        <v>1.022026336E9</v>
      </c>
      <c r="O24" s="17" t="s">
        <v>395</v>
      </c>
      <c r="P24" s="17">
        <v>46057.0</v>
      </c>
      <c r="Q24" s="17" t="s">
        <v>396</v>
      </c>
      <c r="R24" s="76" t="s">
        <v>395</v>
      </c>
      <c r="S24" s="17" t="s">
        <v>397</v>
      </c>
      <c r="T24" s="20">
        <f t="shared" si="4"/>
        <v>46132</v>
      </c>
      <c r="U24" s="21">
        <f t="shared" si="5"/>
        <v>0</v>
      </c>
      <c r="V24" s="19">
        <f t="shared" si="6"/>
        <v>2</v>
      </c>
      <c r="W24" s="19">
        <f t="shared" si="7"/>
        <v>0</v>
      </c>
      <c r="X24" s="74">
        <f t="shared" si="18"/>
        <v>46254</v>
      </c>
      <c r="Y24" s="65" t="s">
        <v>82</v>
      </c>
      <c r="Z24" s="17"/>
      <c r="AA24" s="17"/>
      <c r="AB24" s="17"/>
      <c r="AC24" s="78">
        <f t="shared" si="22"/>
        <v>18127.93</v>
      </c>
      <c r="AD24" s="17"/>
      <c r="AE24" s="22">
        <f t="shared" si="8"/>
        <v>18127.93</v>
      </c>
      <c r="AF24" s="79">
        <v>695.0</v>
      </c>
      <c r="AG24" s="17" t="s">
        <v>178</v>
      </c>
      <c r="AH24" s="80"/>
      <c r="AI24" s="17" t="s">
        <v>61</v>
      </c>
      <c r="AJ24" s="17" t="s">
        <v>62</v>
      </c>
      <c r="AK24" s="77">
        <v>37237.0</v>
      </c>
      <c r="AL24" s="79">
        <f t="shared" si="10"/>
        <v>24.36986301</v>
      </c>
      <c r="AM24" s="65" t="s">
        <v>398</v>
      </c>
      <c r="AN24" s="65" t="s">
        <v>398</v>
      </c>
      <c r="AO24" s="17">
        <v>9.765914271E9</v>
      </c>
      <c r="AP24" s="81" t="s">
        <v>399</v>
      </c>
      <c r="AQ24" s="15" t="s">
        <v>235</v>
      </c>
      <c r="AR24" s="65"/>
      <c r="AS24" s="82" t="s">
        <v>400</v>
      </c>
      <c r="AT24" s="82" t="s">
        <v>401</v>
      </c>
      <c r="AU24" s="82" t="s">
        <v>402</v>
      </c>
      <c r="AV24" s="82" t="s">
        <v>403</v>
      </c>
      <c r="AW24" s="15"/>
      <c r="AX24" s="15" t="s">
        <v>404</v>
      </c>
      <c r="AY24" s="19" t="s">
        <v>213</v>
      </c>
      <c r="AZ24" s="17">
        <v>9.760465938E9</v>
      </c>
      <c r="BA24" s="16"/>
      <c r="BD24" s="83"/>
    </row>
    <row r="25" ht="14.25" customHeight="1">
      <c r="A25" s="19">
        <f t="shared" si="11"/>
        <v>23</v>
      </c>
      <c r="B25" s="15" t="s">
        <v>405</v>
      </c>
      <c r="C25" s="15" t="s">
        <v>406</v>
      </c>
      <c r="D25" s="15" t="s">
        <v>407</v>
      </c>
      <c r="E25" s="17" t="s">
        <v>54</v>
      </c>
      <c r="F25" s="17"/>
      <c r="G25" s="15"/>
      <c r="H25" s="15"/>
      <c r="I25" s="15"/>
      <c r="J25" s="17" t="s">
        <v>82</v>
      </c>
      <c r="K25" s="17" t="s">
        <v>191</v>
      </c>
      <c r="L25" s="19" t="s">
        <v>16</v>
      </c>
      <c r="M25" s="17" t="s">
        <v>105</v>
      </c>
      <c r="N25" s="17">
        <v>1.030326337E9</v>
      </c>
      <c r="O25" s="17">
        <v>46084.0</v>
      </c>
      <c r="P25" s="17" t="s">
        <v>408</v>
      </c>
      <c r="Q25" s="77">
        <v>46083.0</v>
      </c>
      <c r="R25" s="76">
        <v>46084.0</v>
      </c>
      <c r="S25" s="17">
        <v>46267.0</v>
      </c>
      <c r="T25" s="20">
        <f t="shared" si="4"/>
        <v>46132</v>
      </c>
      <c r="U25" s="21">
        <f t="shared" si="5"/>
        <v>0</v>
      </c>
      <c r="V25" s="19">
        <f t="shared" si="6"/>
        <v>1</v>
      </c>
      <c r="W25" s="19">
        <f t="shared" si="7"/>
        <v>17</v>
      </c>
      <c r="X25" s="74">
        <f t="shared" si="18"/>
        <v>46268</v>
      </c>
      <c r="Y25" s="65" t="s">
        <v>82</v>
      </c>
      <c r="Z25" s="17"/>
      <c r="AA25" s="17"/>
      <c r="AB25" s="17"/>
      <c r="AC25" s="78">
        <f t="shared" si="22"/>
        <v>18127.93</v>
      </c>
      <c r="AD25" s="17"/>
      <c r="AE25" s="22">
        <f t="shared" si="8"/>
        <v>18127.93</v>
      </c>
      <c r="AF25" s="79">
        <v>695.0</v>
      </c>
      <c r="AG25" s="17" t="s">
        <v>178</v>
      </c>
      <c r="AH25" s="80"/>
      <c r="AI25" s="17" t="s">
        <v>61</v>
      </c>
      <c r="AJ25" s="17" t="s">
        <v>62</v>
      </c>
      <c r="AK25" s="77">
        <v>37400.0</v>
      </c>
      <c r="AL25" s="79">
        <f t="shared" si="10"/>
        <v>23.92328767</v>
      </c>
      <c r="AM25" s="65" t="s">
        <v>409</v>
      </c>
      <c r="AN25" s="65" t="s">
        <v>410</v>
      </c>
      <c r="AO25" s="17">
        <v>9.462365598E9</v>
      </c>
      <c r="AP25" s="81" t="s">
        <v>411</v>
      </c>
      <c r="AQ25" s="16" t="s">
        <v>247</v>
      </c>
      <c r="AR25" s="26" t="s">
        <v>286</v>
      </c>
      <c r="AS25" s="82" t="s">
        <v>412</v>
      </c>
      <c r="AT25" s="82" t="s">
        <v>413</v>
      </c>
      <c r="AU25" s="82" t="s">
        <v>414</v>
      </c>
      <c r="AV25" s="82" t="s">
        <v>415</v>
      </c>
      <c r="AW25" s="15"/>
      <c r="AX25" s="15" t="s">
        <v>416</v>
      </c>
      <c r="AY25" s="19" t="s">
        <v>266</v>
      </c>
      <c r="AZ25" s="17">
        <v>9.609187482E9</v>
      </c>
      <c r="BA25" s="16"/>
      <c r="BD25" s="83"/>
    </row>
    <row r="26" ht="14.25" customHeight="1">
      <c r="A26" s="19">
        <f t="shared" si="11"/>
        <v>24</v>
      </c>
      <c r="B26" s="15" t="s">
        <v>256</v>
      </c>
      <c r="C26" s="15" t="s">
        <v>417</v>
      </c>
      <c r="D26" s="15"/>
      <c r="E26" s="17" t="s">
        <v>418</v>
      </c>
      <c r="F26" s="17"/>
      <c r="G26" s="15"/>
      <c r="H26" s="15"/>
      <c r="I26" s="15"/>
      <c r="J26" s="17" t="s">
        <v>82</v>
      </c>
      <c r="K26" s="17" t="s">
        <v>191</v>
      </c>
      <c r="L26" s="19" t="s">
        <v>419</v>
      </c>
      <c r="M26" s="17" t="s">
        <v>105</v>
      </c>
      <c r="N26" s="17"/>
      <c r="O26" s="17"/>
      <c r="P26" s="77"/>
      <c r="Q26" s="77"/>
      <c r="R26" s="17"/>
      <c r="S26" s="17"/>
      <c r="T26" s="20"/>
      <c r="U26" s="21">
        <f t="shared" si="5"/>
        <v>0</v>
      </c>
      <c r="V26" s="19">
        <f t="shared" si="6"/>
        <v>0</v>
      </c>
      <c r="W26" s="19">
        <f t="shared" si="7"/>
        <v>0</v>
      </c>
      <c r="X26" s="74">
        <f t="shared" si="18"/>
        <v>182</v>
      </c>
      <c r="Y26" s="65" t="s">
        <v>82</v>
      </c>
      <c r="Z26" s="17"/>
      <c r="AA26" s="17"/>
      <c r="AB26" s="17"/>
      <c r="AC26" s="78">
        <f t="shared" si="22"/>
        <v>18127.93</v>
      </c>
      <c r="AD26" s="17"/>
      <c r="AE26" s="22">
        <f t="shared" si="8"/>
        <v>18127.93</v>
      </c>
      <c r="AF26" s="79">
        <v>695.0</v>
      </c>
      <c r="AG26" s="17" t="s">
        <v>178</v>
      </c>
      <c r="AH26" s="80"/>
      <c r="AI26" s="17" t="s">
        <v>61</v>
      </c>
      <c r="AJ26" s="17" t="s">
        <v>62</v>
      </c>
      <c r="AK26" s="77"/>
      <c r="AL26" s="79">
        <f t="shared" si="10"/>
        <v>126.3890411</v>
      </c>
      <c r="AM26" s="65"/>
      <c r="AN26" s="65"/>
      <c r="AO26" s="17"/>
      <c r="AP26" s="81"/>
      <c r="AQ26" s="16"/>
      <c r="AR26" s="16"/>
      <c r="AS26" s="82"/>
      <c r="AT26" s="82"/>
      <c r="AU26" s="82"/>
      <c r="AV26" s="82"/>
      <c r="AW26" s="15"/>
      <c r="AX26" s="15"/>
      <c r="AY26" s="19"/>
      <c r="AZ26" s="17"/>
      <c r="BA26" s="16" t="s">
        <v>420</v>
      </c>
      <c r="BD26" s="83"/>
    </row>
    <row r="27" ht="14.25" customHeight="1">
      <c r="A27" s="19">
        <f t="shared" si="11"/>
        <v>25</v>
      </c>
      <c r="B27" s="15"/>
      <c r="C27" s="15"/>
      <c r="D27" s="15"/>
      <c r="E27" s="17"/>
      <c r="F27" s="17"/>
      <c r="G27" s="15"/>
      <c r="H27" s="15"/>
      <c r="I27" s="15"/>
      <c r="J27" s="17"/>
      <c r="K27" s="17"/>
      <c r="L27" s="19"/>
      <c r="M27" s="17"/>
      <c r="N27" s="17"/>
      <c r="O27" s="17"/>
      <c r="P27" s="77"/>
      <c r="Q27" s="77"/>
      <c r="R27" s="17"/>
      <c r="S27" s="17"/>
      <c r="T27" s="20"/>
      <c r="U27" s="21"/>
      <c r="V27" s="19"/>
      <c r="W27" s="19"/>
      <c r="X27" s="74"/>
      <c r="Y27" s="65"/>
      <c r="Z27" s="17"/>
      <c r="AA27" s="17"/>
      <c r="AB27" s="17"/>
      <c r="AC27" s="78"/>
      <c r="AD27" s="17"/>
      <c r="AE27" s="22"/>
      <c r="AF27" s="79"/>
      <c r="AG27" s="17"/>
      <c r="AH27" s="80"/>
      <c r="AI27" s="17"/>
      <c r="AJ27" s="17"/>
      <c r="AK27" s="77"/>
      <c r="AL27" s="79"/>
      <c r="AM27" s="65"/>
      <c r="AN27" s="65"/>
      <c r="AO27" s="17"/>
      <c r="AP27" s="81"/>
      <c r="AQ27" s="16"/>
      <c r="AR27" s="16"/>
      <c r="AS27" s="82"/>
      <c r="AT27" s="82"/>
      <c r="AU27" s="82"/>
      <c r="AV27" s="82"/>
      <c r="AW27" s="15"/>
      <c r="AX27" s="15"/>
      <c r="AY27" s="19"/>
      <c r="AZ27" s="17"/>
      <c r="BA27" s="16"/>
      <c r="BD27" s="83"/>
    </row>
    <row r="28" ht="14.25" customHeight="1">
      <c r="A28" s="19">
        <f t="shared" si="11"/>
        <v>26</v>
      </c>
      <c r="B28" s="15"/>
      <c r="C28" s="15"/>
      <c r="D28" s="15"/>
      <c r="E28" s="17"/>
      <c r="F28" s="17"/>
      <c r="G28" s="15"/>
      <c r="H28" s="15"/>
      <c r="I28" s="15"/>
      <c r="J28" s="17"/>
      <c r="K28" s="17"/>
      <c r="L28" s="19"/>
      <c r="M28" s="17"/>
      <c r="N28" s="17"/>
      <c r="O28" s="17"/>
      <c r="P28" s="77"/>
      <c r="Q28" s="77"/>
      <c r="R28" s="17"/>
      <c r="S28" s="17"/>
      <c r="T28" s="20"/>
      <c r="U28" s="21"/>
      <c r="V28" s="19"/>
      <c r="W28" s="19"/>
      <c r="X28" s="74"/>
      <c r="Y28" s="65"/>
      <c r="Z28" s="17"/>
      <c r="AA28" s="17"/>
      <c r="AB28" s="17"/>
      <c r="AC28" s="78"/>
      <c r="AD28" s="17"/>
      <c r="AE28" s="22"/>
      <c r="AF28" s="79"/>
      <c r="AG28" s="17"/>
      <c r="AH28" s="80"/>
      <c r="AI28" s="17"/>
      <c r="AJ28" s="17"/>
      <c r="AK28" s="77"/>
      <c r="AL28" s="79"/>
      <c r="AM28" s="65"/>
      <c r="AN28" s="65"/>
      <c r="AO28" s="17"/>
      <c r="AP28" s="81"/>
      <c r="AQ28" s="16"/>
      <c r="AR28" s="16"/>
      <c r="AS28" s="82"/>
      <c r="AT28" s="82"/>
      <c r="AU28" s="82"/>
      <c r="AV28" s="82"/>
      <c r="AW28" s="15"/>
      <c r="AX28" s="15"/>
      <c r="AY28" s="19"/>
      <c r="AZ28" s="17"/>
      <c r="BA28" s="16"/>
      <c r="BD28" s="83"/>
    </row>
    <row r="29" ht="14.25" customHeight="1">
      <c r="A29" s="19">
        <f t="shared" si="11"/>
        <v>27</v>
      </c>
      <c r="B29" s="16"/>
      <c r="C29" s="16"/>
      <c r="D29" s="16"/>
      <c r="E29" s="19"/>
      <c r="F29" s="19"/>
      <c r="G29" s="16"/>
      <c r="H29" s="16"/>
      <c r="I29" s="16"/>
      <c r="J29" s="19"/>
      <c r="K29" s="19"/>
      <c r="L29" s="19"/>
      <c r="M29" s="19"/>
      <c r="N29" s="19"/>
      <c r="O29" s="19"/>
      <c r="P29" s="19"/>
      <c r="Q29" s="17"/>
      <c r="R29" s="19"/>
      <c r="S29" s="17"/>
      <c r="T29" s="19"/>
      <c r="U29" s="19"/>
      <c r="V29" s="19"/>
      <c r="W29" s="19"/>
      <c r="X29" s="19"/>
      <c r="Y29" s="26"/>
      <c r="Z29" s="19"/>
      <c r="AA29" s="19"/>
      <c r="AB29" s="19"/>
      <c r="AC29" s="22"/>
      <c r="AD29" s="19"/>
      <c r="AE29" s="22"/>
      <c r="AF29" s="62"/>
      <c r="AG29" s="19"/>
      <c r="AH29" s="24"/>
      <c r="AI29" s="19"/>
      <c r="AJ29" s="19"/>
      <c r="AK29" s="19"/>
      <c r="AL29" s="19"/>
      <c r="AM29" s="26"/>
      <c r="AN29" s="26"/>
      <c r="AO29" s="19"/>
      <c r="AP29" s="67"/>
      <c r="AQ29" s="16"/>
      <c r="AR29" s="26"/>
      <c r="AS29" s="64"/>
      <c r="AT29" s="64"/>
      <c r="AU29" s="64"/>
      <c r="AV29" s="64"/>
      <c r="AW29" s="16"/>
      <c r="AX29" s="16"/>
      <c r="AY29" s="19"/>
      <c r="AZ29" s="19"/>
      <c r="BA29" s="16"/>
    </row>
    <row r="30" ht="14.25" customHeight="1"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</row>
    <row r="31" ht="14.25" customHeight="1">
      <c r="A31" s="84" t="s">
        <v>421</v>
      </c>
      <c r="R31" s="29"/>
      <c r="S31" s="29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</row>
    <row r="32" ht="14.25" customHeight="1">
      <c r="A32" s="85" t="s">
        <v>57</v>
      </c>
      <c r="C32" s="84" t="str">
        <f>L18</f>
        <v>Regular</v>
      </c>
      <c r="O32" s="85" t="s">
        <v>422</v>
      </c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</row>
    <row r="33" ht="14.25" customHeight="1">
      <c r="A33" s="85" t="s">
        <v>16</v>
      </c>
      <c r="C33" s="84" t="str">
        <f>L29</f>
        <v/>
      </c>
      <c r="L33" s="85" t="s">
        <v>423</v>
      </c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</row>
    <row r="34" ht="14.25" customHeight="1">
      <c r="A34" s="85" t="s">
        <v>15</v>
      </c>
      <c r="C34" s="8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</row>
    <row r="35" ht="14.25" customHeight="1">
      <c r="A35" s="85" t="s">
        <v>424</v>
      </c>
      <c r="C35" s="8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</row>
    <row r="36" ht="14.25" customHeight="1">
      <c r="C36" s="8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</row>
    <row r="37" ht="14.25" customHeight="1">
      <c r="A37" s="84" t="s">
        <v>32</v>
      </c>
      <c r="C37" s="8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</row>
    <row r="38" ht="14.25" customHeight="1">
      <c r="B38" s="85" t="s">
        <v>61</v>
      </c>
      <c r="C38" s="84" t="str">
        <f>AI18</f>
        <v>Male</v>
      </c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</row>
    <row r="39" ht="14.25" customHeight="1">
      <c r="B39" s="85" t="s">
        <v>135</v>
      </c>
      <c r="C39" s="84" t="str">
        <f>AI29</f>
        <v/>
      </c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4"/>
    </row>
    <row r="40" ht="14.25" customHeight="1">
      <c r="C40" s="8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4"/>
    </row>
    <row r="41" ht="14.25" customHeight="1">
      <c r="A41" s="84" t="s">
        <v>425</v>
      </c>
      <c r="C41" s="8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</row>
    <row r="42" ht="14.25" customHeight="1">
      <c r="A42" s="85" t="s">
        <v>426</v>
      </c>
      <c r="C42" s="84" t="str">
        <f>AG18</f>
        <v>Daily</v>
      </c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</row>
    <row r="43" ht="14.25" customHeight="1">
      <c r="A43" s="85" t="s">
        <v>427</v>
      </c>
      <c r="C43" s="84" t="str">
        <f>AG29</f>
        <v/>
      </c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</row>
    <row r="44" ht="14.25" customHeight="1"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</row>
    <row r="45" ht="14.25" customHeight="1"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</row>
    <row r="46" ht="14.25" customHeight="1"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/>
    </row>
    <row r="47" ht="14.25" customHeight="1"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</row>
    <row r="48" ht="14.25" customHeight="1"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</row>
    <row r="49" ht="14.25" customHeight="1"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</row>
    <row r="50" ht="14.25" customHeight="1"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</row>
    <row r="51" ht="14.25" customHeight="1"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</row>
    <row r="52" ht="14.25" customHeight="1"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</row>
    <row r="53" ht="14.25" customHeight="1"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</row>
    <row r="54" ht="14.25" customHeight="1"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</row>
    <row r="55" ht="14.25" customHeight="1"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</row>
    <row r="56" ht="14.25" customHeight="1"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</row>
    <row r="57" ht="14.25" customHeight="1"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</row>
    <row r="58" ht="14.25" customHeight="1"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54"/>
      <c r="AI58" s="54"/>
    </row>
    <row r="59" ht="14.25" customHeight="1"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/>
    </row>
    <row r="60" ht="14.25" customHeight="1"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/>
    </row>
    <row r="61" ht="14.25" customHeight="1"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54"/>
      <c r="AI61" s="54"/>
    </row>
    <row r="62" ht="14.25" customHeight="1"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</row>
    <row r="63" ht="14.25" customHeight="1">
      <c r="X63" s="54"/>
      <c r="Y63" s="54"/>
      <c r="Z63" s="54"/>
      <c r="AA63" s="54"/>
      <c r="AB63" s="54"/>
      <c r="AC63" s="54"/>
      <c r="AD63" s="54"/>
      <c r="AE63" s="54"/>
      <c r="AF63" s="54"/>
      <c r="AG63" s="54"/>
      <c r="AH63" s="54"/>
      <c r="AI63" s="54"/>
    </row>
    <row r="64" ht="14.25" customHeight="1"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</row>
    <row r="65" ht="14.25" customHeight="1"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4"/>
    </row>
    <row r="66" ht="14.25" customHeight="1"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</row>
    <row r="67" ht="14.25" customHeight="1"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</row>
    <row r="68" ht="14.25" customHeight="1"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54"/>
    </row>
    <row r="69" ht="14.25" customHeight="1"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/>
    </row>
    <row r="70" ht="14.25" customHeight="1"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</row>
    <row r="71" ht="14.25" customHeight="1"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54"/>
    </row>
    <row r="72" ht="14.25" customHeight="1"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</row>
    <row r="73" ht="14.25" customHeight="1"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/>
    </row>
    <row r="74" ht="14.25" customHeight="1"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</row>
    <row r="75" ht="14.25" customHeight="1"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/>
    </row>
    <row r="76" ht="14.25" customHeight="1">
      <c r="X76" s="54"/>
      <c r="Y76" s="54"/>
      <c r="Z76" s="54"/>
      <c r="AA76" s="54"/>
      <c r="AB76" s="54"/>
      <c r="AC76" s="54"/>
      <c r="AD76" s="54"/>
      <c r="AE76" s="54"/>
      <c r="AF76" s="54"/>
      <c r="AG76" s="54"/>
      <c r="AH76" s="54"/>
      <c r="AI76" s="54"/>
    </row>
    <row r="77" ht="14.25" customHeight="1"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</row>
    <row r="78" ht="14.25" customHeight="1"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4"/>
    </row>
    <row r="79" ht="14.25" customHeight="1">
      <c r="X79" s="54"/>
      <c r="Y79" s="54"/>
      <c r="Z79" s="54"/>
      <c r="AA79" s="54"/>
      <c r="AB79" s="54"/>
      <c r="AC79" s="54"/>
      <c r="AD79" s="54"/>
      <c r="AE79" s="54"/>
      <c r="AF79" s="54"/>
      <c r="AG79" s="54"/>
      <c r="AH79" s="54"/>
      <c r="AI79" s="54"/>
    </row>
    <row r="80" ht="14.25" customHeight="1">
      <c r="X80" s="54"/>
      <c r="Y80" s="54"/>
      <c r="Z80" s="54"/>
      <c r="AA80" s="54"/>
      <c r="AB80" s="54"/>
      <c r="AC80" s="54"/>
      <c r="AD80" s="54"/>
      <c r="AE80" s="54"/>
      <c r="AF80" s="54"/>
      <c r="AG80" s="54"/>
      <c r="AH80" s="54"/>
      <c r="AI80" s="54"/>
    </row>
    <row r="81" ht="14.25" customHeight="1">
      <c r="X81" s="54"/>
      <c r="Y81" s="54"/>
      <c r="Z81" s="54"/>
      <c r="AA81" s="54"/>
      <c r="AB81" s="54"/>
      <c r="AC81" s="54"/>
      <c r="AD81" s="54"/>
      <c r="AE81" s="54"/>
      <c r="AF81" s="54"/>
      <c r="AG81" s="54"/>
      <c r="AH81" s="54"/>
      <c r="AI81" s="54"/>
    </row>
    <row r="82" ht="14.25" customHeight="1"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</row>
    <row r="83" ht="14.25" customHeight="1"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</row>
    <row r="84" ht="14.25" customHeight="1">
      <c r="X84" s="54"/>
      <c r="Y84" s="54"/>
      <c r="Z84" s="54"/>
      <c r="AA84" s="54"/>
      <c r="AB84" s="54"/>
      <c r="AC84" s="54"/>
      <c r="AD84" s="54"/>
      <c r="AE84" s="54"/>
      <c r="AF84" s="54"/>
      <c r="AG84" s="54"/>
      <c r="AH84" s="54"/>
      <c r="AI84" s="54"/>
    </row>
    <row r="85" ht="14.25" customHeight="1"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</row>
    <row r="86" ht="14.25" customHeight="1"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</row>
    <row r="87" ht="14.25" customHeight="1"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</row>
    <row r="88" ht="14.25" customHeight="1"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</row>
    <row r="89" ht="14.25" customHeight="1"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</row>
    <row r="90" ht="14.25" customHeight="1"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</row>
    <row r="91" ht="14.25" customHeight="1"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</row>
    <row r="92" ht="14.25" customHeight="1"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</row>
    <row r="93" ht="14.25" customHeight="1"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</row>
    <row r="94" ht="14.25" customHeight="1"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</row>
    <row r="95" ht="14.25" customHeight="1"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</row>
    <row r="96" ht="14.25" customHeight="1">
      <c r="X96" s="54"/>
      <c r="Y96" s="54"/>
      <c r="Z96" s="54"/>
      <c r="AA96" s="54"/>
      <c r="AB96" s="54"/>
      <c r="AC96" s="54"/>
      <c r="AD96" s="54"/>
      <c r="AE96" s="54"/>
      <c r="AF96" s="54"/>
      <c r="AG96" s="54"/>
      <c r="AH96" s="54"/>
      <c r="AI96" s="54"/>
    </row>
    <row r="97" ht="14.25" customHeight="1">
      <c r="X97" s="54"/>
      <c r="Y97" s="54"/>
      <c r="Z97" s="54"/>
      <c r="AA97" s="54"/>
      <c r="AB97" s="54"/>
      <c r="AC97" s="54"/>
      <c r="AD97" s="54"/>
      <c r="AE97" s="54"/>
      <c r="AF97" s="54"/>
      <c r="AG97" s="54"/>
      <c r="AH97" s="54"/>
      <c r="AI97" s="54"/>
    </row>
    <row r="98" ht="14.25" customHeight="1">
      <c r="X98" s="54"/>
      <c r="Y98" s="54"/>
      <c r="Z98" s="54"/>
      <c r="AA98" s="54"/>
      <c r="AB98" s="54"/>
      <c r="AC98" s="54"/>
      <c r="AD98" s="54"/>
      <c r="AE98" s="54"/>
      <c r="AF98" s="54"/>
      <c r="AG98" s="54"/>
      <c r="AH98" s="54"/>
      <c r="AI98" s="54"/>
    </row>
    <row r="99" ht="14.25" customHeight="1">
      <c r="X99" s="54"/>
      <c r="Y99" s="54"/>
      <c r="Z99" s="54"/>
      <c r="AA99" s="54"/>
      <c r="AB99" s="54"/>
      <c r="AC99" s="54"/>
      <c r="AD99" s="54"/>
      <c r="AE99" s="54"/>
      <c r="AF99" s="54"/>
      <c r="AG99" s="54"/>
      <c r="AH99" s="54"/>
      <c r="AI99" s="54"/>
    </row>
    <row r="100" ht="14.25" customHeight="1">
      <c r="X100" s="54"/>
      <c r="Y100" s="54"/>
      <c r="Z100" s="54"/>
      <c r="AA100" s="54"/>
      <c r="AB100" s="54"/>
      <c r="AC100" s="54"/>
      <c r="AD100" s="54"/>
      <c r="AE100" s="54"/>
      <c r="AF100" s="54"/>
      <c r="AG100" s="54"/>
      <c r="AH100" s="54"/>
      <c r="AI100" s="54"/>
    </row>
    <row r="101" ht="14.25" customHeight="1">
      <c r="X101" s="54"/>
      <c r="Y101" s="54"/>
      <c r="Z101" s="54"/>
      <c r="AA101" s="54"/>
      <c r="AB101" s="54"/>
      <c r="AC101" s="54"/>
      <c r="AD101" s="54"/>
      <c r="AE101" s="54"/>
      <c r="AF101" s="54"/>
      <c r="AG101" s="54"/>
      <c r="AH101" s="54"/>
      <c r="AI101" s="54"/>
    </row>
    <row r="102" ht="14.25" customHeight="1">
      <c r="X102" s="54"/>
      <c r="Y102" s="54"/>
      <c r="Z102" s="54"/>
      <c r="AA102" s="54"/>
      <c r="AB102" s="54"/>
      <c r="AC102" s="54"/>
      <c r="AD102" s="54"/>
      <c r="AE102" s="54"/>
      <c r="AF102" s="54"/>
      <c r="AG102" s="54"/>
      <c r="AH102" s="54"/>
      <c r="AI102" s="54"/>
    </row>
    <row r="103" ht="14.25" customHeight="1">
      <c r="X103" s="54"/>
      <c r="Y103" s="54"/>
      <c r="Z103" s="54"/>
      <c r="AA103" s="54"/>
      <c r="AB103" s="54"/>
      <c r="AC103" s="54"/>
      <c r="AD103" s="54"/>
      <c r="AE103" s="54"/>
      <c r="AF103" s="54"/>
      <c r="AG103" s="54"/>
      <c r="AH103" s="54"/>
      <c r="AI103" s="54"/>
    </row>
    <row r="104" ht="14.25" customHeight="1"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</row>
    <row r="105" ht="14.25" customHeight="1">
      <c r="X105" s="54"/>
      <c r="Y105" s="54"/>
      <c r="Z105" s="54"/>
      <c r="AA105" s="54"/>
      <c r="AB105" s="54"/>
      <c r="AC105" s="54"/>
      <c r="AD105" s="54"/>
      <c r="AE105" s="54"/>
      <c r="AF105" s="54"/>
      <c r="AG105" s="54"/>
      <c r="AH105" s="54"/>
      <c r="AI105" s="54"/>
    </row>
    <row r="106" ht="14.25" customHeight="1">
      <c r="X106" s="54"/>
      <c r="Y106" s="54"/>
      <c r="Z106" s="54"/>
      <c r="AA106" s="54"/>
      <c r="AB106" s="54"/>
      <c r="AC106" s="54"/>
      <c r="AD106" s="54"/>
      <c r="AE106" s="54"/>
      <c r="AF106" s="54"/>
      <c r="AG106" s="54"/>
      <c r="AH106" s="54"/>
      <c r="AI106" s="54"/>
    </row>
    <row r="107" ht="14.25" customHeight="1">
      <c r="X107" s="54"/>
      <c r="Y107" s="54"/>
      <c r="Z107" s="54"/>
      <c r="AA107" s="54"/>
      <c r="AB107" s="54"/>
      <c r="AC107" s="54"/>
      <c r="AD107" s="54"/>
      <c r="AE107" s="54"/>
      <c r="AF107" s="54"/>
      <c r="AG107" s="54"/>
      <c r="AH107" s="54"/>
      <c r="AI107" s="54"/>
    </row>
    <row r="108" ht="14.25" customHeight="1">
      <c r="X108" s="54"/>
      <c r="Y108" s="54"/>
      <c r="Z108" s="54"/>
      <c r="AA108" s="54"/>
      <c r="AB108" s="54"/>
      <c r="AC108" s="54"/>
      <c r="AD108" s="54"/>
      <c r="AE108" s="54"/>
      <c r="AF108" s="54"/>
      <c r="AG108" s="54"/>
      <c r="AH108" s="54"/>
      <c r="AI108" s="54"/>
    </row>
    <row r="109" ht="14.25" customHeight="1">
      <c r="X109" s="54"/>
      <c r="Y109" s="54"/>
      <c r="Z109" s="54"/>
      <c r="AA109" s="54"/>
      <c r="AB109" s="54"/>
      <c r="AC109" s="54"/>
      <c r="AD109" s="54"/>
      <c r="AE109" s="54"/>
      <c r="AF109" s="54"/>
      <c r="AG109" s="54"/>
      <c r="AH109" s="54"/>
      <c r="AI109" s="54"/>
    </row>
    <row r="110" ht="14.25" customHeight="1">
      <c r="X110" s="54"/>
      <c r="Y110" s="54"/>
      <c r="Z110" s="54"/>
      <c r="AA110" s="54"/>
      <c r="AB110" s="54"/>
      <c r="AC110" s="54"/>
      <c r="AD110" s="54"/>
      <c r="AE110" s="54"/>
      <c r="AF110" s="54"/>
      <c r="AG110" s="54"/>
      <c r="AH110" s="54"/>
      <c r="AI110" s="54"/>
    </row>
    <row r="111" ht="14.25" customHeight="1">
      <c r="X111" s="54"/>
      <c r="Y111" s="54"/>
      <c r="Z111" s="54"/>
      <c r="AA111" s="54"/>
      <c r="AB111" s="54"/>
      <c r="AC111" s="54"/>
      <c r="AD111" s="54"/>
      <c r="AE111" s="54"/>
      <c r="AF111" s="54"/>
      <c r="AG111" s="54"/>
      <c r="AH111" s="54"/>
      <c r="AI111" s="54"/>
    </row>
    <row r="112" ht="14.25" customHeight="1">
      <c r="X112" s="54"/>
      <c r="Y112" s="54"/>
      <c r="Z112" s="54"/>
      <c r="AA112" s="54"/>
      <c r="AB112" s="54"/>
      <c r="AC112" s="54"/>
      <c r="AD112" s="54"/>
      <c r="AE112" s="54"/>
      <c r="AF112" s="54"/>
      <c r="AG112" s="54"/>
      <c r="AH112" s="54"/>
      <c r="AI112" s="54"/>
    </row>
    <row r="113" ht="14.25" customHeight="1">
      <c r="X113" s="54"/>
      <c r="Y113" s="54"/>
      <c r="Z113" s="54"/>
      <c r="AA113" s="54"/>
      <c r="AB113" s="54"/>
      <c r="AC113" s="54"/>
      <c r="AD113" s="54"/>
      <c r="AE113" s="54"/>
      <c r="AF113" s="54"/>
      <c r="AG113" s="54"/>
      <c r="AH113" s="54"/>
      <c r="AI113" s="54"/>
    </row>
    <row r="114" ht="14.25" customHeight="1">
      <c r="X114" s="54"/>
      <c r="Y114" s="54"/>
      <c r="Z114" s="54"/>
      <c r="AA114" s="54"/>
      <c r="AB114" s="54"/>
      <c r="AC114" s="54"/>
      <c r="AD114" s="54"/>
      <c r="AE114" s="54"/>
      <c r="AF114" s="54"/>
      <c r="AG114" s="54"/>
      <c r="AH114" s="54"/>
      <c r="AI114" s="54"/>
    </row>
    <row r="115" ht="14.25" customHeight="1">
      <c r="X115" s="54"/>
      <c r="Y115" s="54"/>
      <c r="Z115" s="54"/>
      <c r="AA115" s="54"/>
      <c r="AB115" s="54"/>
      <c r="AC115" s="54"/>
      <c r="AD115" s="54"/>
      <c r="AE115" s="54"/>
      <c r="AF115" s="54"/>
      <c r="AG115" s="54"/>
      <c r="AH115" s="54"/>
      <c r="AI115" s="54"/>
    </row>
    <row r="116" ht="14.25" customHeight="1">
      <c r="X116" s="54"/>
      <c r="Y116" s="54"/>
      <c r="Z116" s="54"/>
      <c r="AA116" s="54"/>
      <c r="AB116" s="54"/>
      <c r="AC116" s="54"/>
      <c r="AD116" s="54"/>
      <c r="AE116" s="54"/>
      <c r="AF116" s="54"/>
      <c r="AG116" s="54"/>
      <c r="AH116" s="54"/>
      <c r="AI116" s="54"/>
    </row>
    <row r="117" ht="14.25" customHeight="1">
      <c r="X117" s="54"/>
      <c r="Y117" s="54"/>
      <c r="Z117" s="54"/>
      <c r="AA117" s="54"/>
      <c r="AB117" s="54"/>
      <c r="AC117" s="54"/>
      <c r="AD117" s="54"/>
      <c r="AE117" s="54"/>
      <c r="AF117" s="54"/>
      <c r="AG117" s="54"/>
      <c r="AH117" s="54"/>
      <c r="AI117" s="54"/>
    </row>
    <row r="118" ht="14.25" customHeight="1">
      <c r="X118" s="54"/>
      <c r="Y118" s="54"/>
      <c r="Z118" s="54"/>
      <c r="AA118" s="54"/>
      <c r="AB118" s="54"/>
      <c r="AC118" s="54"/>
      <c r="AD118" s="54"/>
      <c r="AE118" s="54"/>
      <c r="AF118" s="54"/>
      <c r="AG118" s="54"/>
      <c r="AH118" s="54"/>
      <c r="AI118" s="54"/>
    </row>
    <row r="119" ht="14.25" customHeight="1">
      <c r="X119" s="54"/>
      <c r="Y119" s="54"/>
      <c r="Z119" s="54"/>
      <c r="AA119" s="54"/>
      <c r="AB119" s="54"/>
      <c r="AC119" s="54"/>
      <c r="AD119" s="54"/>
      <c r="AE119" s="54"/>
      <c r="AF119" s="54"/>
      <c r="AG119" s="54"/>
      <c r="AH119" s="54"/>
      <c r="AI119" s="54"/>
    </row>
    <row r="120" ht="14.25" customHeight="1">
      <c r="X120" s="54"/>
      <c r="Y120" s="54"/>
      <c r="Z120" s="54"/>
      <c r="AA120" s="54"/>
      <c r="AB120" s="54"/>
      <c r="AC120" s="54"/>
      <c r="AD120" s="54"/>
      <c r="AE120" s="54"/>
      <c r="AF120" s="54"/>
      <c r="AG120" s="54"/>
      <c r="AH120" s="54"/>
      <c r="AI120" s="54"/>
    </row>
    <row r="121" ht="14.25" customHeight="1">
      <c r="X121" s="54"/>
      <c r="Y121" s="54"/>
      <c r="Z121" s="54"/>
      <c r="AA121" s="54"/>
      <c r="AB121" s="54"/>
      <c r="AC121" s="54"/>
      <c r="AD121" s="54"/>
      <c r="AE121" s="54"/>
      <c r="AF121" s="54"/>
      <c r="AG121" s="54"/>
      <c r="AH121" s="54"/>
      <c r="AI121" s="54"/>
    </row>
    <row r="122" ht="14.25" customHeight="1">
      <c r="X122" s="54"/>
      <c r="Y122" s="54"/>
      <c r="Z122" s="54"/>
      <c r="AA122" s="54"/>
      <c r="AB122" s="54"/>
      <c r="AC122" s="54"/>
      <c r="AD122" s="54"/>
      <c r="AE122" s="54"/>
      <c r="AF122" s="54"/>
      <c r="AG122" s="54"/>
      <c r="AH122" s="54"/>
      <c r="AI122" s="54"/>
    </row>
    <row r="123" ht="14.25" customHeight="1">
      <c r="X123" s="54"/>
      <c r="Y123" s="54"/>
      <c r="Z123" s="54"/>
      <c r="AA123" s="54"/>
      <c r="AB123" s="54"/>
      <c r="AC123" s="54"/>
      <c r="AD123" s="54"/>
      <c r="AE123" s="54"/>
      <c r="AF123" s="54"/>
      <c r="AG123" s="54"/>
      <c r="AH123" s="54"/>
      <c r="AI123" s="54"/>
    </row>
    <row r="124" ht="14.25" customHeight="1">
      <c r="X124" s="54"/>
      <c r="Y124" s="54"/>
      <c r="Z124" s="54"/>
      <c r="AA124" s="54"/>
      <c r="AB124" s="54"/>
      <c r="AC124" s="54"/>
      <c r="AD124" s="54"/>
      <c r="AE124" s="54"/>
      <c r="AF124" s="54"/>
      <c r="AG124" s="54"/>
      <c r="AH124" s="54"/>
      <c r="AI124" s="54"/>
    </row>
    <row r="125" ht="14.25" customHeight="1">
      <c r="X125" s="54"/>
      <c r="Y125" s="54"/>
      <c r="Z125" s="54"/>
      <c r="AA125" s="54"/>
      <c r="AB125" s="54"/>
      <c r="AC125" s="54"/>
      <c r="AD125" s="54"/>
      <c r="AE125" s="54"/>
      <c r="AF125" s="54"/>
      <c r="AG125" s="54"/>
      <c r="AH125" s="54"/>
      <c r="AI125" s="54"/>
    </row>
    <row r="126" ht="14.25" customHeight="1">
      <c r="X126" s="54"/>
      <c r="Y126" s="54"/>
      <c r="Z126" s="54"/>
      <c r="AA126" s="54"/>
      <c r="AB126" s="54"/>
      <c r="AC126" s="54"/>
      <c r="AD126" s="54"/>
      <c r="AE126" s="54"/>
      <c r="AF126" s="54"/>
      <c r="AG126" s="54"/>
      <c r="AH126" s="54"/>
      <c r="AI126" s="54"/>
    </row>
    <row r="127" ht="14.25" customHeight="1">
      <c r="X127" s="54"/>
      <c r="Y127" s="54"/>
      <c r="Z127" s="54"/>
      <c r="AA127" s="54"/>
      <c r="AB127" s="54"/>
      <c r="AC127" s="54"/>
      <c r="AD127" s="54"/>
      <c r="AE127" s="54"/>
      <c r="AF127" s="54"/>
      <c r="AG127" s="54"/>
      <c r="AH127" s="54"/>
      <c r="AI127" s="54"/>
    </row>
    <row r="128" ht="14.25" customHeight="1">
      <c r="X128" s="54"/>
      <c r="Y128" s="54"/>
      <c r="Z128" s="54"/>
      <c r="AA128" s="54"/>
      <c r="AB128" s="54"/>
      <c r="AC128" s="54"/>
      <c r="AD128" s="54"/>
      <c r="AE128" s="54"/>
      <c r="AF128" s="54"/>
      <c r="AG128" s="54"/>
      <c r="AH128" s="54"/>
      <c r="AI128" s="54"/>
    </row>
    <row r="129" ht="14.25" customHeight="1"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4"/>
      <c r="AI129" s="54"/>
    </row>
    <row r="130" ht="14.25" customHeight="1">
      <c r="X130" s="54"/>
      <c r="Y130" s="54"/>
      <c r="Z130" s="54"/>
      <c r="AA130" s="54"/>
      <c r="AB130" s="54"/>
      <c r="AC130" s="54"/>
      <c r="AD130" s="54"/>
      <c r="AE130" s="54"/>
      <c r="AF130" s="54"/>
      <c r="AG130" s="54"/>
      <c r="AH130" s="54"/>
      <c r="AI130" s="54"/>
    </row>
    <row r="131" ht="14.25" customHeight="1">
      <c r="X131" s="54"/>
      <c r="Y131" s="54"/>
      <c r="Z131" s="54"/>
      <c r="AA131" s="54"/>
      <c r="AB131" s="54"/>
      <c r="AC131" s="54"/>
      <c r="AD131" s="54"/>
      <c r="AE131" s="54"/>
      <c r="AF131" s="54"/>
      <c r="AG131" s="54"/>
      <c r="AH131" s="54"/>
      <c r="AI131" s="54"/>
    </row>
    <row r="132" ht="14.25" customHeight="1">
      <c r="X132" s="54"/>
      <c r="Y132" s="54"/>
      <c r="Z132" s="54"/>
      <c r="AA132" s="54"/>
      <c r="AB132" s="54"/>
      <c r="AC132" s="54"/>
      <c r="AD132" s="54"/>
      <c r="AE132" s="54"/>
      <c r="AF132" s="54"/>
      <c r="AG132" s="54"/>
      <c r="AH132" s="54"/>
      <c r="AI132" s="54"/>
    </row>
    <row r="133" ht="14.25" customHeight="1">
      <c r="X133" s="54"/>
      <c r="Y133" s="54"/>
      <c r="Z133" s="54"/>
      <c r="AA133" s="54"/>
      <c r="AB133" s="54"/>
      <c r="AC133" s="54"/>
      <c r="AD133" s="54"/>
      <c r="AE133" s="54"/>
      <c r="AF133" s="54"/>
      <c r="AG133" s="54"/>
      <c r="AH133" s="54"/>
      <c r="AI133" s="54"/>
    </row>
    <row r="134" ht="14.25" customHeight="1">
      <c r="X134" s="54"/>
      <c r="Y134" s="54"/>
      <c r="Z134" s="54"/>
      <c r="AA134" s="54"/>
      <c r="AB134" s="54"/>
      <c r="AC134" s="54"/>
      <c r="AD134" s="54"/>
      <c r="AE134" s="54"/>
      <c r="AF134" s="54"/>
      <c r="AG134" s="54"/>
      <c r="AH134" s="54"/>
      <c r="AI134" s="54"/>
    </row>
    <row r="135" ht="14.25" customHeight="1">
      <c r="X135" s="54"/>
      <c r="Y135" s="54"/>
      <c r="Z135" s="54"/>
      <c r="AA135" s="54"/>
      <c r="AB135" s="54"/>
      <c r="AC135" s="54"/>
      <c r="AD135" s="54"/>
      <c r="AE135" s="54"/>
      <c r="AF135" s="54"/>
      <c r="AG135" s="54"/>
      <c r="AH135" s="54"/>
      <c r="AI135" s="54"/>
    </row>
    <row r="136" ht="14.25" customHeight="1">
      <c r="X136" s="54"/>
      <c r="Y136" s="54"/>
      <c r="Z136" s="54"/>
      <c r="AA136" s="54"/>
      <c r="AB136" s="54"/>
      <c r="AC136" s="54"/>
      <c r="AD136" s="54"/>
      <c r="AE136" s="54"/>
      <c r="AF136" s="54"/>
      <c r="AG136" s="54"/>
      <c r="AH136" s="54"/>
      <c r="AI136" s="54"/>
    </row>
    <row r="137" ht="14.25" customHeight="1">
      <c r="X137" s="54"/>
      <c r="Y137" s="54"/>
      <c r="Z137" s="54"/>
      <c r="AA137" s="54"/>
      <c r="AB137" s="54"/>
      <c r="AC137" s="54"/>
      <c r="AD137" s="54"/>
      <c r="AE137" s="54"/>
      <c r="AF137" s="54"/>
      <c r="AG137" s="54"/>
      <c r="AH137" s="54"/>
      <c r="AI137" s="54"/>
    </row>
    <row r="138" ht="14.25" customHeight="1">
      <c r="X138" s="54"/>
      <c r="Y138" s="54"/>
      <c r="Z138" s="54"/>
      <c r="AA138" s="54"/>
      <c r="AB138" s="54"/>
      <c r="AC138" s="54"/>
      <c r="AD138" s="54"/>
      <c r="AE138" s="54"/>
      <c r="AF138" s="54"/>
      <c r="AG138" s="54"/>
      <c r="AH138" s="54"/>
      <c r="AI138" s="54"/>
    </row>
    <row r="139" ht="14.25" customHeight="1">
      <c r="X139" s="54"/>
      <c r="Y139" s="54"/>
      <c r="Z139" s="54"/>
      <c r="AA139" s="54"/>
      <c r="AB139" s="54"/>
      <c r="AC139" s="54"/>
      <c r="AD139" s="54"/>
      <c r="AE139" s="54"/>
      <c r="AF139" s="54"/>
      <c r="AG139" s="54"/>
      <c r="AH139" s="54"/>
      <c r="AI139" s="54"/>
    </row>
    <row r="140" ht="14.25" customHeight="1">
      <c r="X140" s="54"/>
      <c r="Y140" s="54"/>
      <c r="Z140" s="54"/>
      <c r="AA140" s="54"/>
      <c r="AB140" s="54"/>
      <c r="AC140" s="54"/>
      <c r="AD140" s="54"/>
      <c r="AE140" s="54"/>
      <c r="AF140" s="54"/>
      <c r="AG140" s="54"/>
      <c r="AH140" s="54"/>
      <c r="AI140" s="54"/>
    </row>
    <row r="141" ht="14.25" customHeight="1">
      <c r="X141" s="54"/>
      <c r="Y141" s="54"/>
      <c r="Z141" s="54"/>
      <c r="AA141" s="54"/>
      <c r="AB141" s="54"/>
      <c r="AC141" s="54"/>
      <c r="AD141" s="54"/>
      <c r="AE141" s="54"/>
      <c r="AF141" s="54"/>
      <c r="AG141" s="54"/>
      <c r="AH141" s="54"/>
      <c r="AI141" s="54"/>
    </row>
    <row r="142" ht="14.25" customHeight="1">
      <c r="X142" s="54"/>
      <c r="Y142" s="54"/>
      <c r="Z142" s="54"/>
      <c r="AA142" s="54"/>
      <c r="AB142" s="54"/>
      <c r="AC142" s="54"/>
      <c r="AD142" s="54"/>
      <c r="AE142" s="54"/>
      <c r="AF142" s="54"/>
      <c r="AG142" s="54"/>
      <c r="AH142" s="54"/>
      <c r="AI142" s="54"/>
    </row>
    <row r="143" ht="14.25" customHeight="1">
      <c r="X143" s="54"/>
      <c r="Y143" s="54"/>
      <c r="Z143" s="54"/>
      <c r="AA143" s="54"/>
      <c r="AB143" s="54"/>
      <c r="AC143" s="54"/>
      <c r="AD143" s="54"/>
      <c r="AE143" s="54"/>
      <c r="AF143" s="54"/>
      <c r="AG143" s="54"/>
      <c r="AH143" s="54"/>
      <c r="AI143" s="54"/>
    </row>
    <row r="144" ht="14.25" customHeight="1">
      <c r="X144" s="54"/>
      <c r="Y144" s="54"/>
      <c r="Z144" s="54"/>
      <c r="AA144" s="54"/>
      <c r="AB144" s="54"/>
      <c r="AC144" s="54"/>
      <c r="AD144" s="54"/>
      <c r="AE144" s="54"/>
      <c r="AF144" s="54"/>
      <c r="AG144" s="54"/>
      <c r="AH144" s="54"/>
      <c r="AI144" s="54"/>
    </row>
    <row r="145" ht="14.25" customHeight="1">
      <c r="X145" s="54"/>
      <c r="Y145" s="54"/>
      <c r="Z145" s="54"/>
      <c r="AA145" s="54"/>
      <c r="AB145" s="54"/>
      <c r="AC145" s="54"/>
      <c r="AD145" s="54"/>
      <c r="AE145" s="54"/>
      <c r="AF145" s="54"/>
      <c r="AG145" s="54"/>
      <c r="AH145" s="54"/>
      <c r="AI145" s="54"/>
    </row>
    <row r="146" ht="14.25" customHeight="1">
      <c r="X146" s="54"/>
      <c r="Y146" s="54"/>
      <c r="Z146" s="54"/>
      <c r="AA146" s="54"/>
      <c r="AB146" s="54"/>
      <c r="AC146" s="54"/>
      <c r="AD146" s="54"/>
      <c r="AE146" s="54"/>
      <c r="AF146" s="54"/>
      <c r="AG146" s="54"/>
      <c r="AH146" s="54"/>
      <c r="AI146" s="54"/>
    </row>
    <row r="147" ht="14.25" customHeight="1">
      <c r="X147" s="54"/>
      <c r="Y147" s="54"/>
      <c r="Z147" s="54"/>
      <c r="AA147" s="54"/>
      <c r="AB147" s="54"/>
      <c r="AC147" s="54"/>
      <c r="AD147" s="54"/>
      <c r="AE147" s="54"/>
      <c r="AF147" s="54"/>
      <c r="AG147" s="54"/>
      <c r="AH147" s="54"/>
      <c r="AI147" s="54"/>
    </row>
    <row r="148" ht="14.25" customHeight="1">
      <c r="X148" s="54"/>
      <c r="Y148" s="54"/>
      <c r="Z148" s="54"/>
      <c r="AA148" s="54"/>
      <c r="AB148" s="54"/>
      <c r="AC148" s="54"/>
      <c r="AD148" s="54"/>
      <c r="AE148" s="54"/>
      <c r="AF148" s="54"/>
      <c r="AG148" s="54"/>
      <c r="AH148" s="54"/>
      <c r="AI148" s="54"/>
    </row>
    <row r="149" ht="14.25" customHeight="1">
      <c r="X149" s="54"/>
      <c r="Y149" s="54"/>
      <c r="Z149" s="54"/>
      <c r="AA149" s="54"/>
      <c r="AB149" s="54"/>
      <c r="AC149" s="54"/>
      <c r="AD149" s="54"/>
      <c r="AE149" s="54"/>
      <c r="AF149" s="54"/>
      <c r="AG149" s="54"/>
      <c r="AH149" s="54"/>
      <c r="AI149" s="54"/>
    </row>
    <row r="150" ht="14.25" customHeight="1">
      <c r="X150" s="54"/>
      <c r="Y150" s="54"/>
      <c r="Z150" s="54"/>
      <c r="AA150" s="54"/>
      <c r="AB150" s="54"/>
      <c r="AC150" s="54"/>
      <c r="AD150" s="54"/>
      <c r="AE150" s="54"/>
      <c r="AF150" s="54"/>
      <c r="AG150" s="54"/>
      <c r="AH150" s="54"/>
      <c r="AI150" s="54"/>
    </row>
    <row r="151" ht="14.25" customHeight="1">
      <c r="X151" s="54"/>
      <c r="Y151" s="54"/>
      <c r="Z151" s="54"/>
      <c r="AA151" s="54"/>
      <c r="AB151" s="54"/>
      <c r="AC151" s="54"/>
      <c r="AD151" s="54"/>
      <c r="AE151" s="54"/>
      <c r="AF151" s="54"/>
      <c r="AG151" s="54"/>
      <c r="AH151" s="54"/>
      <c r="AI151" s="54"/>
    </row>
    <row r="152" ht="14.25" customHeight="1">
      <c r="X152" s="54"/>
      <c r="Y152" s="54"/>
      <c r="Z152" s="54"/>
      <c r="AA152" s="54"/>
      <c r="AB152" s="54"/>
      <c r="AC152" s="54"/>
      <c r="AD152" s="54"/>
      <c r="AE152" s="54"/>
      <c r="AF152" s="54"/>
      <c r="AG152" s="54"/>
      <c r="AH152" s="54"/>
      <c r="AI152" s="54"/>
    </row>
    <row r="153" ht="14.25" customHeight="1">
      <c r="X153" s="54"/>
      <c r="Y153" s="54"/>
      <c r="Z153" s="54"/>
      <c r="AA153" s="54"/>
      <c r="AB153" s="54"/>
      <c r="AC153" s="54"/>
      <c r="AD153" s="54"/>
      <c r="AE153" s="54"/>
      <c r="AF153" s="54"/>
      <c r="AG153" s="54"/>
      <c r="AH153" s="54"/>
      <c r="AI153" s="54"/>
    </row>
    <row r="154" ht="14.25" customHeight="1">
      <c r="X154" s="54"/>
      <c r="Y154" s="54"/>
      <c r="Z154" s="54"/>
      <c r="AA154" s="54"/>
      <c r="AB154" s="54"/>
      <c r="AC154" s="54"/>
      <c r="AD154" s="54"/>
      <c r="AE154" s="54"/>
      <c r="AF154" s="54"/>
      <c r="AG154" s="54"/>
      <c r="AH154" s="54"/>
      <c r="AI154" s="54"/>
    </row>
    <row r="155" ht="14.25" customHeight="1"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</row>
    <row r="156" ht="14.25" customHeight="1">
      <c r="X156" s="54"/>
      <c r="Y156" s="54"/>
      <c r="Z156" s="54"/>
      <c r="AA156" s="54"/>
      <c r="AB156" s="54"/>
      <c r="AC156" s="54"/>
      <c r="AD156" s="54"/>
      <c r="AE156" s="54"/>
      <c r="AF156" s="54"/>
      <c r="AG156" s="54"/>
      <c r="AH156" s="54"/>
      <c r="AI156" s="54"/>
    </row>
    <row r="157" ht="14.25" customHeight="1">
      <c r="X157" s="54"/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  <c r="AI157" s="54"/>
    </row>
    <row r="158" ht="14.25" customHeight="1">
      <c r="X158" s="54"/>
      <c r="Y158" s="54"/>
      <c r="Z158" s="54"/>
      <c r="AA158" s="54"/>
      <c r="AB158" s="54"/>
      <c r="AC158" s="54"/>
      <c r="AD158" s="54"/>
      <c r="AE158" s="54"/>
      <c r="AF158" s="54"/>
      <c r="AG158" s="54"/>
      <c r="AH158" s="54"/>
      <c r="AI158" s="54"/>
    </row>
    <row r="159" ht="14.25" customHeight="1">
      <c r="X159" s="54"/>
      <c r="Y159" s="54"/>
      <c r="Z159" s="54"/>
      <c r="AA159" s="54"/>
      <c r="AB159" s="54"/>
      <c r="AC159" s="54"/>
      <c r="AD159" s="54"/>
      <c r="AE159" s="54"/>
      <c r="AF159" s="54"/>
      <c r="AG159" s="54"/>
      <c r="AH159" s="54"/>
      <c r="AI159" s="54"/>
    </row>
    <row r="160" ht="14.25" customHeight="1">
      <c r="X160" s="54"/>
      <c r="Y160" s="54"/>
      <c r="Z160" s="54"/>
      <c r="AA160" s="54"/>
      <c r="AB160" s="54"/>
      <c r="AC160" s="54"/>
      <c r="AD160" s="54"/>
      <c r="AE160" s="54"/>
      <c r="AF160" s="54"/>
      <c r="AG160" s="54"/>
      <c r="AH160" s="54"/>
      <c r="AI160" s="54"/>
    </row>
    <row r="161" ht="14.25" customHeight="1">
      <c r="X161" s="54"/>
      <c r="Y161" s="54"/>
      <c r="Z161" s="54"/>
      <c r="AA161" s="54"/>
      <c r="AB161" s="54"/>
      <c r="AC161" s="54"/>
      <c r="AD161" s="54"/>
      <c r="AE161" s="54"/>
      <c r="AF161" s="54"/>
      <c r="AG161" s="54"/>
      <c r="AH161" s="54"/>
      <c r="AI161" s="54"/>
    </row>
    <row r="162" ht="14.25" customHeight="1">
      <c r="X162" s="54"/>
      <c r="Y162" s="54"/>
      <c r="Z162" s="54"/>
      <c r="AA162" s="54"/>
      <c r="AB162" s="54"/>
      <c r="AC162" s="54"/>
      <c r="AD162" s="54"/>
      <c r="AE162" s="54"/>
      <c r="AF162" s="54"/>
      <c r="AG162" s="54"/>
      <c r="AH162" s="54"/>
      <c r="AI162" s="54"/>
    </row>
    <row r="163" ht="14.25" customHeight="1">
      <c r="X163" s="54"/>
      <c r="Y163" s="54"/>
      <c r="Z163" s="54"/>
      <c r="AA163" s="54"/>
      <c r="AB163" s="54"/>
      <c r="AC163" s="54"/>
      <c r="AD163" s="54"/>
      <c r="AE163" s="54"/>
      <c r="AF163" s="54"/>
      <c r="AG163" s="54"/>
      <c r="AH163" s="54"/>
      <c r="AI163" s="54"/>
    </row>
    <row r="164" ht="14.25" customHeight="1">
      <c r="X164" s="54"/>
      <c r="Y164" s="54"/>
      <c r="Z164" s="54"/>
      <c r="AA164" s="54"/>
      <c r="AB164" s="54"/>
      <c r="AC164" s="54"/>
      <c r="AD164" s="54"/>
      <c r="AE164" s="54"/>
      <c r="AF164" s="54"/>
      <c r="AG164" s="54"/>
      <c r="AH164" s="54"/>
      <c r="AI164" s="54"/>
    </row>
    <row r="165" ht="14.25" customHeight="1">
      <c r="X165" s="54"/>
      <c r="Y165" s="54"/>
      <c r="Z165" s="54"/>
      <c r="AA165" s="54"/>
      <c r="AB165" s="54"/>
      <c r="AC165" s="54"/>
      <c r="AD165" s="54"/>
      <c r="AE165" s="54"/>
      <c r="AF165" s="54"/>
      <c r="AG165" s="54"/>
      <c r="AH165" s="54"/>
      <c r="AI165" s="54"/>
    </row>
    <row r="166" ht="14.25" customHeight="1">
      <c r="X166" s="54"/>
      <c r="Y166" s="54"/>
      <c r="Z166" s="54"/>
      <c r="AA166" s="54"/>
      <c r="AB166" s="54"/>
      <c r="AC166" s="54"/>
      <c r="AD166" s="54"/>
      <c r="AE166" s="54"/>
      <c r="AF166" s="54"/>
      <c r="AG166" s="54"/>
      <c r="AH166" s="54"/>
      <c r="AI166" s="54"/>
    </row>
    <row r="167" ht="14.25" customHeight="1">
      <c r="X167" s="54"/>
      <c r="Y167" s="54"/>
      <c r="Z167" s="54"/>
      <c r="AA167" s="54"/>
      <c r="AB167" s="54"/>
      <c r="AC167" s="54"/>
      <c r="AD167" s="54"/>
      <c r="AE167" s="54"/>
      <c r="AF167" s="54"/>
      <c r="AG167" s="54"/>
      <c r="AH167" s="54"/>
      <c r="AI167" s="54"/>
    </row>
    <row r="168" ht="14.25" customHeight="1">
      <c r="X168" s="54"/>
      <c r="Y168" s="54"/>
      <c r="Z168" s="54"/>
      <c r="AA168" s="54"/>
      <c r="AB168" s="54"/>
      <c r="AC168" s="54"/>
      <c r="AD168" s="54"/>
      <c r="AE168" s="54"/>
      <c r="AF168" s="54"/>
      <c r="AG168" s="54"/>
      <c r="AH168" s="54"/>
      <c r="AI168" s="54"/>
    </row>
    <row r="169" ht="14.25" customHeight="1"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</row>
    <row r="170" ht="14.25" customHeight="1">
      <c r="X170" s="54"/>
      <c r="Y170" s="54"/>
      <c r="Z170" s="54"/>
      <c r="AA170" s="54"/>
      <c r="AB170" s="54"/>
      <c r="AC170" s="54"/>
      <c r="AD170" s="54"/>
      <c r="AE170" s="54"/>
      <c r="AF170" s="54"/>
      <c r="AG170" s="54"/>
      <c r="AH170" s="54"/>
      <c r="AI170" s="54"/>
    </row>
    <row r="171" ht="14.25" customHeight="1">
      <c r="X171" s="54"/>
      <c r="Y171" s="54"/>
      <c r="Z171" s="54"/>
      <c r="AA171" s="54"/>
      <c r="AB171" s="54"/>
      <c r="AC171" s="54"/>
      <c r="AD171" s="54"/>
      <c r="AE171" s="54"/>
      <c r="AF171" s="54"/>
      <c r="AG171" s="54"/>
      <c r="AH171" s="54"/>
      <c r="AI171" s="54"/>
    </row>
    <row r="172" ht="14.25" customHeight="1">
      <c r="X172" s="54"/>
      <c r="Y172" s="54"/>
      <c r="Z172" s="54"/>
      <c r="AA172" s="54"/>
      <c r="AB172" s="54"/>
      <c r="AC172" s="54"/>
      <c r="AD172" s="54"/>
      <c r="AE172" s="54"/>
      <c r="AF172" s="54"/>
      <c r="AG172" s="54"/>
      <c r="AH172" s="54"/>
      <c r="AI172" s="54"/>
    </row>
    <row r="173" ht="14.25" customHeight="1">
      <c r="X173" s="54"/>
      <c r="Y173" s="54"/>
      <c r="Z173" s="54"/>
      <c r="AA173" s="54"/>
      <c r="AB173" s="54"/>
      <c r="AC173" s="54"/>
      <c r="AD173" s="54"/>
      <c r="AE173" s="54"/>
      <c r="AF173" s="54"/>
      <c r="AG173" s="54"/>
      <c r="AH173" s="54"/>
      <c r="AI173" s="54"/>
    </row>
    <row r="174" ht="14.25" customHeight="1">
      <c r="X174" s="54"/>
      <c r="Y174" s="54"/>
      <c r="Z174" s="54"/>
      <c r="AA174" s="54"/>
      <c r="AB174" s="54"/>
      <c r="AC174" s="54"/>
      <c r="AD174" s="54"/>
      <c r="AE174" s="54"/>
      <c r="AF174" s="54"/>
      <c r="AG174" s="54"/>
      <c r="AH174" s="54"/>
      <c r="AI174" s="54"/>
    </row>
    <row r="175" ht="14.25" customHeight="1">
      <c r="X175" s="54"/>
      <c r="Y175" s="54"/>
      <c r="Z175" s="54"/>
      <c r="AA175" s="54"/>
      <c r="AB175" s="54"/>
      <c r="AC175" s="54"/>
      <c r="AD175" s="54"/>
      <c r="AE175" s="54"/>
      <c r="AF175" s="54"/>
      <c r="AG175" s="54"/>
      <c r="AH175" s="54"/>
      <c r="AI175" s="54"/>
    </row>
    <row r="176" ht="14.25" customHeight="1">
      <c r="X176" s="54"/>
      <c r="Y176" s="54"/>
      <c r="Z176" s="54"/>
      <c r="AA176" s="54"/>
      <c r="AB176" s="54"/>
      <c r="AC176" s="54"/>
      <c r="AD176" s="54"/>
      <c r="AE176" s="54"/>
      <c r="AF176" s="54"/>
      <c r="AG176" s="54"/>
      <c r="AH176" s="54"/>
      <c r="AI176" s="54"/>
    </row>
    <row r="177" ht="14.25" customHeight="1">
      <c r="X177" s="54"/>
      <c r="Y177" s="54"/>
      <c r="Z177" s="54"/>
      <c r="AA177" s="54"/>
      <c r="AB177" s="54"/>
      <c r="AC177" s="54"/>
      <c r="AD177" s="54"/>
      <c r="AE177" s="54"/>
      <c r="AF177" s="54"/>
      <c r="AG177" s="54"/>
      <c r="AH177" s="54"/>
      <c r="AI177" s="54"/>
    </row>
    <row r="178" ht="14.25" customHeight="1">
      <c r="X178" s="54"/>
      <c r="Y178" s="54"/>
      <c r="Z178" s="54"/>
      <c r="AA178" s="54"/>
      <c r="AB178" s="54"/>
      <c r="AC178" s="54"/>
      <c r="AD178" s="54"/>
      <c r="AE178" s="54"/>
      <c r="AF178" s="54"/>
      <c r="AG178" s="54"/>
      <c r="AH178" s="54"/>
      <c r="AI178" s="54"/>
    </row>
    <row r="179" ht="14.25" customHeight="1">
      <c r="X179" s="54"/>
      <c r="Y179" s="54"/>
      <c r="Z179" s="54"/>
      <c r="AA179" s="54"/>
      <c r="AB179" s="54"/>
      <c r="AC179" s="54"/>
      <c r="AD179" s="54"/>
      <c r="AE179" s="54"/>
      <c r="AF179" s="54"/>
      <c r="AG179" s="54"/>
      <c r="AH179" s="54"/>
      <c r="AI179" s="54"/>
    </row>
    <row r="180" ht="14.25" customHeight="1">
      <c r="X180" s="54"/>
      <c r="Y180" s="54"/>
      <c r="Z180" s="54"/>
      <c r="AA180" s="54"/>
      <c r="AB180" s="54"/>
      <c r="AC180" s="54"/>
      <c r="AD180" s="54"/>
      <c r="AE180" s="54"/>
      <c r="AF180" s="54"/>
      <c r="AG180" s="54"/>
      <c r="AH180" s="54"/>
      <c r="AI180" s="54"/>
    </row>
    <row r="181" ht="14.25" customHeight="1">
      <c r="X181" s="54"/>
      <c r="Y181" s="54"/>
      <c r="Z181" s="54"/>
      <c r="AA181" s="54"/>
      <c r="AB181" s="54"/>
      <c r="AC181" s="54"/>
      <c r="AD181" s="54"/>
      <c r="AE181" s="54"/>
      <c r="AF181" s="54"/>
      <c r="AG181" s="54"/>
      <c r="AH181" s="54"/>
      <c r="AI181" s="54"/>
    </row>
    <row r="182" ht="14.25" customHeight="1">
      <c r="X182" s="54"/>
      <c r="Y182" s="54"/>
      <c r="Z182" s="54"/>
      <c r="AA182" s="54"/>
      <c r="AB182" s="54"/>
      <c r="AC182" s="54"/>
      <c r="AD182" s="54"/>
      <c r="AE182" s="54"/>
      <c r="AF182" s="54"/>
      <c r="AG182" s="54"/>
      <c r="AH182" s="54"/>
      <c r="AI182" s="54"/>
    </row>
    <row r="183" ht="14.25" customHeight="1">
      <c r="X183" s="54"/>
      <c r="Y183" s="54"/>
      <c r="Z183" s="54"/>
      <c r="AA183" s="54"/>
      <c r="AB183" s="54"/>
      <c r="AC183" s="54"/>
      <c r="AD183" s="54"/>
      <c r="AE183" s="54"/>
      <c r="AF183" s="54"/>
      <c r="AG183" s="54"/>
      <c r="AH183" s="54"/>
      <c r="AI183" s="54"/>
    </row>
    <row r="184" ht="14.25" customHeight="1">
      <c r="X184" s="54"/>
      <c r="Y184" s="54"/>
      <c r="Z184" s="54"/>
      <c r="AA184" s="54"/>
      <c r="AB184" s="54"/>
      <c r="AC184" s="54"/>
      <c r="AD184" s="54"/>
      <c r="AE184" s="54"/>
      <c r="AF184" s="54"/>
      <c r="AG184" s="54"/>
      <c r="AH184" s="54"/>
      <c r="AI184" s="54"/>
    </row>
    <row r="185" ht="14.25" customHeight="1">
      <c r="X185" s="54"/>
      <c r="Y185" s="54"/>
      <c r="Z185" s="54"/>
      <c r="AA185" s="54"/>
      <c r="AB185" s="54"/>
      <c r="AC185" s="54"/>
      <c r="AD185" s="54"/>
      <c r="AE185" s="54"/>
      <c r="AF185" s="54"/>
      <c r="AG185" s="54"/>
      <c r="AH185" s="54"/>
      <c r="AI185" s="54"/>
    </row>
    <row r="186" ht="14.25" customHeight="1">
      <c r="X186" s="54"/>
      <c r="Y186" s="54"/>
      <c r="Z186" s="54"/>
      <c r="AA186" s="54"/>
      <c r="AB186" s="54"/>
      <c r="AC186" s="54"/>
      <c r="AD186" s="54"/>
      <c r="AE186" s="54"/>
      <c r="AF186" s="54"/>
      <c r="AG186" s="54"/>
      <c r="AH186" s="54"/>
      <c r="AI186" s="54"/>
    </row>
    <row r="187" ht="14.25" customHeight="1">
      <c r="X187" s="54"/>
      <c r="Y187" s="54"/>
      <c r="Z187" s="54"/>
      <c r="AA187" s="54"/>
      <c r="AB187" s="54"/>
      <c r="AC187" s="54"/>
      <c r="AD187" s="54"/>
      <c r="AE187" s="54"/>
      <c r="AF187" s="54"/>
      <c r="AG187" s="54"/>
      <c r="AH187" s="54"/>
      <c r="AI187" s="54"/>
    </row>
    <row r="188" ht="14.25" customHeight="1">
      <c r="X188" s="54"/>
      <c r="Y188" s="54"/>
      <c r="Z188" s="54"/>
      <c r="AA188" s="54"/>
      <c r="AB188" s="54"/>
      <c r="AC188" s="54"/>
      <c r="AD188" s="54"/>
      <c r="AE188" s="54"/>
      <c r="AF188" s="54"/>
      <c r="AG188" s="54"/>
      <c r="AH188" s="54"/>
      <c r="AI188" s="54"/>
    </row>
    <row r="189" ht="14.25" customHeight="1">
      <c r="X189" s="54"/>
      <c r="Y189" s="54"/>
      <c r="Z189" s="54"/>
      <c r="AA189" s="54"/>
      <c r="AB189" s="54"/>
      <c r="AC189" s="54"/>
      <c r="AD189" s="54"/>
      <c r="AE189" s="54"/>
      <c r="AF189" s="54"/>
      <c r="AG189" s="54"/>
      <c r="AH189" s="54"/>
      <c r="AI189" s="54"/>
    </row>
    <row r="190" ht="14.25" customHeight="1">
      <c r="X190" s="54"/>
      <c r="Y190" s="54"/>
      <c r="Z190" s="54"/>
      <c r="AA190" s="54"/>
      <c r="AB190" s="54"/>
      <c r="AC190" s="54"/>
      <c r="AD190" s="54"/>
      <c r="AE190" s="54"/>
      <c r="AF190" s="54"/>
      <c r="AG190" s="54"/>
      <c r="AH190" s="54"/>
      <c r="AI190" s="54"/>
    </row>
    <row r="191" ht="14.25" customHeight="1">
      <c r="X191" s="54"/>
      <c r="Y191" s="54"/>
      <c r="Z191" s="54"/>
      <c r="AA191" s="54"/>
      <c r="AB191" s="54"/>
      <c r="AC191" s="54"/>
      <c r="AD191" s="54"/>
      <c r="AE191" s="54"/>
      <c r="AF191" s="54"/>
      <c r="AG191" s="54"/>
      <c r="AH191" s="54"/>
      <c r="AI191" s="54"/>
    </row>
    <row r="192" ht="14.25" customHeight="1">
      <c r="X192" s="54"/>
      <c r="Y192" s="54"/>
      <c r="Z192" s="54"/>
      <c r="AA192" s="54"/>
      <c r="AB192" s="54"/>
      <c r="AC192" s="54"/>
      <c r="AD192" s="54"/>
      <c r="AE192" s="54"/>
      <c r="AF192" s="54"/>
      <c r="AG192" s="54"/>
      <c r="AH192" s="54"/>
      <c r="AI192" s="54"/>
    </row>
    <row r="193" ht="14.25" customHeight="1">
      <c r="X193" s="54"/>
      <c r="Y193" s="54"/>
      <c r="Z193" s="54"/>
      <c r="AA193" s="54"/>
      <c r="AB193" s="54"/>
      <c r="AC193" s="54"/>
      <c r="AD193" s="54"/>
      <c r="AE193" s="54"/>
      <c r="AF193" s="54"/>
      <c r="AG193" s="54"/>
      <c r="AH193" s="54"/>
      <c r="AI193" s="54"/>
    </row>
    <row r="194" ht="14.25" customHeight="1">
      <c r="X194" s="54"/>
      <c r="Y194" s="54"/>
      <c r="Z194" s="54"/>
      <c r="AA194" s="54"/>
      <c r="AB194" s="54"/>
      <c r="AC194" s="54"/>
      <c r="AD194" s="54"/>
      <c r="AE194" s="54"/>
      <c r="AF194" s="54"/>
      <c r="AG194" s="54"/>
      <c r="AH194" s="54"/>
      <c r="AI194" s="54"/>
    </row>
    <row r="195" ht="14.25" customHeight="1">
      <c r="X195" s="54"/>
      <c r="Y195" s="54"/>
      <c r="Z195" s="54"/>
      <c r="AA195" s="54"/>
      <c r="AB195" s="54"/>
      <c r="AC195" s="54"/>
      <c r="AD195" s="54"/>
      <c r="AE195" s="54"/>
      <c r="AF195" s="54"/>
      <c r="AG195" s="54"/>
      <c r="AH195" s="54"/>
      <c r="AI195" s="54"/>
    </row>
    <row r="196" ht="14.25" customHeight="1">
      <c r="X196" s="54"/>
      <c r="Y196" s="54"/>
      <c r="Z196" s="54"/>
      <c r="AA196" s="54"/>
      <c r="AB196" s="54"/>
      <c r="AC196" s="54"/>
      <c r="AD196" s="54"/>
      <c r="AE196" s="54"/>
      <c r="AF196" s="54"/>
      <c r="AG196" s="54"/>
      <c r="AH196" s="54"/>
      <c r="AI196" s="54"/>
    </row>
    <row r="197" ht="14.25" customHeight="1">
      <c r="X197" s="54"/>
      <c r="Y197" s="54"/>
      <c r="Z197" s="54"/>
      <c r="AA197" s="54"/>
      <c r="AB197" s="54"/>
      <c r="AC197" s="54"/>
      <c r="AD197" s="54"/>
      <c r="AE197" s="54"/>
      <c r="AF197" s="54"/>
      <c r="AG197" s="54"/>
      <c r="AH197" s="54"/>
      <c r="AI197" s="54"/>
    </row>
    <row r="198" ht="14.25" customHeight="1">
      <c r="X198" s="54"/>
      <c r="Y198" s="54"/>
      <c r="Z198" s="54"/>
      <c r="AA198" s="54"/>
      <c r="AB198" s="54"/>
      <c r="AC198" s="54"/>
      <c r="AD198" s="54"/>
      <c r="AE198" s="54"/>
      <c r="AF198" s="54"/>
      <c r="AG198" s="54"/>
      <c r="AH198" s="54"/>
      <c r="AI198" s="54"/>
    </row>
    <row r="199" ht="14.25" customHeight="1">
      <c r="X199" s="54"/>
      <c r="Y199" s="54"/>
      <c r="Z199" s="54"/>
      <c r="AA199" s="54"/>
      <c r="AB199" s="54"/>
      <c r="AC199" s="54"/>
      <c r="AD199" s="54"/>
      <c r="AE199" s="54"/>
      <c r="AF199" s="54"/>
      <c r="AG199" s="54"/>
      <c r="AH199" s="54"/>
      <c r="AI199" s="54"/>
    </row>
    <row r="200" ht="14.25" customHeight="1">
      <c r="X200" s="54"/>
      <c r="Y200" s="54"/>
      <c r="Z200" s="54"/>
      <c r="AA200" s="54"/>
      <c r="AB200" s="54"/>
      <c r="AC200" s="54"/>
      <c r="AD200" s="54"/>
      <c r="AE200" s="54"/>
      <c r="AF200" s="54"/>
      <c r="AG200" s="54"/>
      <c r="AH200" s="54"/>
      <c r="AI200" s="54"/>
    </row>
    <row r="201" ht="14.25" customHeight="1">
      <c r="X201" s="54"/>
      <c r="Y201" s="54"/>
      <c r="Z201" s="54"/>
      <c r="AA201" s="54"/>
      <c r="AB201" s="54"/>
      <c r="AC201" s="54"/>
      <c r="AD201" s="54"/>
      <c r="AE201" s="54"/>
      <c r="AF201" s="54"/>
      <c r="AG201" s="54"/>
      <c r="AH201" s="54"/>
      <c r="AI201" s="54"/>
    </row>
    <row r="202" ht="14.25" customHeight="1">
      <c r="X202" s="54"/>
      <c r="Y202" s="54"/>
      <c r="Z202" s="54"/>
      <c r="AA202" s="54"/>
      <c r="AB202" s="54"/>
      <c r="AC202" s="54"/>
      <c r="AD202" s="54"/>
      <c r="AE202" s="54"/>
      <c r="AF202" s="54"/>
      <c r="AG202" s="54"/>
      <c r="AH202" s="54"/>
      <c r="AI202" s="54"/>
    </row>
    <row r="203" ht="14.25" customHeight="1">
      <c r="X203" s="54"/>
      <c r="Y203" s="54"/>
      <c r="Z203" s="54"/>
      <c r="AA203" s="54"/>
      <c r="AB203" s="54"/>
      <c r="AC203" s="54"/>
      <c r="AD203" s="54"/>
      <c r="AE203" s="54"/>
      <c r="AF203" s="54"/>
      <c r="AG203" s="54"/>
      <c r="AH203" s="54"/>
      <c r="AI203" s="54"/>
    </row>
    <row r="204" ht="14.25" customHeight="1">
      <c r="X204" s="54"/>
      <c r="Y204" s="54"/>
      <c r="Z204" s="54"/>
      <c r="AA204" s="54"/>
      <c r="AB204" s="54"/>
      <c r="AC204" s="54"/>
      <c r="AD204" s="54"/>
      <c r="AE204" s="54"/>
      <c r="AF204" s="54"/>
      <c r="AG204" s="54"/>
      <c r="AH204" s="54"/>
      <c r="AI204" s="54"/>
    </row>
    <row r="205" ht="14.25" customHeight="1">
      <c r="X205" s="54"/>
      <c r="Y205" s="54"/>
      <c r="Z205" s="54"/>
      <c r="AA205" s="54"/>
      <c r="AB205" s="54"/>
      <c r="AC205" s="54"/>
      <c r="AD205" s="54"/>
      <c r="AE205" s="54"/>
      <c r="AF205" s="54"/>
      <c r="AG205" s="54"/>
      <c r="AH205" s="54"/>
      <c r="AI205" s="54"/>
    </row>
    <row r="206" ht="14.25" customHeight="1">
      <c r="X206" s="54"/>
      <c r="Y206" s="54"/>
      <c r="Z206" s="54"/>
      <c r="AA206" s="54"/>
      <c r="AB206" s="54"/>
      <c r="AC206" s="54"/>
      <c r="AD206" s="54"/>
      <c r="AE206" s="54"/>
      <c r="AF206" s="54"/>
      <c r="AG206" s="54"/>
      <c r="AH206" s="54"/>
      <c r="AI206" s="54"/>
    </row>
    <row r="207" ht="14.25" customHeight="1">
      <c r="X207" s="54"/>
      <c r="Y207" s="54"/>
      <c r="Z207" s="54"/>
      <c r="AA207" s="54"/>
      <c r="AB207" s="54"/>
      <c r="AC207" s="54"/>
      <c r="AD207" s="54"/>
      <c r="AE207" s="54"/>
      <c r="AF207" s="54"/>
      <c r="AG207" s="54"/>
      <c r="AH207" s="54"/>
      <c r="AI207" s="54"/>
    </row>
    <row r="208" ht="14.25" customHeight="1">
      <c r="X208" s="54"/>
      <c r="Y208" s="54"/>
      <c r="Z208" s="54"/>
      <c r="AA208" s="54"/>
      <c r="AB208" s="54"/>
      <c r="AC208" s="54"/>
      <c r="AD208" s="54"/>
      <c r="AE208" s="54"/>
      <c r="AF208" s="54"/>
      <c r="AG208" s="54"/>
      <c r="AH208" s="54"/>
      <c r="AI208" s="54"/>
    </row>
    <row r="209" ht="14.25" customHeight="1">
      <c r="X209" s="54"/>
      <c r="Y209" s="54"/>
      <c r="Z209" s="54"/>
      <c r="AA209" s="54"/>
      <c r="AB209" s="54"/>
      <c r="AC209" s="54"/>
      <c r="AD209" s="54"/>
      <c r="AE209" s="54"/>
      <c r="AF209" s="54"/>
      <c r="AG209" s="54"/>
      <c r="AH209" s="54"/>
      <c r="AI209" s="54"/>
    </row>
    <row r="210" ht="14.25" customHeight="1">
      <c r="X210" s="54"/>
      <c r="Y210" s="54"/>
      <c r="Z210" s="54"/>
      <c r="AA210" s="54"/>
      <c r="AB210" s="54"/>
      <c r="AC210" s="54"/>
      <c r="AD210" s="54"/>
      <c r="AE210" s="54"/>
      <c r="AF210" s="54"/>
      <c r="AG210" s="54"/>
      <c r="AH210" s="54"/>
      <c r="AI210" s="54"/>
    </row>
    <row r="211" ht="14.25" customHeight="1">
      <c r="X211" s="54"/>
      <c r="Y211" s="54"/>
      <c r="Z211" s="54"/>
      <c r="AA211" s="54"/>
      <c r="AB211" s="54"/>
      <c r="AC211" s="54"/>
      <c r="AD211" s="54"/>
      <c r="AE211" s="54"/>
      <c r="AF211" s="54"/>
      <c r="AG211" s="54"/>
      <c r="AH211" s="54"/>
      <c r="AI211" s="54"/>
    </row>
    <row r="212" ht="14.25" customHeight="1">
      <c r="X212" s="54"/>
      <c r="Y212" s="54"/>
      <c r="Z212" s="54"/>
      <c r="AA212" s="54"/>
      <c r="AB212" s="54"/>
      <c r="AC212" s="54"/>
      <c r="AD212" s="54"/>
      <c r="AE212" s="54"/>
      <c r="AF212" s="54"/>
      <c r="AG212" s="54"/>
      <c r="AH212" s="54"/>
      <c r="AI212" s="54"/>
    </row>
    <row r="213" ht="14.25" customHeight="1">
      <c r="X213" s="54"/>
      <c r="Y213" s="54"/>
      <c r="Z213" s="54"/>
      <c r="AA213" s="54"/>
      <c r="AB213" s="54"/>
      <c r="AC213" s="54"/>
      <c r="AD213" s="54"/>
      <c r="AE213" s="54"/>
      <c r="AF213" s="54"/>
      <c r="AG213" s="54"/>
      <c r="AH213" s="54"/>
      <c r="AI213" s="54"/>
    </row>
    <row r="214" ht="14.25" customHeight="1">
      <c r="X214" s="54"/>
      <c r="Y214" s="54"/>
      <c r="Z214" s="54"/>
      <c r="AA214" s="54"/>
      <c r="AB214" s="54"/>
      <c r="AC214" s="54"/>
      <c r="AD214" s="54"/>
      <c r="AE214" s="54"/>
      <c r="AF214" s="54"/>
      <c r="AG214" s="54"/>
      <c r="AH214" s="54"/>
      <c r="AI214" s="54"/>
    </row>
    <row r="215" ht="14.25" customHeight="1">
      <c r="X215" s="54"/>
      <c r="Y215" s="54"/>
      <c r="Z215" s="54"/>
      <c r="AA215" s="54"/>
      <c r="AB215" s="54"/>
      <c r="AC215" s="54"/>
      <c r="AD215" s="54"/>
      <c r="AE215" s="54"/>
      <c r="AF215" s="54"/>
      <c r="AG215" s="54"/>
      <c r="AH215" s="54"/>
      <c r="AI215" s="54"/>
    </row>
    <row r="216" ht="14.25" customHeight="1">
      <c r="X216" s="54"/>
      <c r="Y216" s="54"/>
      <c r="Z216" s="54"/>
      <c r="AA216" s="54"/>
      <c r="AB216" s="54"/>
      <c r="AC216" s="54"/>
      <c r="AD216" s="54"/>
      <c r="AE216" s="54"/>
      <c r="AF216" s="54"/>
      <c r="AG216" s="54"/>
      <c r="AH216" s="54"/>
      <c r="AI216" s="54"/>
    </row>
    <row r="217" ht="14.25" customHeight="1">
      <c r="X217" s="54"/>
      <c r="Y217" s="54"/>
      <c r="Z217" s="54"/>
      <c r="AA217" s="54"/>
      <c r="AB217" s="54"/>
      <c r="AC217" s="54"/>
      <c r="AD217" s="54"/>
      <c r="AE217" s="54"/>
      <c r="AF217" s="54"/>
      <c r="AG217" s="54"/>
      <c r="AH217" s="54"/>
      <c r="AI217" s="54"/>
    </row>
    <row r="218" ht="14.25" customHeight="1">
      <c r="X218" s="54"/>
      <c r="Y218" s="54"/>
      <c r="Z218" s="54"/>
      <c r="AA218" s="54"/>
      <c r="AB218" s="54"/>
      <c r="AC218" s="54"/>
      <c r="AD218" s="54"/>
      <c r="AE218" s="54"/>
      <c r="AF218" s="54"/>
      <c r="AG218" s="54"/>
      <c r="AH218" s="54"/>
      <c r="AI218" s="54"/>
    </row>
    <row r="219" ht="14.25" customHeight="1">
      <c r="X219" s="54"/>
      <c r="Y219" s="54"/>
      <c r="Z219" s="54"/>
      <c r="AA219" s="54"/>
      <c r="AB219" s="54"/>
      <c r="AC219" s="54"/>
      <c r="AD219" s="54"/>
      <c r="AE219" s="54"/>
      <c r="AF219" s="54"/>
      <c r="AG219" s="54"/>
      <c r="AH219" s="54"/>
      <c r="AI219" s="54"/>
    </row>
    <row r="220" ht="14.25" customHeight="1">
      <c r="X220" s="54"/>
      <c r="Y220" s="54"/>
      <c r="Z220" s="54"/>
      <c r="AA220" s="54"/>
      <c r="AB220" s="54"/>
      <c r="AC220" s="54"/>
      <c r="AD220" s="54"/>
      <c r="AE220" s="54"/>
      <c r="AF220" s="54"/>
      <c r="AG220" s="54"/>
      <c r="AH220" s="54"/>
      <c r="AI220" s="54"/>
    </row>
    <row r="221" ht="14.25" customHeight="1">
      <c r="X221" s="54"/>
      <c r="Y221" s="54"/>
      <c r="Z221" s="54"/>
      <c r="AA221" s="54"/>
      <c r="AB221" s="54"/>
      <c r="AC221" s="54"/>
      <c r="AD221" s="54"/>
      <c r="AE221" s="54"/>
      <c r="AF221" s="54"/>
      <c r="AG221" s="54"/>
      <c r="AH221" s="54"/>
      <c r="AI221" s="54"/>
    </row>
    <row r="222" ht="14.25" customHeight="1">
      <c r="X222" s="54"/>
      <c r="Y222" s="54"/>
      <c r="Z222" s="54"/>
      <c r="AA222" s="54"/>
      <c r="AB222" s="54"/>
      <c r="AC222" s="54"/>
      <c r="AD222" s="54"/>
      <c r="AE222" s="54"/>
      <c r="AF222" s="54"/>
      <c r="AG222" s="54"/>
      <c r="AH222" s="54"/>
      <c r="AI222" s="54"/>
    </row>
    <row r="223" ht="14.25" customHeight="1">
      <c r="X223" s="54"/>
      <c r="Y223" s="54"/>
      <c r="Z223" s="54"/>
      <c r="AA223" s="54"/>
      <c r="AB223" s="54"/>
      <c r="AC223" s="54"/>
      <c r="AD223" s="54"/>
      <c r="AE223" s="54"/>
      <c r="AF223" s="54"/>
      <c r="AG223" s="54"/>
      <c r="AH223" s="54"/>
      <c r="AI223" s="54"/>
    </row>
    <row r="224" ht="14.25" customHeight="1">
      <c r="X224" s="54"/>
      <c r="Y224" s="54"/>
      <c r="Z224" s="54"/>
      <c r="AA224" s="54"/>
      <c r="AB224" s="54"/>
      <c r="AC224" s="54"/>
      <c r="AD224" s="54"/>
      <c r="AE224" s="54"/>
      <c r="AF224" s="54"/>
      <c r="AG224" s="54"/>
      <c r="AH224" s="54"/>
      <c r="AI224" s="54"/>
    </row>
    <row r="225" ht="14.25" customHeight="1">
      <c r="X225" s="54"/>
      <c r="Y225" s="54"/>
      <c r="Z225" s="54"/>
      <c r="AA225" s="54"/>
      <c r="AB225" s="54"/>
      <c r="AC225" s="54"/>
      <c r="AD225" s="54"/>
      <c r="AE225" s="54"/>
      <c r="AF225" s="54"/>
      <c r="AG225" s="54"/>
      <c r="AH225" s="54"/>
      <c r="AI225" s="54"/>
    </row>
    <row r="226" ht="14.25" customHeight="1">
      <c r="X226" s="54"/>
      <c r="Y226" s="54"/>
      <c r="Z226" s="54"/>
      <c r="AA226" s="54"/>
      <c r="AB226" s="54"/>
      <c r="AC226" s="54"/>
      <c r="AD226" s="54"/>
      <c r="AE226" s="54"/>
      <c r="AF226" s="54"/>
      <c r="AG226" s="54"/>
      <c r="AH226" s="54"/>
      <c r="AI226" s="54"/>
    </row>
    <row r="227" ht="14.25" customHeight="1">
      <c r="X227" s="54"/>
      <c r="Y227" s="54"/>
      <c r="Z227" s="54"/>
      <c r="AA227" s="54"/>
      <c r="AB227" s="54"/>
      <c r="AC227" s="54"/>
      <c r="AD227" s="54"/>
      <c r="AE227" s="54"/>
      <c r="AF227" s="54"/>
      <c r="AG227" s="54"/>
      <c r="AH227" s="54"/>
      <c r="AI227" s="54"/>
    </row>
    <row r="228" ht="14.25" customHeight="1">
      <c r="X228" s="54"/>
      <c r="Y228" s="54"/>
      <c r="Z228" s="54"/>
      <c r="AA228" s="54"/>
      <c r="AB228" s="54"/>
      <c r="AC228" s="54"/>
      <c r="AD228" s="54"/>
      <c r="AE228" s="54"/>
      <c r="AF228" s="54"/>
      <c r="AG228" s="54"/>
      <c r="AH228" s="54"/>
      <c r="AI228" s="54"/>
    </row>
    <row r="229" ht="14.25" customHeight="1">
      <c r="X229" s="54"/>
      <c r="Y229" s="54"/>
      <c r="Z229" s="54"/>
      <c r="AA229" s="54"/>
      <c r="AB229" s="54"/>
      <c r="AC229" s="54"/>
      <c r="AD229" s="54"/>
      <c r="AE229" s="54"/>
      <c r="AF229" s="54"/>
      <c r="AG229" s="54"/>
      <c r="AH229" s="54"/>
      <c r="AI229" s="54"/>
    </row>
    <row r="230" ht="14.25" customHeight="1">
      <c r="X230" s="54"/>
      <c r="Y230" s="54"/>
      <c r="Z230" s="54"/>
      <c r="AA230" s="54"/>
      <c r="AB230" s="54"/>
      <c r="AC230" s="54"/>
      <c r="AD230" s="54"/>
      <c r="AE230" s="54"/>
      <c r="AF230" s="54"/>
      <c r="AG230" s="54"/>
      <c r="AH230" s="54"/>
      <c r="AI230" s="54"/>
    </row>
    <row r="231" ht="14.25" customHeight="1">
      <c r="X231" s="54"/>
      <c r="Y231" s="54"/>
      <c r="Z231" s="54"/>
      <c r="AA231" s="54"/>
      <c r="AB231" s="54"/>
      <c r="AC231" s="54"/>
      <c r="AD231" s="54"/>
      <c r="AE231" s="54"/>
      <c r="AF231" s="54"/>
      <c r="AG231" s="54"/>
      <c r="AH231" s="54"/>
      <c r="AI231" s="54"/>
    </row>
    <row r="232" ht="14.25" customHeight="1">
      <c r="X232" s="54"/>
      <c r="Y232" s="54"/>
      <c r="Z232" s="54"/>
      <c r="AA232" s="54"/>
      <c r="AB232" s="54"/>
      <c r="AC232" s="54"/>
      <c r="AD232" s="54"/>
      <c r="AE232" s="54"/>
      <c r="AF232" s="54"/>
      <c r="AG232" s="54"/>
      <c r="AH232" s="54"/>
      <c r="AI232" s="54"/>
    </row>
    <row r="233" ht="14.25" customHeight="1">
      <c r="X233" s="54"/>
      <c r="Y233" s="54"/>
      <c r="Z233" s="54"/>
      <c r="AA233" s="54"/>
      <c r="AB233" s="54"/>
      <c r="AC233" s="54"/>
      <c r="AD233" s="54"/>
      <c r="AE233" s="54"/>
      <c r="AF233" s="54"/>
      <c r="AG233" s="54"/>
      <c r="AH233" s="54"/>
      <c r="AI233" s="54"/>
    </row>
    <row r="234" ht="14.25" customHeight="1">
      <c r="X234" s="54"/>
      <c r="Y234" s="54"/>
      <c r="Z234" s="54"/>
      <c r="AA234" s="54"/>
      <c r="AB234" s="54"/>
      <c r="AC234" s="54"/>
      <c r="AD234" s="54"/>
      <c r="AE234" s="54"/>
      <c r="AF234" s="54"/>
      <c r="AG234" s="54"/>
      <c r="AH234" s="54"/>
      <c r="AI234" s="54"/>
    </row>
    <row r="235" ht="14.25" customHeight="1">
      <c r="X235" s="54"/>
      <c r="Y235" s="54"/>
      <c r="Z235" s="54"/>
      <c r="AA235" s="54"/>
      <c r="AB235" s="54"/>
      <c r="AC235" s="54"/>
      <c r="AD235" s="54"/>
      <c r="AE235" s="54"/>
      <c r="AF235" s="54"/>
      <c r="AG235" s="54"/>
      <c r="AH235" s="54"/>
      <c r="AI235" s="54"/>
    </row>
    <row r="236" ht="14.25" customHeight="1">
      <c r="X236" s="54"/>
      <c r="Y236" s="54"/>
      <c r="Z236" s="54"/>
      <c r="AA236" s="54"/>
      <c r="AB236" s="54"/>
      <c r="AC236" s="54"/>
      <c r="AD236" s="54"/>
      <c r="AE236" s="54"/>
      <c r="AF236" s="54"/>
      <c r="AG236" s="54"/>
      <c r="AH236" s="54"/>
      <c r="AI236" s="54"/>
    </row>
    <row r="237" ht="14.25" customHeight="1">
      <c r="X237" s="54"/>
      <c r="Y237" s="54"/>
      <c r="Z237" s="54"/>
      <c r="AA237" s="54"/>
      <c r="AB237" s="54"/>
      <c r="AC237" s="54"/>
      <c r="AD237" s="54"/>
      <c r="AE237" s="54"/>
      <c r="AF237" s="54"/>
      <c r="AG237" s="54"/>
      <c r="AH237" s="54"/>
      <c r="AI237" s="54"/>
    </row>
    <row r="238" ht="14.25" customHeight="1">
      <c r="X238" s="54"/>
      <c r="Y238" s="54"/>
      <c r="Z238" s="54"/>
      <c r="AA238" s="54"/>
      <c r="AB238" s="54"/>
      <c r="AC238" s="54"/>
      <c r="AD238" s="54"/>
      <c r="AE238" s="54"/>
      <c r="AF238" s="54"/>
      <c r="AG238" s="54"/>
      <c r="AH238" s="54"/>
      <c r="AI238" s="54"/>
    </row>
    <row r="239" ht="14.25" customHeight="1">
      <c r="X239" s="54"/>
      <c r="Y239" s="54"/>
      <c r="Z239" s="54"/>
      <c r="AA239" s="54"/>
      <c r="AB239" s="54"/>
      <c r="AC239" s="54"/>
      <c r="AD239" s="54"/>
      <c r="AE239" s="54"/>
      <c r="AF239" s="54"/>
      <c r="AG239" s="54"/>
      <c r="AH239" s="54"/>
      <c r="AI239" s="54"/>
    </row>
    <row r="240" ht="14.25" customHeight="1">
      <c r="X240" s="54"/>
      <c r="Y240" s="54"/>
      <c r="Z240" s="54"/>
      <c r="AA240" s="54"/>
      <c r="AB240" s="54"/>
      <c r="AC240" s="54"/>
      <c r="AD240" s="54"/>
      <c r="AE240" s="54"/>
      <c r="AF240" s="54"/>
      <c r="AG240" s="54"/>
      <c r="AH240" s="54"/>
      <c r="AI240" s="54"/>
    </row>
    <row r="241" ht="14.25" customHeight="1">
      <c r="X241" s="54"/>
      <c r="Y241" s="54"/>
      <c r="Z241" s="54"/>
      <c r="AA241" s="54"/>
      <c r="AB241" s="54"/>
      <c r="AC241" s="54"/>
      <c r="AD241" s="54"/>
      <c r="AE241" s="54"/>
      <c r="AF241" s="54"/>
      <c r="AG241" s="54"/>
      <c r="AH241" s="54"/>
      <c r="AI241" s="54"/>
    </row>
    <row r="242" ht="14.25" customHeight="1">
      <c r="X242" s="54"/>
      <c r="Y242" s="54"/>
      <c r="Z242" s="54"/>
      <c r="AA242" s="54"/>
      <c r="AB242" s="54"/>
      <c r="AC242" s="54"/>
      <c r="AD242" s="54"/>
      <c r="AE242" s="54"/>
      <c r="AF242" s="54"/>
      <c r="AG242" s="54"/>
      <c r="AH242" s="54"/>
      <c r="AI242" s="54"/>
    </row>
    <row r="243" ht="14.25" customHeight="1">
      <c r="X243" s="54"/>
      <c r="Y243" s="54"/>
      <c r="Z243" s="54"/>
      <c r="AA243" s="54"/>
      <c r="AB243" s="54"/>
      <c r="AC243" s="54"/>
      <c r="AD243" s="54"/>
      <c r="AE243" s="54"/>
      <c r="AF243" s="54"/>
      <c r="AG243" s="54"/>
      <c r="AH243" s="54"/>
      <c r="AI243" s="54"/>
    </row>
    <row r="244" ht="14.25" customHeight="1">
      <c r="X244" s="54"/>
      <c r="Y244" s="54"/>
      <c r="Z244" s="54"/>
      <c r="AA244" s="54"/>
      <c r="AB244" s="54"/>
      <c r="AC244" s="54"/>
      <c r="AD244" s="54"/>
      <c r="AE244" s="54"/>
      <c r="AF244" s="54"/>
      <c r="AG244" s="54"/>
      <c r="AH244" s="54"/>
      <c r="AI244" s="54"/>
    </row>
    <row r="245" ht="14.25" customHeight="1">
      <c r="X245" s="54"/>
      <c r="Y245" s="54"/>
      <c r="Z245" s="54"/>
      <c r="AA245" s="54"/>
      <c r="AB245" s="54"/>
      <c r="AC245" s="54"/>
      <c r="AD245" s="54"/>
      <c r="AE245" s="54"/>
      <c r="AF245" s="54"/>
      <c r="AG245" s="54"/>
      <c r="AH245" s="54"/>
      <c r="AI245" s="54"/>
    </row>
    <row r="246" ht="14.25" customHeight="1">
      <c r="X246" s="54"/>
      <c r="Y246" s="54"/>
      <c r="Z246" s="54"/>
      <c r="AA246" s="54"/>
      <c r="AB246" s="54"/>
      <c r="AC246" s="54"/>
      <c r="AD246" s="54"/>
      <c r="AE246" s="54"/>
      <c r="AF246" s="54"/>
      <c r="AG246" s="54"/>
      <c r="AH246" s="54"/>
      <c r="AI246" s="54"/>
    </row>
    <row r="247" ht="14.25" customHeight="1">
      <c r="X247" s="54"/>
      <c r="Y247" s="54"/>
      <c r="Z247" s="54"/>
      <c r="AA247" s="54"/>
      <c r="AB247" s="54"/>
      <c r="AC247" s="54"/>
      <c r="AD247" s="54"/>
      <c r="AE247" s="54"/>
      <c r="AF247" s="54"/>
      <c r="AG247" s="54"/>
      <c r="AH247" s="54"/>
      <c r="AI247" s="54"/>
    </row>
    <row r="248" ht="14.25" customHeight="1">
      <c r="X248" s="54"/>
      <c r="Y248" s="54"/>
      <c r="Z248" s="54"/>
      <c r="AA248" s="54"/>
      <c r="AB248" s="54"/>
      <c r="AC248" s="54"/>
      <c r="AD248" s="54"/>
      <c r="AE248" s="54"/>
      <c r="AF248" s="54"/>
      <c r="AG248" s="54"/>
      <c r="AH248" s="54"/>
      <c r="AI248" s="54"/>
    </row>
    <row r="249" ht="14.25" customHeight="1">
      <c r="X249" s="54"/>
      <c r="Y249" s="54"/>
      <c r="Z249" s="54"/>
      <c r="AA249" s="54"/>
      <c r="AB249" s="54"/>
      <c r="AC249" s="54"/>
      <c r="AD249" s="54"/>
      <c r="AE249" s="54"/>
      <c r="AF249" s="54"/>
      <c r="AG249" s="54"/>
      <c r="AH249" s="54"/>
      <c r="AI249" s="54"/>
    </row>
    <row r="250" ht="14.25" customHeight="1">
      <c r="X250" s="54"/>
      <c r="Y250" s="54"/>
      <c r="Z250" s="54"/>
      <c r="AA250" s="54"/>
      <c r="AB250" s="54"/>
      <c r="AC250" s="54"/>
      <c r="AD250" s="54"/>
      <c r="AE250" s="54"/>
      <c r="AF250" s="54"/>
      <c r="AG250" s="54"/>
      <c r="AH250" s="54"/>
      <c r="AI250" s="54"/>
    </row>
    <row r="251" ht="14.25" customHeight="1">
      <c r="X251" s="54"/>
      <c r="Y251" s="54"/>
      <c r="Z251" s="54"/>
      <c r="AA251" s="54"/>
      <c r="AB251" s="54"/>
      <c r="AC251" s="54"/>
      <c r="AD251" s="54"/>
      <c r="AE251" s="54"/>
      <c r="AF251" s="54"/>
      <c r="AG251" s="54"/>
      <c r="AH251" s="54"/>
      <c r="AI251" s="54"/>
    </row>
    <row r="252" ht="14.25" customHeight="1">
      <c r="X252" s="54"/>
      <c r="Y252" s="54"/>
      <c r="Z252" s="54"/>
      <c r="AA252" s="54"/>
      <c r="AB252" s="54"/>
      <c r="AC252" s="54"/>
      <c r="AD252" s="54"/>
      <c r="AE252" s="54"/>
      <c r="AF252" s="54"/>
      <c r="AG252" s="54"/>
      <c r="AH252" s="54"/>
      <c r="AI252" s="54"/>
    </row>
    <row r="253" ht="14.25" customHeight="1">
      <c r="X253" s="54"/>
      <c r="Y253" s="54"/>
      <c r="Z253" s="54"/>
      <c r="AA253" s="54"/>
      <c r="AB253" s="54"/>
      <c r="AC253" s="54"/>
      <c r="AD253" s="54"/>
      <c r="AE253" s="54"/>
      <c r="AF253" s="54"/>
      <c r="AG253" s="54"/>
      <c r="AH253" s="54"/>
      <c r="AI253" s="54"/>
    </row>
    <row r="254" ht="14.25" customHeight="1">
      <c r="X254" s="54"/>
      <c r="Y254" s="54"/>
      <c r="Z254" s="54"/>
      <c r="AA254" s="54"/>
      <c r="AB254" s="54"/>
      <c r="AC254" s="54"/>
      <c r="AD254" s="54"/>
      <c r="AE254" s="54"/>
      <c r="AF254" s="54"/>
      <c r="AG254" s="54"/>
      <c r="AH254" s="54"/>
      <c r="AI254" s="54"/>
    </row>
    <row r="255" ht="14.25" customHeight="1">
      <c r="X255" s="54"/>
      <c r="Y255" s="54"/>
      <c r="Z255" s="54"/>
      <c r="AA255" s="54"/>
      <c r="AB255" s="54"/>
      <c r="AC255" s="54"/>
      <c r="AD255" s="54"/>
      <c r="AE255" s="54"/>
      <c r="AF255" s="54"/>
      <c r="AG255" s="54"/>
      <c r="AH255" s="54"/>
      <c r="AI255" s="54"/>
    </row>
    <row r="256" ht="14.25" customHeight="1">
      <c r="X256" s="54"/>
      <c r="Y256" s="54"/>
      <c r="Z256" s="54"/>
      <c r="AA256" s="54"/>
      <c r="AB256" s="54"/>
      <c r="AC256" s="54"/>
      <c r="AD256" s="54"/>
      <c r="AE256" s="54"/>
      <c r="AF256" s="54"/>
      <c r="AG256" s="54"/>
      <c r="AH256" s="54"/>
      <c r="AI256" s="54"/>
    </row>
    <row r="257" ht="14.25" customHeight="1">
      <c r="X257" s="54"/>
      <c r="Y257" s="54"/>
      <c r="Z257" s="54"/>
      <c r="AA257" s="54"/>
      <c r="AB257" s="54"/>
      <c r="AC257" s="54"/>
      <c r="AD257" s="54"/>
      <c r="AE257" s="54"/>
      <c r="AF257" s="54"/>
      <c r="AG257" s="54"/>
      <c r="AH257" s="54"/>
      <c r="AI257" s="54"/>
    </row>
    <row r="258" ht="14.25" customHeight="1">
      <c r="X258" s="54"/>
      <c r="Y258" s="54"/>
      <c r="Z258" s="54"/>
      <c r="AA258" s="54"/>
      <c r="AB258" s="54"/>
      <c r="AC258" s="54"/>
      <c r="AD258" s="54"/>
      <c r="AE258" s="54"/>
      <c r="AF258" s="54"/>
      <c r="AG258" s="54"/>
      <c r="AH258" s="54"/>
      <c r="AI258" s="54"/>
    </row>
    <row r="259" ht="14.25" customHeight="1">
      <c r="X259" s="54"/>
      <c r="Y259" s="54"/>
      <c r="Z259" s="54"/>
      <c r="AA259" s="54"/>
      <c r="AB259" s="54"/>
      <c r="AC259" s="54"/>
      <c r="AD259" s="54"/>
      <c r="AE259" s="54"/>
      <c r="AF259" s="54"/>
      <c r="AG259" s="54"/>
      <c r="AH259" s="54"/>
      <c r="AI259" s="54"/>
    </row>
    <row r="260" ht="14.25" customHeight="1">
      <c r="X260" s="54"/>
      <c r="Y260" s="54"/>
      <c r="Z260" s="54"/>
      <c r="AA260" s="54"/>
      <c r="AB260" s="54"/>
      <c r="AC260" s="54"/>
      <c r="AD260" s="54"/>
      <c r="AE260" s="54"/>
      <c r="AF260" s="54"/>
      <c r="AG260" s="54"/>
      <c r="AH260" s="54"/>
      <c r="AI260" s="54"/>
    </row>
    <row r="261" ht="14.25" customHeight="1">
      <c r="X261" s="54"/>
      <c r="Y261" s="54"/>
      <c r="Z261" s="54"/>
      <c r="AA261" s="54"/>
      <c r="AB261" s="54"/>
      <c r="AC261" s="54"/>
      <c r="AD261" s="54"/>
      <c r="AE261" s="54"/>
      <c r="AF261" s="54"/>
      <c r="AG261" s="54"/>
      <c r="AH261" s="54"/>
      <c r="AI261" s="54"/>
    </row>
    <row r="262" ht="14.25" customHeight="1">
      <c r="X262" s="54"/>
      <c r="Y262" s="54"/>
      <c r="Z262" s="54"/>
      <c r="AA262" s="54"/>
      <c r="AB262" s="54"/>
      <c r="AC262" s="54"/>
      <c r="AD262" s="54"/>
      <c r="AE262" s="54"/>
      <c r="AF262" s="54"/>
      <c r="AG262" s="54"/>
      <c r="AH262" s="54"/>
      <c r="AI262" s="54"/>
    </row>
    <row r="263" ht="14.25" customHeight="1">
      <c r="X263" s="54"/>
      <c r="Y263" s="54"/>
      <c r="Z263" s="54"/>
      <c r="AA263" s="54"/>
      <c r="AB263" s="54"/>
      <c r="AC263" s="54"/>
      <c r="AD263" s="54"/>
      <c r="AE263" s="54"/>
      <c r="AF263" s="54"/>
      <c r="AG263" s="54"/>
      <c r="AH263" s="54"/>
      <c r="AI263" s="54"/>
    </row>
    <row r="264" ht="14.25" customHeight="1">
      <c r="X264" s="54"/>
      <c r="Y264" s="54"/>
      <c r="Z264" s="54"/>
      <c r="AA264" s="54"/>
      <c r="AB264" s="54"/>
      <c r="AC264" s="54"/>
      <c r="AD264" s="54"/>
      <c r="AE264" s="54"/>
      <c r="AF264" s="54"/>
      <c r="AG264" s="54"/>
      <c r="AH264" s="54"/>
      <c r="AI264" s="54"/>
    </row>
    <row r="265" ht="14.25" customHeight="1">
      <c r="X265" s="54"/>
      <c r="Y265" s="54"/>
      <c r="Z265" s="54"/>
      <c r="AA265" s="54"/>
      <c r="AB265" s="54"/>
      <c r="AC265" s="54"/>
      <c r="AD265" s="54"/>
      <c r="AE265" s="54"/>
      <c r="AF265" s="54"/>
      <c r="AG265" s="54"/>
      <c r="AH265" s="54"/>
      <c r="AI265" s="54"/>
    </row>
    <row r="266" ht="14.25" customHeight="1">
      <c r="X266" s="54"/>
      <c r="Y266" s="54"/>
      <c r="Z266" s="54"/>
      <c r="AA266" s="54"/>
      <c r="AB266" s="54"/>
      <c r="AC266" s="54"/>
      <c r="AD266" s="54"/>
      <c r="AE266" s="54"/>
      <c r="AF266" s="54"/>
      <c r="AG266" s="54"/>
      <c r="AH266" s="54"/>
      <c r="AI266" s="54"/>
    </row>
    <row r="267" ht="14.25" customHeight="1">
      <c r="X267" s="54"/>
      <c r="Y267" s="54"/>
      <c r="Z267" s="54"/>
      <c r="AA267" s="54"/>
      <c r="AB267" s="54"/>
      <c r="AC267" s="54"/>
      <c r="AD267" s="54"/>
      <c r="AE267" s="54"/>
      <c r="AF267" s="54"/>
      <c r="AG267" s="54"/>
      <c r="AH267" s="54"/>
      <c r="AI267" s="54"/>
    </row>
    <row r="268" ht="14.25" customHeight="1">
      <c r="X268" s="54"/>
      <c r="Y268" s="54"/>
      <c r="Z268" s="54"/>
      <c r="AA268" s="54"/>
      <c r="AB268" s="54"/>
      <c r="AC268" s="54"/>
      <c r="AD268" s="54"/>
      <c r="AE268" s="54"/>
      <c r="AF268" s="54"/>
      <c r="AG268" s="54"/>
      <c r="AH268" s="54"/>
      <c r="AI268" s="54"/>
    </row>
    <row r="269" ht="14.25" customHeight="1">
      <c r="X269" s="54"/>
      <c r="Y269" s="54"/>
      <c r="Z269" s="54"/>
      <c r="AA269" s="54"/>
      <c r="AB269" s="54"/>
      <c r="AC269" s="54"/>
      <c r="AD269" s="54"/>
      <c r="AE269" s="54"/>
      <c r="AF269" s="54"/>
      <c r="AG269" s="54"/>
      <c r="AH269" s="54"/>
      <c r="AI269" s="54"/>
    </row>
    <row r="270" ht="14.25" customHeight="1">
      <c r="X270" s="54"/>
      <c r="Y270" s="54"/>
      <c r="Z270" s="54"/>
      <c r="AA270" s="54"/>
      <c r="AB270" s="54"/>
      <c r="AC270" s="54"/>
      <c r="AD270" s="54"/>
      <c r="AE270" s="54"/>
      <c r="AF270" s="54"/>
      <c r="AG270" s="54"/>
      <c r="AH270" s="54"/>
      <c r="AI270" s="54"/>
    </row>
    <row r="271" ht="14.25" customHeight="1">
      <c r="X271" s="54"/>
      <c r="Y271" s="54"/>
      <c r="Z271" s="54"/>
      <c r="AA271" s="54"/>
      <c r="AB271" s="54"/>
      <c r="AC271" s="54"/>
      <c r="AD271" s="54"/>
      <c r="AE271" s="54"/>
      <c r="AF271" s="54"/>
      <c r="AG271" s="54"/>
      <c r="AH271" s="54"/>
      <c r="AI271" s="54"/>
    </row>
    <row r="272" ht="14.25" customHeight="1">
      <c r="X272" s="54"/>
      <c r="Y272" s="54"/>
      <c r="Z272" s="54"/>
      <c r="AA272" s="54"/>
      <c r="AB272" s="54"/>
      <c r="AC272" s="54"/>
      <c r="AD272" s="54"/>
      <c r="AE272" s="54"/>
      <c r="AF272" s="54"/>
      <c r="AG272" s="54"/>
      <c r="AH272" s="54"/>
      <c r="AI272" s="54"/>
    </row>
    <row r="273" ht="14.25" customHeight="1">
      <c r="X273" s="54"/>
      <c r="Y273" s="54"/>
      <c r="Z273" s="54"/>
      <c r="AA273" s="54"/>
      <c r="AB273" s="54"/>
      <c r="AC273" s="54"/>
      <c r="AD273" s="54"/>
      <c r="AE273" s="54"/>
      <c r="AF273" s="54"/>
      <c r="AG273" s="54"/>
      <c r="AH273" s="54"/>
      <c r="AI273" s="54"/>
    </row>
    <row r="274" ht="14.25" customHeight="1">
      <c r="X274" s="54"/>
      <c r="Y274" s="54"/>
      <c r="Z274" s="54"/>
      <c r="AA274" s="54"/>
      <c r="AB274" s="54"/>
      <c r="AC274" s="54"/>
      <c r="AD274" s="54"/>
      <c r="AE274" s="54"/>
      <c r="AF274" s="54"/>
      <c r="AG274" s="54"/>
      <c r="AH274" s="54"/>
      <c r="AI274" s="54"/>
    </row>
    <row r="275" ht="14.25" customHeight="1">
      <c r="X275" s="54"/>
      <c r="Y275" s="54"/>
      <c r="Z275" s="54"/>
      <c r="AA275" s="54"/>
      <c r="AB275" s="54"/>
      <c r="AC275" s="54"/>
      <c r="AD275" s="54"/>
      <c r="AE275" s="54"/>
      <c r="AF275" s="54"/>
      <c r="AG275" s="54"/>
      <c r="AH275" s="54"/>
      <c r="AI275" s="54"/>
    </row>
    <row r="276" ht="14.25" customHeight="1">
      <c r="X276" s="54"/>
      <c r="Y276" s="54"/>
      <c r="Z276" s="54"/>
      <c r="AA276" s="54"/>
      <c r="AB276" s="54"/>
      <c r="AC276" s="54"/>
      <c r="AD276" s="54"/>
      <c r="AE276" s="54"/>
      <c r="AF276" s="54"/>
      <c r="AG276" s="54"/>
      <c r="AH276" s="54"/>
      <c r="AI276" s="54"/>
    </row>
    <row r="277" ht="14.25" customHeight="1">
      <c r="X277" s="54"/>
      <c r="Y277" s="54"/>
      <c r="Z277" s="54"/>
      <c r="AA277" s="54"/>
      <c r="AB277" s="54"/>
      <c r="AC277" s="54"/>
      <c r="AD277" s="54"/>
      <c r="AE277" s="54"/>
      <c r="AF277" s="54"/>
      <c r="AG277" s="54"/>
      <c r="AH277" s="54"/>
      <c r="AI277" s="54"/>
    </row>
    <row r="278" ht="14.25" customHeight="1">
      <c r="X278" s="54"/>
      <c r="Y278" s="54"/>
      <c r="Z278" s="54"/>
      <c r="AA278" s="54"/>
      <c r="AB278" s="54"/>
      <c r="AC278" s="54"/>
      <c r="AD278" s="54"/>
      <c r="AE278" s="54"/>
      <c r="AF278" s="54"/>
      <c r="AG278" s="54"/>
      <c r="AH278" s="54"/>
      <c r="AI278" s="54"/>
    </row>
    <row r="279" ht="14.25" customHeight="1">
      <c r="X279" s="54"/>
      <c r="Y279" s="54"/>
      <c r="Z279" s="54"/>
      <c r="AA279" s="54"/>
      <c r="AB279" s="54"/>
      <c r="AC279" s="54"/>
      <c r="AD279" s="54"/>
      <c r="AE279" s="54"/>
      <c r="AF279" s="54"/>
      <c r="AG279" s="54"/>
      <c r="AH279" s="54"/>
      <c r="AI279" s="54"/>
    </row>
    <row r="280" ht="14.25" customHeight="1">
      <c r="X280" s="54"/>
      <c r="Y280" s="54"/>
      <c r="Z280" s="54"/>
      <c r="AA280" s="54"/>
      <c r="AB280" s="54"/>
      <c r="AC280" s="54"/>
      <c r="AD280" s="54"/>
      <c r="AE280" s="54"/>
      <c r="AF280" s="54"/>
      <c r="AG280" s="54"/>
      <c r="AH280" s="54"/>
      <c r="AI280" s="54"/>
    </row>
    <row r="281" ht="14.25" customHeight="1">
      <c r="X281" s="54"/>
      <c r="Y281" s="54"/>
      <c r="Z281" s="54"/>
      <c r="AA281" s="54"/>
      <c r="AB281" s="54"/>
      <c r="AC281" s="54"/>
      <c r="AD281" s="54"/>
      <c r="AE281" s="54"/>
      <c r="AF281" s="54"/>
      <c r="AG281" s="54"/>
      <c r="AH281" s="54"/>
      <c r="AI281" s="54"/>
    </row>
    <row r="282" ht="14.25" customHeight="1">
      <c r="X282" s="54"/>
      <c r="Y282" s="54"/>
      <c r="Z282" s="54"/>
      <c r="AA282" s="54"/>
      <c r="AB282" s="54"/>
      <c r="AC282" s="54"/>
      <c r="AD282" s="54"/>
      <c r="AE282" s="54"/>
      <c r="AF282" s="54"/>
      <c r="AG282" s="54"/>
      <c r="AH282" s="54"/>
      <c r="AI282" s="54"/>
    </row>
    <row r="283" ht="14.25" customHeight="1">
      <c r="X283" s="54"/>
      <c r="Y283" s="54"/>
      <c r="Z283" s="54"/>
      <c r="AA283" s="54"/>
      <c r="AB283" s="54"/>
      <c r="AC283" s="54"/>
      <c r="AD283" s="54"/>
      <c r="AE283" s="54"/>
      <c r="AF283" s="54"/>
      <c r="AG283" s="54"/>
      <c r="AH283" s="54"/>
      <c r="AI283" s="54"/>
    </row>
    <row r="284" ht="14.25" customHeight="1">
      <c r="X284" s="54"/>
      <c r="Y284" s="54"/>
      <c r="Z284" s="54"/>
      <c r="AA284" s="54"/>
      <c r="AB284" s="54"/>
      <c r="AC284" s="54"/>
      <c r="AD284" s="54"/>
      <c r="AE284" s="54"/>
      <c r="AF284" s="54"/>
      <c r="AG284" s="54"/>
      <c r="AH284" s="54"/>
      <c r="AI284" s="54"/>
    </row>
    <row r="285" ht="14.25" customHeight="1">
      <c r="X285" s="54"/>
      <c r="Y285" s="54"/>
      <c r="Z285" s="54"/>
      <c r="AA285" s="54"/>
      <c r="AB285" s="54"/>
      <c r="AC285" s="54"/>
      <c r="AD285" s="54"/>
      <c r="AE285" s="54"/>
      <c r="AF285" s="54"/>
      <c r="AG285" s="54"/>
      <c r="AH285" s="54"/>
      <c r="AI285" s="54"/>
    </row>
    <row r="286" ht="14.25" customHeight="1">
      <c r="X286" s="54"/>
      <c r="Y286" s="54"/>
      <c r="Z286" s="54"/>
      <c r="AA286" s="54"/>
      <c r="AB286" s="54"/>
      <c r="AC286" s="54"/>
      <c r="AD286" s="54"/>
      <c r="AE286" s="54"/>
      <c r="AF286" s="54"/>
      <c r="AG286" s="54"/>
      <c r="AH286" s="54"/>
      <c r="AI286" s="54"/>
    </row>
    <row r="287" ht="14.25" customHeight="1">
      <c r="X287" s="54"/>
      <c r="Y287" s="54"/>
      <c r="Z287" s="54"/>
      <c r="AA287" s="54"/>
      <c r="AB287" s="54"/>
      <c r="AC287" s="54"/>
      <c r="AD287" s="54"/>
      <c r="AE287" s="54"/>
      <c r="AF287" s="54"/>
      <c r="AG287" s="54"/>
      <c r="AH287" s="54"/>
      <c r="AI287" s="54"/>
    </row>
    <row r="288" ht="14.25" customHeight="1">
      <c r="X288" s="54"/>
      <c r="Y288" s="54"/>
      <c r="Z288" s="54"/>
      <c r="AA288" s="54"/>
      <c r="AB288" s="54"/>
      <c r="AC288" s="54"/>
      <c r="AD288" s="54"/>
      <c r="AE288" s="54"/>
      <c r="AF288" s="54"/>
      <c r="AG288" s="54"/>
      <c r="AH288" s="54"/>
      <c r="AI288" s="54"/>
    </row>
    <row r="289" ht="14.25" customHeight="1">
      <c r="X289" s="54"/>
      <c r="Y289" s="54"/>
      <c r="Z289" s="54"/>
      <c r="AA289" s="54"/>
      <c r="AB289" s="54"/>
      <c r="AC289" s="54"/>
      <c r="AD289" s="54"/>
      <c r="AE289" s="54"/>
      <c r="AF289" s="54"/>
      <c r="AG289" s="54"/>
      <c r="AH289" s="54"/>
      <c r="AI289" s="54"/>
    </row>
    <row r="290" ht="14.25" customHeight="1">
      <c r="X290" s="54"/>
      <c r="Y290" s="54"/>
      <c r="Z290" s="54"/>
      <c r="AA290" s="54"/>
      <c r="AB290" s="54"/>
      <c r="AC290" s="54"/>
      <c r="AD290" s="54"/>
      <c r="AE290" s="54"/>
      <c r="AF290" s="54"/>
      <c r="AG290" s="54"/>
      <c r="AH290" s="54"/>
      <c r="AI290" s="54"/>
    </row>
    <row r="291" ht="14.25" customHeight="1">
      <c r="X291" s="54"/>
      <c r="Y291" s="54"/>
      <c r="Z291" s="54"/>
      <c r="AA291" s="54"/>
      <c r="AB291" s="54"/>
      <c r="AC291" s="54"/>
      <c r="AD291" s="54"/>
      <c r="AE291" s="54"/>
      <c r="AF291" s="54"/>
      <c r="AG291" s="54"/>
      <c r="AH291" s="54"/>
      <c r="AI291" s="54"/>
    </row>
    <row r="292" ht="14.25" customHeight="1">
      <c r="X292" s="54"/>
      <c r="Y292" s="54"/>
      <c r="Z292" s="54"/>
      <c r="AA292" s="54"/>
      <c r="AB292" s="54"/>
      <c r="AC292" s="54"/>
      <c r="AD292" s="54"/>
      <c r="AE292" s="54"/>
      <c r="AF292" s="54"/>
      <c r="AG292" s="54"/>
      <c r="AH292" s="54"/>
      <c r="AI292" s="54"/>
    </row>
    <row r="293" ht="14.25" customHeight="1">
      <c r="X293" s="54"/>
      <c r="Y293" s="54"/>
      <c r="Z293" s="54"/>
      <c r="AA293" s="54"/>
      <c r="AB293" s="54"/>
      <c r="AC293" s="54"/>
      <c r="AD293" s="54"/>
      <c r="AE293" s="54"/>
      <c r="AF293" s="54"/>
      <c r="AG293" s="54"/>
      <c r="AH293" s="54"/>
      <c r="AI293" s="54"/>
    </row>
    <row r="294" ht="14.25" customHeight="1">
      <c r="X294" s="54"/>
      <c r="Y294" s="54"/>
      <c r="Z294" s="54"/>
      <c r="AA294" s="54"/>
      <c r="AB294" s="54"/>
      <c r="AC294" s="54"/>
      <c r="AD294" s="54"/>
      <c r="AE294" s="54"/>
      <c r="AF294" s="54"/>
      <c r="AG294" s="54"/>
      <c r="AH294" s="54"/>
      <c r="AI294" s="54"/>
    </row>
    <row r="295" ht="14.25" customHeight="1">
      <c r="X295" s="54"/>
      <c r="Y295" s="54"/>
      <c r="Z295" s="54"/>
      <c r="AA295" s="54"/>
      <c r="AB295" s="54"/>
      <c r="AC295" s="54"/>
      <c r="AD295" s="54"/>
      <c r="AE295" s="54"/>
      <c r="AF295" s="54"/>
      <c r="AG295" s="54"/>
      <c r="AH295" s="54"/>
      <c r="AI295" s="54"/>
    </row>
    <row r="296" ht="14.25" customHeight="1">
      <c r="X296" s="54"/>
      <c r="Y296" s="54"/>
      <c r="Z296" s="54"/>
      <c r="AA296" s="54"/>
      <c r="AB296" s="54"/>
      <c r="AC296" s="54"/>
      <c r="AD296" s="54"/>
      <c r="AE296" s="54"/>
      <c r="AF296" s="54"/>
      <c r="AG296" s="54"/>
      <c r="AH296" s="54"/>
      <c r="AI296" s="54"/>
    </row>
    <row r="297" ht="14.25" customHeight="1">
      <c r="X297" s="54"/>
      <c r="Y297" s="54"/>
      <c r="Z297" s="54"/>
      <c r="AA297" s="54"/>
      <c r="AB297" s="54"/>
      <c r="AC297" s="54"/>
      <c r="AD297" s="54"/>
      <c r="AE297" s="54"/>
      <c r="AF297" s="54"/>
      <c r="AG297" s="54"/>
      <c r="AH297" s="54"/>
      <c r="AI297" s="54"/>
    </row>
    <row r="298" ht="14.25" customHeight="1">
      <c r="X298" s="54"/>
      <c r="Y298" s="54"/>
      <c r="Z298" s="54"/>
      <c r="AA298" s="54"/>
      <c r="AB298" s="54"/>
      <c r="AC298" s="54"/>
      <c r="AD298" s="54"/>
      <c r="AE298" s="54"/>
      <c r="AF298" s="54"/>
      <c r="AG298" s="54"/>
      <c r="AH298" s="54"/>
      <c r="AI298" s="54"/>
    </row>
    <row r="299" ht="14.25" customHeight="1">
      <c r="X299" s="54"/>
      <c r="Y299" s="54"/>
      <c r="Z299" s="54"/>
      <c r="AA299" s="54"/>
      <c r="AB299" s="54"/>
      <c r="AC299" s="54"/>
      <c r="AD299" s="54"/>
      <c r="AE299" s="54"/>
      <c r="AF299" s="54"/>
      <c r="AG299" s="54"/>
      <c r="AH299" s="54"/>
      <c r="AI299" s="54"/>
    </row>
    <row r="300" ht="14.25" customHeight="1">
      <c r="X300" s="54"/>
      <c r="Y300" s="54"/>
      <c r="Z300" s="54"/>
      <c r="AA300" s="54"/>
      <c r="AB300" s="54"/>
      <c r="AC300" s="54"/>
      <c r="AD300" s="54"/>
      <c r="AE300" s="54"/>
      <c r="AF300" s="54"/>
      <c r="AG300" s="54"/>
      <c r="AH300" s="54"/>
      <c r="AI300" s="54"/>
    </row>
    <row r="301" ht="14.25" customHeight="1">
      <c r="X301" s="54"/>
      <c r="Y301" s="54"/>
      <c r="Z301" s="54"/>
      <c r="AA301" s="54"/>
      <c r="AB301" s="54"/>
      <c r="AC301" s="54"/>
      <c r="AD301" s="54"/>
      <c r="AE301" s="54"/>
      <c r="AF301" s="54"/>
      <c r="AG301" s="54"/>
      <c r="AH301" s="54"/>
      <c r="AI301" s="54"/>
    </row>
    <row r="302" ht="14.25" customHeight="1">
      <c r="X302" s="54"/>
      <c r="Y302" s="54"/>
      <c r="Z302" s="54"/>
      <c r="AA302" s="54"/>
      <c r="AB302" s="54"/>
      <c r="AC302" s="54"/>
      <c r="AD302" s="54"/>
      <c r="AE302" s="54"/>
      <c r="AF302" s="54"/>
      <c r="AG302" s="54"/>
      <c r="AH302" s="54"/>
      <c r="AI302" s="54"/>
    </row>
    <row r="303" ht="14.25" customHeight="1">
      <c r="X303" s="54"/>
      <c r="Y303" s="54"/>
      <c r="Z303" s="54"/>
      <c r="AA303" s="54"/>
      <c r="AB303" s="54"/>
      <c r="AC303" s="54"/>
      <c r="AD303" s="54"/>
      <c r="AE303" s="54"/>
      <c r="AF303" s="54"/>
      <c r="AG303" s="54"/>
      <c r="AH303" s="54"/>
      <c r="AI303" s="54"/>
    </row>
    <row r="304" ht="14.25" customHeight="1">
      <c r="X304" s="54"/>
      <c r="Y304" s="54"/>
      <c r="Z304" s="54"/>
      <c r="AA304" s="54"/>
      <c r="AB304" s="54"/>
      <c r="AC304" s="54"/>
      <c r="AD304" s="54"/>
      <c r="AE304" s="54"/>
      <c r="AF304" s="54"/>
      <c r="AG304" s="54"/>
      <c r="AH304" s="54"/>
      <c r="AI304" s="54"/>
    </row>
    <row r="305" ht="14.25" customHeight="1">
      <c r="X305" s="54"/>
      <c r="Y305" s="54"/>
      <c r="Z305" s="54"/>
      <c r="AA305" s="54"/>
      <c r="AB305" s="54"/>
      <c r="AC305" s="54"/>
      <c r="AD305" s="54"/>
      <c r="AE305" s="54"/>
      <c r="AF305" s="54"/>
      <c r="AG305" s="54"/>
      <c r="AH305" s="54"/>
      <c r="AI305" s="54"/>
    </row>
    <row r="306" ht="14.25" customHeight="1">
      <c r="X306" s="54"/>
      <c r="Y306" s="54"/>
      <c r="Z306" s="54"/>
      <c r="AA306" s="54"/>
      <c r="AB306" s="54"/>
      <c r="AC306" s="54"/>
      <c r="AD306" s="54"/>
      <c r="AE306" s="54"/>
      <c r="AF306" s="54"/>
      <c r="AG306" s="54"/>
      <c r="AH306" s="54"/>
      <c r="AI306" s="54"/>
    </row>
    <row r="307" ht="14.25" customHeight="1">
      <c r="X307" s="54"/>
      <c r="Y307" s="54"/>
      <c r="Z307" s="54"/>
      <c r="AA307" s="54"/>
      <c r="AB307" s="54"/>
      <c r="AC307" s="54"/>
      <c r="AD307" s="54"/>
      <c r="AE307" s="54"/>
      <c r="AF307" s="54"/>
      <c r="AG307" s="54"/>
      <c r="AH307" s="54"/>
      <c r="AI307" s="54"/>
    </row>
    <row r="308" ht="14.25" customHeight="1">
      <c r="X308" s="54"/>
      <c r="Y308" s="54"/>
      <c r="Z308" s="54"/>
      <c r="AA308" s="54"/>
      <c r="AB308" s="54"/>
      <c r="AC308" s="54"/>
      <c r="AD308" s="54"/>
      <c r="AE308" s="54"/>
      <c r="AF308" s="54"/>
      <c r="AG308" s="54"/>
      <c r="AH308" s="54"/>
      <c r="AI308" s="54"/>
    </row>
    <row r="309" ht="14.25" customHeight="1">
      <c r="X309" s="54"/>
      <c r="Y309" s="54"/>
      <c r="Z309" s="54"/>
      <c r="AA309" s="54"/>
      <c r="AB309" s="54"/>
      <c r="AC309" s="54"/>
      <c r="AD309" s="54"/>
      <c r="AE309" s="54"/>
      <c r="AF309" s="54"/>
      <c r="AG309" s="54"/>
      <c r="AH309" s="54"/>
      <c r="AI309" s="54"/>
    </row>
    <row r="310" ht="14.25" customHeight="1">
      <c r="X310" s="54"/>
      <c r="Y310" s="54"/>
      <c r="Z310" s="54"/>
      <c r="AA310" s="54"/>
      <c r="AB310" s="54"/>
      <c r="AC310" s="54"/>
      <c r="AD310" s="54"/>
      <c r="AE310" s="54"/>
      <c r="AF310" s="54"/>
      <c r="AG310" s="54"/>
      <c r="AH310" s="54"/>
      <c r="AI310" s="54"/>
    </row>
    <row r="311" ht="14.25" customHeight="1">
      <c r="X311" s="54"/>
      <c r="Y311" s="54"/>
      <c r="Z311" s="54"/>
      <c r="AA311" s="54"/>
      <c r="AB311" s="54"/>
      <c r="AC311" s="54"/>
      <c r="AD311" s="54"/>
      <c r="AE311" s="54"/>
      <c r="AF311" s="54"/>
      <c r="AG311" s="54"/>
      <c r="AH311" s="54"/>
      <c r="AI311" s="54"/>
    </row>
    <row r="312" ht="14.25" customHeight="1">
      <c r="X312" s="54"/>
      <c r="Y312" s="54"/>
      <c r="Z312" s="54"/>
      <c r="AA312" s="54"/>
      <c r="AB312" s="54"/>
      <c r="AC312" s="54"/>
      <c r="AD312" s="54"/>
      <c r="AE312" s="54"/>
      <c r="AF312" s="54"/>
      <c r="AG312" s="54"/>
      <c r="AH312" s="54"/>
      <c r="AI312" s="54"/>
    </row>
    <row r="313" ht="14.25" customHeight="1">
      <c r="X313" s="54"/>
      <c r="Y313" s="54"/>
      <c r="Z313" s="54"/>
      <c r="AA313" s="54"/>
      <c r="AB313" s="54"/>
      <c r="AC313" s="54"/>
      <c r="AD313" s="54"/>
      <c r="AE313" s="54"/>
      <c r="AF313" s="54"/>
      <c r="AG313" s="54"/>
      <c r="AH313" s="54"/>
      <c r="AI313" s="54"/>
    </row>
    <row r="314" ht="14.25" customHeight="1">
      <c r="X314" s="54"/>
      <c r="Y314" s="54"/>
      <c r="Z314" s="54"/>
      <c r="AA314" s="54"/>
      <c r="AB314" s="54"/>
      <c r="AC314" s="54"/>
      <c r="AD314" s="54"/>
      <c r="AE314" s="54"/>
      <c r="AF314" s="54"/>
      <c r="AG314" s="54"/>
      <c r="AH314" s="54"/>
      <c r="AI314" s="54"/>
    </row>
    <row r="315" ht="14.25" customHeight="1">
      <c r="X315" s="54"/>
      <c r="Y315" s="54"/>
      <c r="Z315" s="54"/>
      <c r="AA315" s="54"/>
      <c r="AB315" s="54"/>
      <c r="AC315" s="54"/>
      <c r="AD315" s="54"/>
      <c r="AE315" s="54"/>
      <c r="AF315" s="54"/>
      <c r="AG315" s="54"/>
      <c r="AH315" s="54"/>
      <c r="AI315" s="54"/>
    </row>
    <row r="316" ht="14.25" customHeight="1">
      <c r="X316" s="54"/>
      <c r="Y316" s="54"/>
      <c r="Z316" s="54"/>
      <c r="AA316" s="54"/>
      <c r="AB316" s="54"/>
      <c r="AC316" s="54"/>
      <c r="AD316" s="54"/>
      <c r="AE316" s="54"/>
      <c r="AF316" s="54"/>
      <c r="AG316" s="54"/>
      <c r="AH316" s="54"/>
      <c r="AI316" s="54"/>
    </row>
    <row r="317" ht="14.25" customHeight="1">
      <c r="X317" s="54"/>
      <c r="Y317" s="54"/>
      <c r="Z317" s="54"/>
      <c r="AA317" s="54"/>
      <c r="AB317" s="54"/>
      <c r="AC317" s="54"/>
      <c r="AD317" s="54"/>
      <c r="AE317" s="54"/>
      <c r="AF317" s="54"/>
      <c r="AG317" s="54"/>
      <c r="AH317" s="54"/>
      <c r="AI317" s="54"/>
    </row>
    <row r="318" ht="14.25" customHeight="1">
      <c r="X318" s="54"/>
      <c r="Y318" s="54"/>
      <c r="Z318" s="54"/>
      <c r="AA318" s="54"/>
      <c r="AB318" s="54"/>
      <c r="AC318" s="54"/>
      <c r="AD318" s="54"/>
      <c r="AE318" s="54"/>
      <c r="AF318" s="54"/>
      <c r="AG318" s="54"/>
      <c r="AH318" s="54"/>
      <c r="AI318" s="54"/>
    </row>
    <row r="319" ht="14.25" customHeight="1">
      <c r="X319" s="54"/>
      <c r="Y319" s="54"/>
      <c r="Z319" s="54"/>
      <c r="AA319" s="54"/>
      <c r="AB319" s="54"/>
      <c r="AC319" s="54"/>
      <c r="AD319" s="54"/>
      <c r="AE319" s="54"/>
      <c r="AF319" s="54"/>
      <c r="AG319" s="54"/>
      <c r="AH319" s="54"/>
      <c r="AI319" s="54"/>
    </row>
    <row r="320" ht="14.25" customHeight="1">
      <c r="X320" s="54"/>
      <c r="Y320" s="54"/>
      <c r="Z320" s="54"/>
      <c r="AA320" s="54"/>
      <c r="AB320" s="54"/>
      <c r="AC320" s="54"/>
      <c r="AD320" s="54"/>
      <c r="AE320" s="54"/>
      <c r="AF320" s="54"/>
      <c r="AG320" s="54"/>
      <c r="AH320" s="54"/>
      <c r="AI320" s="54"/>
    </row>
    <row r="321" ht="14.25" customHeight="1">
      <c r="X321" s="54"/>
      <c r="Y321" s="54"/>
      <c r="Z321" s="54"/>
      <c r="AA321" s="54"/>
      <c r="AB321" s="54"/>
      <c r="AC321" s="54"/>
      <c r="AD321" s="54"/>
      <c r="AE321" s="54"/>
      <c r="AF321" s="54"/>
      <c r="AG321" s="54"/>
      <c r="AH321" s="54"/>
      <c r="AI321" s="54"/>
    </row>
    <row r="322" ht="14.25" customHeight="1">
      <c r="X322" s="54"/>
      <c r="Y322" s="54"/>
      <c r="Z322" s="54"/>
      <c r="AA322" s="54"/>
      <c r="AB322" s="54"/>
      <c r="AC322" s="54"/>
      <c r="AD322" s="54"/>
      <c r="AE322" s="54"/>
      <c r="AF322" s="54"/>
      <c r="AG322" s="54"/>
      <c r="AH322" s="54"/>
      <c r="AI322" s="54"/>
    </row>
    <row r="323" ht="14.25" customHeight="1">
      <c r="X323" s="54"/>
      <c r="Y323" s="54"/>
      <c r="Z323" s="54"/>
      <c r="AA323" s="54"/>
      <c r="AB323" s="54"/>
      <c r="AC323" s="54"/>
      <c r="AD323" s="54"/>
      <c r="AE323" s="54"/>
      <c r="AF323" s="54"/>
      <c r="AG323" s="54"/>
      <c r="AH323" s="54"/>
      <c r="AI323" s="54"/>
    </row>
    <row r="324" ht="14.25" customHeight="1">
      <c r="X324" s="54"/>
      <c r="Y324" s="54"/>
      <c r="Z324" s="54"/>
      <c r="AA324" s="54"/>
      <c r="AB324" s="54"/>
      <c r="AC324" s="54"/>
      <c r="AD324" s="54"/>
      <c r="AE324" s="54"/>
      <c r="AF324" s="54"/>
      <c r="AG324" s="54"/>
      <c r="AH324" s="54"/>
      <c r="AI324" s="54"/>
    </row>
    <row r="325" ht="14.25" customHeight="1">
      <c r="X325" s="54"/>
      <c r="Y325" s="54"/>
      <c r="Z325" s="54"/>
      <c r="AA325" s="54"/>
      <c r="AB325" s="54"/>
      <c r="AC325" s="54"/>
      <c r="AD325" s="54"/>
      <c r="AE325" s="54"/>
      <c r="AF325" s="54"/>
      <c r="AG325" s="54"/>
      <c r="AH325" s="54"/>
      <c r="AI325" s="54"/>
    </row>
    <row r="326" ht="14.25" customHeight="1">
      <c r="X326" s="54"/>
      <c r="Y326" s="54"/>
      <c r="Z326" s="54"/>
      <c r="AA326" s="54"/>
      <c r="AB326" s="54"/>
      <c r="AC326" s="54"/>
      <c r="AD326" s="54"/>
      <c r="AE326" s="54"/>
      <c r="AF326" s="54"/>
      <c r="AG326" s="54"/>
      <c r="AH326" s="54"/>
      <c r="AI326" s="54"/>
    </row>
    <row r="327" ht="14.25" customHeight="1">
      <c r="X327" s="54"/>
      <c r="Y327" s="54"/>
      <c r="Z327" s="54"/>
      <c r="AA327" s="54"/>
      <c r="AB327" s="54"/>
      <c r="AC327" s="54"/>
      <c r="AD327" s="54"/>
      <c r="AE327" s="54"/>
      <c r="AF327" s="54"/>
      <c r="AG327" s="54"/>
      <c r="AH327" s="54"/>
      <c r="AI327" s="54"/>
    </row>
    <row r="328" ht="14.25" customHeight="1">
      <c r="X328" s="54"/>
      <c r="Y328" s="54"/>
      <c r="Z328" s="54"/>
      <c r="AA328" s="54"/>
      <c r="AB328" s="54"/>
      <c r="AC328" s="54"/>
      <c r="AD328" s="54"/>
      <c r="AE328" s="54"/>
      <c r="AF328" s="54"/>
      <c r="AG328" s="54"/>
      <c r="AH328" s="54"/>
      <c r="AI328" s="54"/>
    </row>
    <row r="329" ht="14.25" customHeight="1">
      <c r="X329" s="54"/>
      <c r="Y329" s="54"/>
      <c r="Z329" s="54"/>
      <c r="AA329" s="54"/>
      <c r="AB329" s="54"/>
      <c r="AC329" s="54"/>
      <c r="AD329" s="54"/>
      <c r="AE329" s="54"/>
      <c r="AF329" s="54"/>
      <c r="AG329" s="54"/>
      <c r="AH329" s="54"/>
      <c r="AI329" s="54"/>
    </row>
    <row r="330" ht="14.25" customHeight="1">
      <c r="X330" s="54"/>
      <c r="Y330" s="54"/>
      <c r="Z330" s="54"/>
      <c r="AA330" s="54"/>
      <c r="AB330" s="54"/>
      <c r="AC330" s="54"/>
      <c r="AD330" s="54"/>
      <c r="AE330" s="54"/>
      <c r="AF330" s="54"/>
      <c r="AG330" s="54"/>
      <c r="AH330" s="54"/>
      <c r="AI330" s="54"/>
    </row>
    <row r="331" ht="14.25" customHeight="1">
      <c r="X331" s="54"/>
      <c r="Y331" s="54"/>
      <c r="Z331" s="54"/>
      <c r="AA331" s="54"/>
      <c r="AB331" s="54"/>
      <c r="AC331" s="54"/>
      <c r="AD331" s="54"/>
      <c r="AE331" s="54"/>
      <c r="AF331" s="54"/>
      <c r="AG331" s="54"/>
      <c r="AH331" s="54"/>
      <c r="AI331" s="54"/>
    </row>
    <row r="332" ht="14.25" customHeight="1">
      <c r="X332" s="54"/>
      <c r="Y332" s="54"/>
      <c r="Z332" s="54"/>
      <c r="AA332" s="54"/>
      <c r="AB332" s="54"/>
      <c r="AC332" s="54"/>
      <c r="AD332" s="54"/>
      <c r="AE332" s="54"/>
      <c r="AF332" s="54"/>
      <c r="AG332" s="54"/>
      <c r="AH332" s="54"/>
      <c r="AI332" s="54"/>
    </row>
    <row r="333" ht="14.25" customHeight="1">
      <c r="X333" s="54"/>
      <c r="Y333" s="54"/>
      <c r="Z333" s="54"/>
      <c r="AA333" s="54"/>
      <c r="AB333" s="54"/>
      <c r="AC333" s="54"/>
      <c r="AD333" s="54"/>
      <c r="AE333" s="54"/>
      <c r="AF333" s="54"/>
      <c r="AG333" s="54"/>
      <c r="AH333" s="54"/>
      <c r="AI333" s="54"/>
    </row>
    <row r="334" ht="14.25" customHeight="1">
      <c r="X334" s="54"/>
      <c r="Y334" s="54"/>
      <c r="Z334" s="54"/>
      <c r="AA334" s="54"/>
      <c r="AB334" s="54"/>
      <c r="AC334" s="54"/>
      <c r="AD334" s="54"/>
      <c r="AE334" s="54"/>
      <c r="AF334" s="54"/>
      <c r="AG334" s="54"/>
      <c r="AH334" s="54"/>
      <c r="AI334" s="54"/>
    </row>
    <row r="335" ht="14.25" customHeight="1">
      <c r="X335" s="54"/>
      <c r="Y335" s="54"/>
      <c r="Z335" s="54"/>
      <c r="AA335" s="54"/>
      <c r="AB335" s="54"/>
      <c r="AC335" s="54"/>
      <c r="AD335" s="54"/>
      <c r="AE335" s="54"/>
      <c r="AF335" s="54"/>
      <c r="AG335" s="54"/>
      <c r="AH335" s="54"/>
      <c r="AI335" s="54"/>
    </row>
    <row r="336" ht="14.25" customHeight="1">
      <c r="X336" s="54"/>
      <c r="Y336" s="54"/>
      <c r="Z336" s="54"/>
      <c r="AA336" s="54"/>
      <c r="AB336" s="54"/>
      <c r="AC336" s="54"/>
      <c r="AD336" s="54"/>
      <c r="AE336" s="54"/>
      <c r="AF336" s="54"/>
      <c r="AG336" s="54"/>
      <c r="AH336" s="54"/>
      <c r="AI336" s="54"/>
    </row>
    <row r="337" ht="14.25" customHeight="1">
      <c r="X337" s="54"/>
      <c r="Y337" s="54"/>
      <c r="Z337" s="54"/>
      <c r="AA337" s="54"/>
      <c r="AB337" s="54"/>
      <c r="AC337" s="54"/>
      <c r="AD337" s="54"/>
      <c r="AE337" s="54"/>
      <c r="AF337" s="54"/>
      <c r="AG337" s="54"/>
      <c r="AH337" s="54"/>
      <c r="AI337" s="54"/>
    </row>
    <row r="338" ht="14.25" customHeight="1">
      <c r="X338" s="54"/>
      <c r="Y338" s="54"/>
      <c r="Z338" s="54"/>
      <c r="AA338" s="54"/>
      <c r="AB338" s="54"/>
      <c r="AC338" s="54"/>
      <c r="AD338" s="54"/>
      <c r="AE338" s="54"/>
      <c r="AF338" s="54"/>
      <c r="AG338" s="54"/>
      <c r="AH338" s="54"/>
      <c r="AI338" s="54"/>
    </row>
    <row r="339" ht="14.25" customHeight="1">
      <c r="X339" s="54"/>
      <c r="Y339" s="54"/>
      <c r="Z339" s="54"/>
      <c r="AA339" s="54"/>
      <c r="AB339" s="54"/>
      <c r="AC339" s="54"/>
      <c r="AD339" s="54"/>
      <c r="AE339" s="54"/>
      <c r="AF339" s="54"/>
      <c r="AG339" s="54"/>
      <c r="AH339" s="54"/>
      <c r="AI339" s="54"/>
    </row>
    <row r="340" ht="14.25" customHeight="1">
      <c r="X340" s="54"/>
      <c r="Y340" s="54"/>
      <c r="Z340" s="54"/>
      <c r="AA340" s="54"/>
      <c r="AB340" s="54"/>
      <c r="AC340" s="54"/>
      <c r="AD340" s="54"/>
      <c r="AE340" s="54"/>
      <c r="AF340" s="54"/>
      <c r="AG340" s="54"/>
      <c r="AH340" s="54"/>
      <c r="AI340" s="54"/>
    </row>
    <row r="341" ht="14.25" customHeight="1">
      <c r="X341" s="54"/>
      <c r="Y341" s="54"/>
      <c r="Z341" s="54"/>
      <c r="AA341" s="54"/>
      <c r="AB341" s="54"/>
      <c r="AC341" s="54"/>
      <c r="AD341" s="54"/>
      <c r="AE341" s="54"/>
      <c r="AF341" s="54"/>
      <c r="AG341" s="54"/>
      <c r="AH341" s="54"/>
      <c r="AI341" s="54"/>
    </row>
    <row r="342" ht="14.25" customHeight="1">
      <c r="X342" s="54"/>
      <c r="Y342" s="54"/>
      <c r="Z342" s="54"/>
      <c r="AA342" s="54"/>
      <c r="AB342" s="54"/>
      <c r="AC342" s="54"/>
      <c r="AD342" s="54"/>
      <c r="AE342" s="54"/>
      <c r="AF342" s="54"/>
      <c r="AG342" s="54"/>
      <c r="AH342" s="54"/>
      <c r="AI342" s="54"/>
    </row>
    <row r="343" ht="14.25" customHeight="1">
      <c r="X343" s="54"/>
      <c r="Y343" s="54"/>
      <c r="Z343" s="54"/>
      <c r="AA343" s="54"/>
      <c r="AB343" s="54"/>
      <c r="AC343" s="54"/>
      <c r="AD343" s="54"/>
      <c r="AE343" s="54"/>
      <c r="AF343" s="54"/>
      <c r="AG343" s="54"/>
      <c r="AH343" s="54"/>
      <c r="AI343" s="54"/>
    </row>
    <row r="344" ht="14.25" customHeight="1">
      <c r="X344" s="54"/>
      <c r="Y344" s="54"/>
      <c r="Z344" s="54"/>
      <c r="AA344" s="54"/>
      <c r="AB344" s="54"/>
      <c r="AC344" s="54"/>
      <c r="AD344" s="54"/>
      <c r="AE344" s="54"/>
      <c r="AF344" s="54"/>
      <c r="AG344" s="54"/>
      <c r="AH344" s="54"/>
      <c r="AI344" s="54"/>
    </row>
    <row r="345" ht="14.25" customHeight="1">
      <c r="X345" s="54"/>
      <c r="Y345" s="54"/>
      <c r="Z345" s="54"/>
      <c r="AA345" s="54"/>
      <c r="AB345" s="54"/>
      <c r="AC345" s="54"/>
      <c r="AD345" s="54"/>
      <c r="AE345" s="54"/>
      <c r="AF345" s="54"/>
      <c r="AG345" s="54"/>
      <c r="AH345" s="54"/>
      <c r="AI345" s="54"/>
    </row>
    <row r="346" ht="14.25" customHeight="1">
      <c r="X346" s="54"/>
      <c r="Y346" s="54"/>
      <c r="Z346" s="54"/>
      <c r="AA346" s="54"/>
      <c r="AB346" s="54"/>
      <c r="AC346" s="54"/>
      <c r="AD346" s="54"/>
      <c r="AE346" s="54"/>
      <c r="AF346" s="54"/>
      <c r="AG346" s="54"/>
      <c r="AH346" s="54"/>
      <c r="AI346" s="54"/>
    </row>
    <row r="347" ht="14.25" customHeight="1">
      <c r="X347" s="54"/>
      <c r="Y347" s="54"/>
      <c r="Z347" s="54"/>
      <c r="AA347" s="54"/>
      <c r="AB347" s="54"/>
      <c r="AC347" s="54"/>
      <c r="AD347" s="54"/>
      <c r="AE347" s="54"/>
      <c r="AF347" s="54"/>
      <c r="AG347" s="54"/>
      <c r="AH347" s="54"/>
      <c r="AI347" s="54"/>
    </row>
    <row r="348" ht="14.25" customHeight="1">
      <c r="X348" s="54"/>
      <c r="Y348" s="54"/>
      <c r="Z348" s="54"/>
      <c r="AA348" s="54"/>
      <c r="AB348" s="54"/>
      <c r="AC348" s="54"/>
      <c r="AD348" s="54"/>
      <c r="AE348" s="54"/>
      <c r="AF348" s="54"/>
      <c r="AG348" s="54"/>
      <c r="AH348" s="54"/>
      <c r="AI348" s="54"/>
    </row>
    <row r="349" ht="14.25" customHeight="1">
      <c r="X349" s="54"/>
      <c r="Y349" s="54"/>
      <c r="Z349" s="54"/>
      <c r="AA349" s="54"/>
      <c r="AB349" s="54"/>
      <c r="AC349" s="54"/>
      <c r="AD349" s="54"/>
      <c r="AE349" s="54"/>
      <c r="AF349" s="54"/>
      <c r="AG349" s="54"/>
      <c r="AH349" s="54"/>
      <c r="AI349" s="54"/>
    </row>
    <row r="350" ht="14.25" customHeight="1">
      <c r="X350" s="54"/>
      <c r="Y350" s="54"/>
      <c r="Z350" s="54"/>
      <c r="AA350" s="54"/>
      <c r="AB350" s="54"/>
      <c r="AC350" s="54"/>
      <c r="AD350" s="54"/>
      <c r="AE350" s="54"/>
      <c r="AF350" s="54"/>
      <c r="AG350" s="54"/>
      <c r="AH350" s="54"/>
      <c r="AI350" s="54"/>
    </row>
    <row r="351" ht="14.25" customHeight="1">
      <c r="X351" s="54"/>
      <c r="Y351" s="54"/>
      <c r="Z351" s="54"/>
      <c r="AA351" s="54"/>
      <c r="AB351" s="54"/>
      <c r="AC351" s="54"/>
      <c r="AD351" s="54"/>
      <c r="AE351" s="54"/>
      <c r="AF351" s="54"/>
      <c r="AG351" s="54"/>
      <c r="AH351" s="54"/>
      <c r="AI351" s="54"/>
    </row>
    <row r="352" ht="14.25" customHeight="1">
      <c r="X352" s="54"/>
      <c r="Y352" s="54"/>
      <c r="Z352" s="54"/>
      <c r="AA352" s="54"/>
      <c r="AB352" s="54"/>
      <c r="AC352" s="54"/>
      <c r="AD352" s="54"/>
      <c r="AE352" s="54"/>
      <c r="AF352" s="54"/>
      <c r="AG352" s="54"/>
      <c r="AH352" s="54"/>
      <c r="AI352" s="54"/>
    </row>
    <row r="353" ht="14.25" customHeight="1">
      <c r="X353" s="54"/>
      <c r="Y353" s="54"/>
      <c r="Z353" s="54"/>
      <c r="AA353" s="54"/>
      <c r="AB353" s="54"/>
      <c r="AC353" s="54"/>
      <c r="AD353" s="54"/>
      <c r="AE353" s="54"/>
      <c r="AF353" s="54"/>
      <c r="AG353" s="54"/>
      <c r="AH353" s="54"/>
      <c r="AI353" s="54"/>
    </row>
    <row r="354" ht="14.25" customHeight="1">
      <c r="X354" s="54"/>
      <c r="Y354" s="54"/>
      <c r="Z354" s="54"/>
      <c r="AA354" s="54"/>
      <c r="AB354" s="54"/>
      <c r="AC354" s="54"/>
      <c r="AD354" s="54"/>
      <c r="AE354" s="54"/>
      <c r="AF354" s="54"/>
      <c r="AG354" s="54"/>
      <c r="AH354" s="54"/>
      <c r="AI354" s="54"/>
    </row>
    <row r="355" ht="14.25" customHeight="1">
      <c r="X355" s="54"/>
      <c r="Y355" s="54"/>
      <c r="Z355" s="54"/>
      <c r="AA355" s="54"/>
      <c r="AB355" s="54"/>
      <c r="AC355" s="54"/>
      <c r="AD355" s="54"/>
      <c r="AE355" s="54"/>
      <c r="AF355" s="54"/>
      <c r="AG355" s="54"/>
      <c r="AH355" s="54"/>
      <c r="AI355" s="54"/>
    </row>
    <row r="356" ht="14.25" customHeight="1">
      <c r="X356" s="54"/>
      <c r="Y356" s="54"/>
      <c r="Z356" s="54"/>
      <c r="AA356" s="54"/>
      <c r="AB356" s="54"/>
      <c r="AC356" s="54"/>
      <c r="AD356" s="54"/>
      <c r="AE356" s="54"/>
      <c r="AF356" s="54"/>
      <c r="AG356" s="54"/>
      <c r="AH356" s="54"/>
      <c r="AI356" s="54"/>
    </row>
    <row r="357" ht="14.25" customHeight="1">
      <c r="X357" s="54"/>
      <c r="Y357" s="54"/>
      <c r="Z357" s="54"/>
      <c r="AA357" s="54"/>
      <c r="AB357" s="54"/>
      <c r="AC357" s="54"/>
      <c r="AD357" s="54"/>
      <c r="AE357" s="54"/>
      <c r="AF357" s="54"/>
      <c r="AG357" s="54"/>
      <c r="AH357" s="54"/>
      <c r="AI357" s="54"/>
    </row>
    <row r="358" ht="14.25" customHeight="1">
      <c r="X358" s="54"/>
      <c r="Y358" s="54"/>
      <c r="Z358" s="54"/>
      <c r="AA358" s="54"/>
      <c r="AB358" s="54"/>
      <c r="AC358" s="54"/>
      <c r="AD358" s="54"/>
      <c r="AE358" s="54"/>
      <c r="AF358" s="54"/>
      <c r="AG358" s="54"/>
      <c r="AH358" s="54"/>
      <c r="AI358" s="54"/>
    </row>
    <row r="359" ht="14.25" customHeight="1">
      <c r="X359" s="54"/>
      <c r="Y359" s="54"/>
      <c r="Z359" s="54"/>
      <c r="AA359" s="54"/>
      <c r="AB359" s="54"/>
      <c r="AC359" s="54"/>
      <c r="AD359" s="54"/>
      <c r="AE359" s="54"/>
      <c r="AF359" s="54"/>
      <c r="AG359" s="54"/>
      <c r="AH359" s="54"/>
      <c r="AI359" s="54"/>
    </row>
    <row r="360" ht="14.25" customHeight="1">
      <c r="X360" s="54"/>
      <c r="Y360" s="54"/>
      <c r="Z360" s="54"/>
      <c r="AA360" s="54"/>
      <c r="AB360" s="54"/>
      <c r="AC360" s="54"/>
      <c r="AD360" s="54"/>
      <c r="AE360" s="54"/>
      <c r="AF360" s="54"/>
      <c r="AG360" s="54"/>
      <c r="AH360" s="54"/>
      <c r="AI360" s="54"/>
    </row>
    <row r="361" ht="14.25" customHeight="1">
      <c r="X361" s="54"/>
      <c r="Y361" s="54"/>
      <c r="Z361" s="54"/>
      <c r="AA361" s="54"/>
      <c r="AB361" s="54"/>
      <c r="AC361" s="54"/>
      <c r="AD361" s="54"/>
      <c r="AE361" s="54"/>
      <c r="AF361" s="54"/>
      <c r="AG361" s="54"/>
      <c r="AH361" s="54"/>
      <c r="AI361" s="54"/>
    </row>
    <row r="362" ht="14.25" customHeight="1">
      <c r="X362" s="54"/>
      <c r="Y362" s="54"/>
      <c r="Z362" s="54"/>
      <c r="AA362" s="54"/>
      <c r="AB362" s="54"/>
      <c r="AC362" s="54"/>
      <c r="AD362" s="54"/>
      <c r="AE362" s="54"/>
      <c r="AF362" s="54"/>
      <c r="AG362" s="54"/>
      <c r="AH362" s="54"/>
      <c r="AI362" s="54"/>
    </row>
    <row r="363" ht="14.25" customHeight="1">
      <c r="X363" s="54"/>
      <c r="Y363" s="54"/>
      <c r="Z363" s="54"/>
      <c r="AA363" s="54"/>
      <c r="AB363" s="54"/>
      <c r="AC363" s="54"/>
      <c r="AD363" s="54"/>
      <c r="AE363" s="54"/>
      <c r="AF363" s="54"/>
      <c r="AG363" s="54"/>
      <c r="AH363" s="54"/>
      <c r="AI363" s="54"/>
    </row>
    <row r="364" ht="14.25" customHeight="1">
      <c r="X364" s="54"/>
      <c r="Y364" s="54"/>
      <c r="Z364" s="54"/>
      <c r="AA364" s="54"/>
      <c r="AB364" s="54"/>
      <c r="AC364" s="54"/>
      <c r="AD364" s="54"/>
      <c r="AE364" s="54"/>
      <c r="AF364" s="54"/>
      <c r="AG364" s="54"/>
      <c r="AH364" s="54"/>
      <c r="AI364" s="54"/>
    </row>
    <row r="365" ht="14.25" customHeight="1">
      <c r="X365" s="54"/>
      <c r="Y365" s="54"/>
      <c r="Z365" s="54"/>
      <c r="AA365" s="54"/>
      <c r="AB365" s="54"/>
      <c r="AC365" s="54"/>
      <c r="AD365" s="54"/>
      <c r="AE365" s="54"/>
      <c r="AF365" s="54"/>
      <c r="AG365" s="54"/>
      <c r="AH365" s="54"/>
      <c r="AI365" s="54"/>
    </row>
    <row r="366" ht="14.25" customHeight="1">
      <c r="X366" s="54"/>
      <c r="Y366" s="54"/>
      <c r="Z366" s="54"/>
      <c r="AA366" s="54"/>
      <c r="AB366" s="54"/>
      <c r="AC366" s="54"/>
      <c r="AD366" s="54"/>
      <c r="AE366" s="54"/>
      <c r="AF366" s="54"/>
      <c r="AG366" s="54"/>
      <c r="AH366" s="54"/>
      <c r="AI366" s="54"/>
    </row>
    <row r="367" ht="14.25" customHeight="1">
      <c r="X367" s="54"/>
      <c r="Y367" s="54"/>
      <c r="Z367" s="54"/>
      <c r="AA367" s="54"/>
      <c r="AB367" s="54"/>
      <c r="AC367" s="54"/>
      <c r="AD367" s="54"/>
      <c r="AE367" s="54"/>
      <c r="AF367" s="54"/>
      <c r="AG367" s="54"/>
      <c r="AH367" s="54"/>
      <c r="AI367" s="54"/>
    </row>
    <row r="368" ht="14.25" customHeight="1">
      <c r="X368" s="54"/>
      <c r="Y368" s="54"/>
      <c r="Z368" s="54"/>
      <c r="AA368" s="54"/>
      <c r="AB368" s="54"/>
      <c r="AC368" s="54"/>
      <c r="AD368" s="54"/>
      <c r="AE368" s="54"/>
      <c r="AF368" s="54"/>
      <c r="AG368" s="54"/>
      <c r="AH368" s="54"/>
      <c r="AI368" s="54"/>
    </row>
    <row r="369" ht="14.25" customHeight="1">
      <c r="X369" s="54"/>
      <c r="Y369" s="54"/>
      <c r="Z369" s="54"/>
      <c r="AA369" s="54"/>
      <c r="AB369" s="54"/>
      <c r="AC369" s="54"/>
      <c r="AD369" s="54"/>
      <c r="AE369" s="54"/>
      <c r="AF369" s="54"/>
      <c r="AG369" s="54"/>
      <c r="AH369" s="54"/>
      <c r="AI369" s="54"/>
    </row>
    <row r="370" ht="14.25" customHeight="1">
      <c r="X370" s="54"/>
      <c r="Y370" s="54"/>
      <c r="Z370" s="54"/>
      <c r="AA370" s="54"/>
      <c r="AB370" s="54"/>
      <c r="AC370" s="54"/>
      <c r="AD370" s="54"/>
      <c r="AE370" s="54"/>
      <c r="AF370" s="54"/>
      <c r="AG370" s="54"/>
      <c r="AH370" s="54"/>
      <c r="AI370" s="54"/>
    </row>
    <row r="371" ht="14.25" customHeight="1">
      <c r="X371" s="54"/>
      <c r="Y371" s="54"/>
      <c r="Z371" s="54"/>
      <c r="AA371" s="54"/>
      <c r="AB371" s="54"/>
      <c r="AC371" s="54"/>
      <c r="AD371" s="54"/>
      <c r="AE371" s="54"/>
      <c r="AF371" s="54"/>
      <c r="AG371" s="54"/>
      <c r="AH371" s="54"/>
      <c r="AI371" s="54"/>
    </row>
    <row r="372" ht="14.25" customHeight="1">
      <c r="X372" s="54"/>
      <c r="Y372" s="54"/>
      <c r="Z372" s="54"/>
      <c r="AA372" s="54"/>
      <c r="AB372" s="54"/>
      <c r="AC372" s="54"/>
      <c r="AD372" s="54"/>
      <c r="AE372" s="54"/>
      <c r="AF372" s="54"/>
      <c r="AG372" s="54"/>
      <c r="AH372" s="54"/>
      <c r="AI372" s="54"/>
    </row>
    <row r="373" ht="14.25" customHeight="1">
      <c r="X373" s="54"/>
      <c r="Y373" s="54"/>
      <c r="Z373" s="54"/>
      <c r="AA373" s="54"/>
      <c r="AB373" s="54"/>
      <c r="AC373" s="54"/>
      <c r="AD373" s="54"/>
      <c r="AE373" s="54"/>
      <c r="AF373" s="54"/>
      <c r="AG373" s="54"/>
      <c r="AH373" s="54"/>
      <c r="AI373" s="54"/>
    </row>
    <row r="374" ht="14.25" customHeight="1">
      <c r="X374" s="54"/>
      <c r="Y374" s="54"/>
      <c r="Z374" s="54"/>
      <c r="AA374" s="54"/>
      <c r="AB374" s="54"/>
      <c r="AC374" s="54"/>
      <c r="AD374" s="54"/>
      <c r="AE374" s="54"/>
      <c r="AF374" s="54"/>
      <c r="AG374" s="54"/>
      <c r="AH374" s="54"/>
      <c r="AI374" s="54"/>
    </row>
    <row r="375" ht="14.25" customHeight="1">
      <c r="X375" s="54"/>
      <c r="Y375" s="54"/>
      <c r="Z375" s="54"/>
      <c r="AA375" s="54"/>
      <c r="AB375" s="54"/>
      <c r="AC375" s="54"/>
      <c r="AD375" s="54"/>
      <c r="AE375" s="54"/>
      <c r="AF375" s="54"/>
      <c r="AG375" s="54"/>
      <c r="AH375" s="54"/>
      <c r="AI375" s="54"/>
    </row>
    <row r="376" ht="14.25" customHeight="1">
      <c r="X376" s="54"/>
      <c r="Y376" s="54"/>
      <c r="Z376" s="54"/>
      <c r="AA376" s="54"/>
      <c r="AB376" s="54"/>
      <c r="AC376" s="54"/>
      <c r="AD376" s="54"/>
      <c r="AE376" s="54"/>
      <c r="AF376" s="54"/>
      <c r="AG376" s="54"/>
      <c r="AH376" s="54"/>
      <c r="AI376" s="54"/>
    </row>
    <row r="377" ht="14.25" customHeight="1">
      <c r="X377" s="54"/>
      <c r="Y377" s="54"/>
      <c r="Z377" s="54"/>
      <c r="AA377" s="54"/>
      <c r="AB377" s="54"/>
      <c r="AC377" s="54"/>
      <c r="AD377" s="54"/>
      <c r="AE377" s="54"/>
      <c r="AF377" s="54"/>
      <c r="AG377" s="54"/>
      <c r="AH377" s="54"/>
      <c r="AI377" s="54"/>
    </row>
    <row r="378" ht="14.25" customHeight="1">
      <c r="X378" s="54"/>
      <c r="Y378" s="54"/>
      <c r="Z378" s="54"/>
      <c r="AA378" s="54"/>
      <c r="AB378" s="54"/>
      <c r="AC378" s="54"/>
      <c r="AD378" s="54"/>
      <c r="AE378" s="54"/>
      <c r="AF378" s="54"/>
      <c r="AG378" s="54"/>
      <c r="AH378" s="54"/>
      <c r="AI378" s="54"/>
    </row>
    <row r="379" ht="14.25" customHeight="1">
      <c r="X379" s="54"/>
      <c r="Y379" s="54"/>
      <c r="Z379" s="54"/>
      <c r="AA379" s="54"/>
      <c r="AB379" s="54"/>
      <c r="AC379" s="54"/>
      <c r="AD379" s="54"/>
      <c r="AE379" s="54"/>
      <c r="AF379" s="54"/>
      <c r="AG379" s="54"/>
      <c r="AH379" s="54"/>
      <c r="AI379" s="54"/>
    </row>
    <row r="380" ht="14.25" customHeight="1">
      <c r="X380" s="54"/>
      <c r="Y380" s="54"/>
      <c r="Z380" s="54"/>
      <c r="AA380" s="54"/>
      <c r="AB380" s="54"/>
      <c r="AC380" s="54"/>
      <c r="AD380" s="54"/>
      <c r="AE380" s="54"/>
      <c r="AF380" s="54"/>
      <c r="AG380" s="54"/>
      <c r="AH380" s="54"/>
      <c r="AI380" s="54"/>
    </row>
    <row r="381" ht="14.25" customHeight="1">
      <c r="X381" s="54"/>
      <c r="Y381" s="54"/>
      <c r="Z381" s="54"/>
      <c r="AA381" s="54"/>
      <c r="AB381" s="54"/>
      <c r="AC381" s="54"/>
      <c r="AD381" s="54"/>
      <c r="AE381" s="54"/>
      <c r="AF381" s="54"/>
      <c r="AG381" s="54"/>
      <c r="AH381" s="54"/>
      <c r="AI381" s="54"/>
    </row>
    <row r="382" ht="14.25" customHeight="1">
      <c r="X382" s="54"/>
      <c r="Y382" s="54"/>
      <c r="Z382" s="54"/>
      <c r="AA382" s="54"/>
      <c r="AB382" s="54"/>
      <c r="AC382" s="54"/>
      <c r="AD382" s="54"/>
      <c r="AE382" s="54"/>
      <c r="AF382" s="54"/>
      <c r="AG382" s="54"/>
      <c r="AH382" s="54"/>
      <c r="AI382" s="54"/>
    </row>
    <row r="383" ht="14.25" customHeight="1">
      <c r="X383" s="54"/>
      <c r="Y383" s="54"/>
      <c r="Z383" s="54"/>
      <c r="AA383" s="54"/>
      <c r="AB383" s="54"/>
      <c r="AC383" s="54"/>
      <c r="AD383" s="54"/>
      <c r="AE383" s="54"/>
      <c r="AF383" s="54"/>
      <c r="AG383" s="54"/>
      <c r="AH383" s="54"/>
      <c r="AI383" s="54"/>
    </row>
    <row r="384" ht="14.25" customHeight="1">
      <c r="X384" s="54"/>
      <c r="Y384" s="54"/>
      <c r="Z384" s="54"/>
      <c r="AA384" s="54"/>
      <c r="AB384" s="54"/>
      <c r="AC384" s="54"/>
      <c r="AD384" s="54"/>
      <c r="AE384" s="54"/>
      <c r="AF384" s="54"/>
      <c r="AG384" s="54"/>
      <c r="AH384" s="54"/>
      <c r="AI384" s="54"/>
    </row>
    <row r="385" ht="14.25" customHeight="1">
      <c r="X385" s="54"/>
      <c r="Y385" s="54"/>
      <c r="Z385" s="54"/>
      <c r="AA385" s="54"/>
      <c r="AB385" s="54"/>
      <c r="AC385" s="54"/>
      <c r="AD385" s="54"/>
      <c r="AE385" s="54"/>
      <c r="AF385" s="54"/>
      <c r="AG385" s="54"/>
      <c r="AH385" s="54"/>
      <c r="AI385" s="54"/>
    </row>
    <row r="386" ht="14.25" customHeight="1">
      <c r="X386" s="54"/>
      <c r="Y386" s="54"/>
      <c r="Z386" s="54"/>
      <c r="AA386" s="54"/>
      <c r="AB386" s="54"/>
      <c r="AC386" s="54"/>
      <c r="AD386" s="54"/>
      <c r="AE386" s="54"/>
      <c r="AF386" s="54"/>
      <c r="AG386" s="54"/>
      <c r="AH386" s="54"/>
      <c r="AI386" s="54"/>
    </row>
    <row r="387" ht="14.25" customHeight="1">
      <c r="X387" s="54"/>
      <c r="Y387" s="54"/>
      <c r="Z387" s="54"/>
      <c r="AA387" s="54"/>
      <c r="AB387" s="54"/>
      <c r="AC387" s="54"/>
      <c r="AD387" s="54"/>
      <c r="AE387" s="54"/>
      <c r="AF387" s="54"/>
      <c r="AG387" s="54"/>
      <c r="AH387" s="54"/>
      <c r="AI387" s="54"/>
    </row>
    <row r="388" ht="14.25" customHeight="1">
      <c r="X388" s="54"/>
      <c r="Y388" s="54"/>
      <c r="Z388" s="54"/>
      <c r="AA388" s="54"/>
      <c r="AB388" s="54"/>
      <c r="AC388" s="54"/>
      <c r="AD388" s="54"/>
      <c r="AE388" s="54"/>
      <c r="AF388" s="54"/>
      <c r="AG388" s="54"/>
      <c r="AH388" s="54"/>
      <c r="AI388" s="54"/>
    </row>
    <row r="389" ht="14.25" customHeight="1">
      <c r="X389" s="54"/>
      <c r="Y389" s="54"/>
      <c r="Z389" s="54"/>
      <c r="AA389" s="54"/>
      <c r="AB389" s="54"/>
      <c r="AC389" s="54"/>
      <c r="AD389" s="54"/>
      <c r="AE389" s="54"/>
      <c r="AF389" s="54"/>
      <c r="AG389" s="54"/>
      <c r="AH389" s="54"/>
      <c r="AI389" s="54"/>
    </row>
    <row r="390" ht="14.25" customHeight="1">
      <c r="X390" s="54"/>
      <c r="Y390" s="54"/>
      <c r="Z390" s="54"/>
      <c r="AA390" s="54"/>
      <c r="AB390" s="54"/>
      <c r="AC390" s="54"/>
      <c r="AD390" s="54"/>
      <c r="AE390" s="54"/>
      <c r="AF390" s="54"/>
      <c r="AG390" s="54"/>
      <c r="AH390" s="54"/>
      <c r="AI390" s="54"/>
    </row>
    <row r="391" ht="14.25" customHeight="1">
      <c r="X391" s="54"/>
      <c r="Y391" s="54"/>
      <c r="Z391" s="54"/>
      <c r="AA391" s="54"/>
      <c r="AB391" s="54"/>
      <c r="AC391" s="54"/>
      <c r="AD391" s="54"/>
      <c r="AE391" s="54"/>
      <c r="AF391" s="54"/>
      <c r="AG391" s="54"/>
      <c r="AH391" s="54"/>
      <c r="AI391" s="54"/>
    </row>
    <row r="392" ht="14.25" customHeight="1">
      <c r="X392" s="54"/>
      <c r="Y392" s="54"/>
      <c r="Z392" s="54"/>
      <c r="AA392" s="54"/>
      <c r="AB392" s="54"/>
      <c r="AC392" s="54"/>
      <c r="AD392" s="54"/>
      <c r="AE392" s="54"/>
      <c r="AF392" s="54"/>
      <c r="AG392" s="54"/>
      <c r="AH392" s="54"/>
      <c r="AI392" s="54"/>
    </row>
    <row r="393" ht="14.25" customHeight="1">
      <c r="X393" s="54"/>
      <c r="Y393" s="54"/>
      <c r="Z393" s="54"/>
      <c r="AA393" s="54"/>
      <c r="AB393" s="54"/>
      <c r="AC393" s="54"/>
      <c r="AD393" s="54"/>
      <c r="AE393" s="54"/>
      <c r="AF393" s="54"/>
      <c r="AG393" s="54"/>
      <c r="AH393" s="54"/>
      <c r="AI393" s="54"/>
    </row>
    <row r="394" ht="14.25" customHeight="1">
      <c r="X394" s="54"/>
      <c r="Y394" s="54"/>
      <c r="Z394" s="54"/>
      <c r="AA394" s="54"/>
      <c r="AB394" s="54"/>
      <c r="AC394" s="54"/>
      <c r="AD394" s="54"/>
      <c r="AE394" s="54"/>
      <c r="AF394" s="54"/>
      <c r="AG394" s="54"/>
      <c r="AH394" s="54"/>
      <c r="AI394" s="54"/>
    </row>
    <row r="395" ht="14.25" customHeight="1">
      <c r="X395" s="54"/>
      <c r="Y395" s="54"/>
      <c r="Z395" s="54"/>
      <c r="AA395" s="54"/>
      <c r="AB395" s="54"/>
      <c r="AC395" s="54"/>
      <c r="AD395" s="54"/>
      <c r="AE395" s="54"/>
      <c r="AF395" s="54"/>
      <c r="AG395" s="54"/>
      <c r="AH395" s="54"/>
      <c r="AI395" s="54"/>
    </row>
    <row r="396" ht="14.25" customHeight="1">
      <c r="X396" s="54"/>
      <c r="Y396" s="54"/>
      <c r="Z396" s="54"/>
      <c r="AA396" s="54"/>
      <c r="AB396" s="54"/>
      <c r="AC396" s="54"/>
      <c r="AD396" s="54"/>
      <c r="AE396" s="54"/>
      <c r="AF396" s="54"/>
      <c r="AG396" s="54"/>
      <c r="AH396" s="54"/>
      <c r="AI396" s="54"/>
    </row>
    <row r="397" ht="14.25" customHeight="1">
      <c r="X397" s="54"/>
      <c r="Y397" s="54"/>
      <c r="Z397" s="54"/>
      <c r="AA397" s="54"/>
      <c r="AB397" s="54"/>
      <c r="AC397" s="54"/>
      <c r="AD397" s="54"/>
      <c r="AE397" s="54"/>
      <c r="AF397" s="54"/>
      <c r="AG397" s="54"/>
      <c r="AH397" s="54"/>
      <c r="AI397" s="54"/>
    </row>
    <row r="398" ht="14.25" customHeight="1">
      <c r="X398" s="54"/>
      <c r="Y398" s="54"/>
      <c r="Z398" s="54"/>
      <c r="AA398" s="54"/>
      <c r="AB398" s="54"/>
      <c r="AC398" s="54"/>
      <c r="AD398" s="54"/>
      <c r="AE398" s="54"/>
      <c r="AF398" s="54"/>
      <c r="AG398" s="54"/>
      <c r="AH398" s="54"/>
      <c r="AI398" s="54"/>
    </row>
    <row r="399" ht="14.25" customHeight="1">
      <c r="X399" s="54"/>
      <c r="Y399" s="54"/>
      <c r="Z399" s="54"/>
      <c r="AA399" s="54"/>
      <c r="AB399" s="54"/>
      <c r="AC399" s="54"/>
      <c r="AD399" s="54"/>
      <c r="AE399" s="54"/>
      <c r="AF399" s="54"/>
      <c r="AG399" s="54"/>
      <c r="AH399" s="54"/>
      <c r="AI399" s="54"/>
    </row>
    <row r="400" ht="14.25" customHeight="1">
      <c r="X400" s="54"/>
      <c r="Y400" s="54"/>
      <c r="Z400" s="54"/>
      <c r="AA400" s="54"/>
      <c r="AB400" s="54"/>
      <c r="AC400" s="54"/>
      <c r="AD400" s="54"/>
      <c r="AE400" s="54"/>
      <c r="AF400" s="54"/>
      <c r="AG400" s="54"/>
      <c r="AH400" s="54"/>
      <c r="AI400" s="54"/>
    </row>
    <row r="401" ht="14.25" customHeight="1">
      <c r="X401" s="54"/>
      <c r="Y401" s="54"/>
      <c r="Z401" s="54"/>
      <c r="AA401" s="54"/>
      <c r="AB401" s="54"/>
      <c r="AC401" s="54"/>
      <c r="AD401" s="54"/>
      <c r="AE401" s="54"/>
      <c r="AF401" s="54"/>
      <c r="AG401" s="54"/>
      <c r="AH401" s="54"/>
      <c r="AI401" s="54"/>
    </row>
    <row r="402" ht="14.25" customHeight="1">
      <c r="X402" s="54"/>
      <c r="Y402" s="54"/>
      <c r="Z402" s="54"/>
      <c r="AA402" s="54"/>
      <c r="AB402" s="54"/>
      <c r="AC402" s="54"/>
      <c r="AD402" s="54"/>
      <c r="AE402" s="54"/>
      <c r="AF402" s="54"/>
      <c r="AG402" s="54"/>
      <c r="AH402" s="54"/>
      <c r="AI402" s="54"/>
    </row>
    <row r="403" ht="14.25" customHeight="1">
      <c r="X403" s="54"/>
      <c r="Y403" s="54"/>
      <c r="Z403" s="54"/>
      <c r="AA403" s="54"/>
      <c r="AB403" s="54"/>
      <c r="AC403" s="54"/>
      <c r="AD403" s="54"/>
      <c r="AE403" s="54"/>
      <c r="AF403" s="54"/>
      <c r="AG403" s="54"/>
      <c r="AH403" s="54"/>
      <c r="AI403" s="54"/>
    </row>
    <row r="404" ht="14.25" customHeight="1">
      <c r="X404" s="54"/>
      <c r="Y404" s="54"/>
      <c r="Z404" s="54"/>
      <c r="AA404" s="54"/>
      <c r="AB404" s="54"/>
      <c r="AC404" s="54"/>
      <c r="AD404" s="54"/>
      <c r="AE404" s="54"/>
      <c r="AF404" s="54"/>
      <c r="AG404" s="54"/>
      <c r="AH404" s="54"/>
      <c r="AI404" s="54"/>
    </row>
    <row r="405" ht="14.25" customHeight="1">
      <c r="X405" s="54"/>
      <c r="Y405" s="54"/>
      <c r="Z405" s="54"/>
      <c r="AA405" s="54"/>
      <c r="AB405" s="54"/>
      <c r="AC405" s="54"/>
      <c r="AD405" s="54"/>
      <c r="AE405" s="54"/>
      <c r="AF405" s="54"/>
      <c r="AG405" s="54"/>
      <c r="AH405" s="54"/>
      <c r="AI405" s="54"/>
    </row>
    <row r="406" ht="14.25" customHeight="1">
      <c r="X406" s="54"/>
      <c r="Y406" s="54"/>
      <c r="Z406" s="54"/>
      <c r="AA406" s="54"/>
      <c r="AB406" s="54"/>
      <c r="AC406" s="54"/>
      <c r="AD406" s="54"/>
      <c r="AE406" s="54"/>
      <c r="AF406" s="54"/>
      <c r="AG406" s="54"/>
      <c r="AH406" s="54"/>
      <c r="AI406" s="54"/>
    </row>
    <row r="407" ht="14.25" customHeight="1">
      <c r="X407" s="54"/>
      <c r="Y407" s="54"/>
      <c r="Z407" s="54"/>
      <c r="AA407" s="54"/>
      <c r="AB407" s="54"/>
      <c r="AC407" s="54"/>
      <c r="AD407" s="54"/>
      <c r="AE407" s="54"/>
      <c r="AF407" s="54"/>
      <c r="AG407" s="54"/>
      <c r="AH407" s="54"/>
      <c r="AI407" s="54"/>
    </row>
    <row r="408" ht="14.25" customHeight="1">
      <c r="X408" s="54"/>
      <c r="Y408" s="54"/>
      <c r="Z408" s="54"/>
      <c r="AA408" s="54"/>
      <c r="AB408" s="54"/>
      <c r="AC408" s="54"/>
      <c r="AD408" s="54"/>
      <c r="AE408" s="54"/>
      <c r="AF408" s="54"/>
      <c r="AG408" s="54"/>
      <c r="AH408" s="54"/>
      <c r="AI408" s="54"/>
    </row>
    <row r="409" ht="14.25" customHeight="1">
      <c r="X409" s="54"/>
      <c r="Y409" s="54"/>
      <c r="Z409" s="54"/>
      <c r="AA409" s="54"/>
      <c r="AB409" s="54"/>
      <c r="AC409" s="54"/>
      <c r="AD409" s="54"/>
      <c r="AE409" s="54"/>
      <c r="AF409" s="54"/>
      <c r="AG409" s="54"/>
      <c r="AH409" s="54"/>
      <c r="AI409" s="54"/>
    </row>
    <row r="410" ht="14.25" customHeight="1">
      <c r="X410" s="54"/>
      <c r="Y410" s="54"/>
      <c r="Z410" s="54"/>
      <c r="AA410" s="54"/>
      <c r="AB410" s="54"/>
      <c r="AC410" s="54"/>
      <c r="AD410" s="54"/>
      <c r="AE410" s="54"/>
      <c r="AF410" s="54"/>
      <c r="AG410" s="54"/>
      <c r="AH410" s="54"/>
      <c r="AI410" s="54"/>
    </row>
    <row r="411" ht="14.25" customHeight="1">
      <c r="X411" s="54"/>
      <c r="Y411" s="54"/>
      <c r="Z411" s="54"/>
      <c r="AA411" s="54"/>
      <c r="AB411" s="54"/>
      <c r="AC411" s="54"/>
      <c r="AD411" s="54"/>
      <c r="AE411" s="54"/>
      <c r="AF411" s="54"/>
      <c r="AG411" s="54"/>
      <c r="AH411" s="54"/>
      <c r="AI411" s="54"/>
    </row>
    <row r="412" ht="14.25" customHeight="1">
      <c r="X412" s="54"/>
      <c r="Y412" s="54"/>
      <c r="Z412" s="54"/>
      <c r="AA412" s="54"/>
      <c r="AB412" s="54"/>
      <c r="AC412" s="54"/>
      <c r="AD412" s="54"/>
      <c r="AE412" s="54"/>
      <c r="AF412" s="54"/>
      <c r="AG412" s="54"/>
      <c r="AH412" s="54"/>
      <c r="AI412" s="54"/>
    </row>
    <row r="413" ht="14.25" customHeight="1">
      <c r="X413" s="54"/>
      <c r="Y413" s="54"/>
      <c r="Z413" s="54"/>
      <c r="AA413" s="54"/>
      <c r="AB413" s="54"/>
      <c r="AC413" s="54"/>
      <c r="AD413" s="54"/>
      <c r="AE413" s="54"/>
      <c r="AF413" s="54"/>
      <c r="AG413" s="54"/>
      <c r="AH413" s="54"/>
      <c r="AI413" s="54"/>
    </row>
    <row r="414" ht="14.25" customHeight="1">
      <c r="X414" s="54"/>
      <c r="Y414" s="54"/>
      <c r="Z414" s="54"/>
      <c r="AA414" s="54"/>
      <c r="AB414" s="54"/>
      <c r="AC414" s="54"/>
      <c r="AD414" s="54"/>
      <c r="AE414" s="54"/>
      <c r="AF414" s="54"/>
      <c r="AG414" s="54"/>
      <c r="AH414" s="54"/>
      <c r="AI414" s="54"/>
    </row>
    <row r="415" ht="14.25" customHeight="1">
      <c r="X415" s="54"/>
      <c r="Y415" s="54"/>
      <c r="Z415" s="54"/>
      <c r="AA415" s="54"/>
      <c r="AB415" s="54"/>
      <c r="AC415" s="54"/>
      <c r="AD415" s="54"/>
      <c r="AE415" s="54"/>
      <c r="AF415" s="54"/>
      <c r="AG415" s="54"/>
      <c r="AH415" s="54"/>
      <c r="AI415" s="54"/>
    </row>
    <row r="416" ht="14.25" customHeight="1">
      <c r="X416" s="54"/>
      <c r="Y416" s="54"/>
      <c r="Z416" s="54"/>
      <c r="AA416" s="54"/>
      <c r="AB416" s="54"/>
      <c r="AC416" s="54"/>
      <c r="AD416" s="54"/>
      <c r="AE416" s="54"/>
      <c r="AF416" s="54"/>
      <c r="AG416" s="54"/>
      <c r="AH416" s="54"/>
      <c r="AI416" s="54"/>
    </row>
    <row r="417" ht="14.25" customHeight="1">
      <c r="X417" s="54"/>
      <c r="Y417" s="54"/>
      <c r="Z417" s="54"/>
      <c r="AA417" s="54"/>
      <c r="AB417" s="54"/>
      <c r="AC417" s="54"/>
      <c r="AD417" s="54"/>
      <c r="AE417" s="54"/>
      <c r="AF417" s="54"/>
      <c r="AG417" s="54"/>
      <c r="AH417" s="54"/>
      <c r="AI417" s="54"/>
    </row>
    <row r="418" ht="14.25" customHeight="1">
      <c r="X418" s="54"/>
      <c r="Y418" s="54"/>
      <c r="Z418" s="54"/>
      <c r="AA418" s="54"/>
      <c r="AB418" s="54"/>
      <c r="AC418" s="54"/>
      <c r="AD418" s="54"/>
      <c r="AE418" s="54"/>
      <c r="AF418" s="54"/>
      <c r="AG418" s="54"/>
      <c r="AH418" s="54"/>
      <c r="AI418" s="54"/>
    </row>
    <row r="419" ht="14.25" customHeight="1">
      <c r="X419" s="54"/>
      <c r="Y419" s="54"/>
      <c r="Z419" s="54"/>
      <c r="AA419" s="54"/>
      <c r="AB419" s="54"/>
      <c r="AC419" s="54"/>
      <c r="AD419" s="54"/>
      <c r="AE419" s="54"/>
      <c r="AF419" s="54"/>
      <c r="AG419" s="54"/>
      <c r="AH419" s="54"/>
      <c r="AI419" s="54"/>
    </row>
    <row r="420" ht="14.25" customHeight="1">
      <c r="X420" s="54"/>
      <c r="Y420" s="54"/>
      <c r="Z420" s="54"/>
      <c r="AA420" s="54"/>
      <c r="AB420" s="54"/>
      <c r="AC420" s="54"/>
      <c r="AD420" s="54"/>
      <c r="AE420" s="54"/>
      <c r="AF420" s="54"/>
      <c r="AG420" s="54"/>
      <c r="AH420" s="54"/>
      <c r="AI420" s="54"/>
    </row>
    <row r="421" ht="14.25" customHeight="1">
      <c r="X421" s="54"/>
      <c r="Y421" s="54"/>
      <c r="Z421" s="54"/>
      <c r="AA421" s="54"/>
      <c r="AB421" s="54"/>
      <c r="AC421" s="54"/>
      <c r="AD421" s="54"/>
      <c r="AE421" s="54"/>
      <c r="AF421" s="54"/>
      <c r="AG421" s="54"/>
      <c r="AH421" s="54"/>
      <c r="AI421" s="54"/>
    </row>
    <row r="422" ht="14.25" customHeight="1">
      <c r="X422" s="54"/>
      <c r="Y422" s="54"/>
      <c r="Z422" s="54"/>
      <c r="AA422" s="54"/>
      <c r="AB422" s="54"/>
      <c r="AC422" s="54"/>
      <c r="AD422" s="54"/>
      <c r="AE422" s="54"/>
      <c r="AF422" s="54"/>
      <c r="AG422" s="54"/>
      <c r="AH422" s="54"/>
      <c r="AI422" s="54"/>
    </row>
    <row r="423" ht="14.25" customHeight="1">
      <c r="X423" s="54"/>
      <c r="Y423" s="54"/>
      <c r="Z423" s="54"/>
      <c r="AA423" s="54"/>
      <c r="AB423" s="54"/>
      <c r="AC423" s="54"/>
      <c r="AD423" s="54"/>
      <c r="AE423" s="54"/>
      <c r="AF423" s="54"/>
      <c r="AG423" s="54"/>
      <c r="AH423" s="54"/>
      <c r="AI423" s="54"/>
    </row>
    <row r="424" ht="14.25" customHeight="1">
      <c r="X424" s="54"/>
      <c r="Y424" s="54"/>
      <c r="Z424" s="54"/>
      <c r="AA424" s="54"/>
      <c r="AB424" s="54"/>
      <c r="AC424" s="54"/>
      <c r="AD424" s="54"/>
      <c r="AE424" s="54"/>
      <c r="AF424" s="54"/>
      <c r="AG424" s="54"/>
      <c r="AH424" s="54"/>
      <c r="AI424" s="54"/>
    </row>
    <row r="425" ht="14.25" customHeight="1">
      <c r="X425" s="54"/>
      <c r="Y425" s="54"/>
      <c r="Z425" s="54"/>
      <c r="AA425" s="54"/>
      <c r="AB425" s="54"/>
      <c r="AC425" s="54"/>
      <c r="AD425" s="54"/>
      <c r="AE425" s="54"/>
      <c r="AF425" s="54"/>
      <c r="AG425" s="54"/>
      <c r="AH425" s="54"/>
      <c r="AI425" s="54"/>
    </row>
    <row r="426" ht="14.25" customHeight="1">
      <c r="X426" s="54"/>
      <c r="Y426" s="54"/>
      <c r="Z426" s="54"/>
      <c r="AA426" s="54"/>
      <c r="AB426" s="54"/>
      <c r="AC426" s="54"/>
      <c r="AD426" s="54"/>
      <c r="AE426" s="54"/>
      <c r="AF426" s="54"/>
      <c r="AG426" s="54"/>
      <c r="AH426" s="54"/>
      <c r="AI426" s="54"/>
    </row>
    <row r="427" ht="14.25" customHeight="1">
      <c r="X427" s="54"/>
      <c r="Y427" s="54"/>
      <c r="Z427" s="54"/>
      <c r="AA427" s="54"/>
      <c r="AB427" s="54"/>
      <c r="AC427" s="54"/>
      <c r="AD427" s="54"/>
      <c r="AE427" s="54"/>
      <c r="AF427" s="54"/>
      <c r="AG427" s="54"/>
      <c r="AH427" s="54"/>
      <c r="AI427" s="54"/>
    </row>
    <row r="428" ht="14.25" customHeight="1">
      <c r="X428" s="54"/>
      <c r="Y428" s="54"/>
      <c r="Z428" s="54"/>
      <c r="AA428" s="54"/>
      <c r="AB428" s="54"/>
      <c r="AC428" s="54"/>
      <c r="AD428" s="54"/>
      <c r="AE428" s="54"/>
      <c r="AF428" s="54"/>
      <c r="AG428" s="54"/>
      <c r="AH428" s="54"/>
      <c r="AI428" s="54"/>
    </row>
    <row r="429" ht="14.25" customHeight="1">
      <c r="X429" s="54"/>
      <c r="Y429" s="54"/>
      <c r="Z429" s="54"/>
      <c r="AA429" s="54"/>
      <c r="AB429" s="54"/>
      <c r="AC429" s="54"/>
      <c r="AD429" s="54"/>
      <c r="AE429" s="54"/>
      <c r="AF429" s="54"/>
      <c r="AG429" s="54"/>
      <c r="AH429" s="54"/>
      <c r="AI429" s="54"/>
    </row>
    <row r="430" ht="14.25" customHeight="1">
      <c r="X430" s="54"/>
      <c r="Y430" s="54"/>
      <c r="Z430" s="54"/>
      <c r="AA430" s="54"/>
      <c r="AB430" s="54"/>
      <c r="AC430" s="54"/>
      <c r="AD430" s="54"/>
      <c r="AE430" s="54"/>
      <c r="AF430" s="54"/>
      <c r="AG430" s="54"/>
      <c r="AH430" s="54"/>
      <c r="AI430" s="54"/>
    </row>
    <row r="431" ht="14.25" customHeight="1">
      <c r="X431" s="54"/>
      <c r="Y431" s="54"/>
      <c r="Z431" s="54"/>
      <c r="AA431" s="54"/>
      <c r="AB431" s="54"/>
      <c r="AC431" s="54"/>
      <c r="AD431" s="54"/>
      <c r="AE431" s="54"/>
      <c r="AF431" s="54"/>
      <c r="AG431" s="54"/>
      <c r="AH431" s="54"/>
      <c r="AI431" s="54"/>
    </row>
    <row r="432" ht="14.25" customHeight="1">
      <c r="X432" s="54"/>
      <c r="Y432" s="54"/>
      <c r="Z432" s="54"/>
      <c r="AA432" s="54"/>
      <c r="AB432" s="54"/>
      <c r="AC432" s="54"/>
      <c r="AD432" s="54"/>
      <c r="AE432" s="54"/>
      <c r="AF432" s="54"/>
      <c r="AG432" s="54"/>
      <c r="AH432" s="54"/>
      <c r="AI432" s="54"/>
    </row>
    <row r="433" ht="14.25" customHeight="1">
      <c r="X433" s="54"/>
      <c r="Y433" s="54"/>
      <c r="Z433" s="54"/>
      <c r="AA433" s="54"/>
      <c r="AB433" s="54"/>
      <c r="AC433" s="54"/>
      <c r="AD433" s="54"/>
      <c r="AE433" s="54"/>
      <c r="AF433" s="54"/>
      <c r="AG433" s="54"/>
      <c r="AH433" s="54"/>
      <c r="AI433" s="54"/>
    </row>
    <row r="434" ht="14.25" customHeight="1">
      <c r="X434" s="54"/>
      <c r="Y434" s="54"/>
      <c r="Z434" s="54"/>
      <c r="AA434" s="54"/>
      <c r="AB434" s="54"/>
      <c r="AC434" s="54"/>
      <c r="AD434" s="54"/>
      <c r="AE434" s="54"/>
      <c r="AF434" s="54"/>
      <c r="AG434" s="54"/>
      <c r="AH434" s="54"/>
      <c r="AI434" s="54"/>
    </row>
    <row r="435" ht="14.25" customHeight="1">
      <c r="X435" s="54"/>
      <c r="Y435" s="54"/>
      <c r="Z435" s="54"/>
      <c r="AA435" s="54"/>
      <c r="AB435" s="54"/>
      <c r="AC435" s="54"/>
      <c r="AD435" s="54"/>
      <c r="AE435" s="54"/>
      <c r="AF435" s="54"/>
      <c r="AG435" s="54"/>
      <c r="AH435" s="54"/>
      <c r="AI435" s="54"/>
    </row>
    <row r="436" ht="14.25" customHeight="1">
      <c r="X436" s="54"/>
      <c r="Y436" s="54"/>
      <c r="Z436" s="54"/>
      <c r="AA436" s="54"/>
      <c r="AB436" s="54"/>
      <c r="AC436" s="54"/>
      <c r="AD436" s="54"/>
      <c r="AE436" s="54"/>
      <c r="AF436" s="54"/>
      <c r="AG436" s="54"/>
      <c r="AH436" s="54"/>
      <c r="AI436" s="54"/>
    </row>
    <row r="437" ht="14.25" customHeight="1">
      <c r="X437" s="54"/>
      <c r="Y437" s="54"/>
      <c r="Z437" s="54"/>
      <c r="AA437" s="54"/>
      <c r="AB437" s="54"/>
      <c r="AC437" s="54"/>
      <c r="AD437" s="54"/>
      <c r="AE437" s="54"/>
      <c r="AF437" s="54"/>
      <c r="AG437" s="54"/>
      <c r="AH437" s="54"/>
      <c r="AI437" s="54"/>
    </row>
    <row r="438" ht="14.25" customHeight="1">
      <c r="X438" s="54"/>
      <c r="Y438" s="54"/>
      <c r="Z438" s="54"/>
      <c r="AA438" s="54"/>
      <c r="AB438" s="54"/>
      <c r="AC438" s="54"/>
      <c r="AD438" s="54"/>
      <c r="AE438" s="54"/>
      <c r="AF438" s="54"/>
      <c r="AG438" s="54"/>
      <c r="AH438" s="54"/>
      <c r="AI438" s="54"/>
    </row>
    <row r="439" ht="14.25" customHeight="1">
      <c r="X439" s="54"/>
      <c r="Y439" s="54"/>
      <c r="Z439" s="54"/>
      <c r="AA439" s="54"/>
      <c r="AB439" s="54"/>
      <c r="AC439" s="54"/>
      <c r="AD439" s="54"/>
      <c r="AE439" s="54"/>
      <c r="AF439" s="54"/>
      <c r="AG439" s="54"/>
      <c r="AH439" s="54"/>
      <c r="AI439" s="54"/>
    </row>
    <row r="440" ht="14.25" customHeight="1">
      <c r="X440" s="54"/>
      <c r="Y440" s="54"/>
      <c r="Z440" s="54"/>
      <c r="AA440" s="54"/>
      <c r="AB440" s="54"/>
      <c r="AC440" s="54"/>
      <c r="AD440" s="54"/>
      <c r="AE440" s="54"/>
      <c r="AF440" s="54"/>
      <c r="AG440" s="54"/>
      <c r="AH440" s="54"/>
      <c r="AI440" s="54"/>
    </row>
    <row r="441" ht="14.25" customHeight="1">
      <c r="X441" s="54"/>
      <c r="Y441" s="54"/>
      <c r="Z441" s="54"/>
      <c r="AA441" s="54"/>
      <c r="AB441" s="54"/>
      <c r="AC441" s="54"/>
      <c r="AD441" s="54"/>
      <c r="AE441" s="54"/>
      <c r="AF441" s="54"/>
      <c r="AG441" s="54"/>
      <c r="AH441" s="54"/>
      <c r="AI441" s="54"/>
    </row>
    <row r="442" ht="14.25" customHeight="1">
      <c r="X442" s="54"/>
      <c r="Y442" s="54"/>
      <c r="Z442" s="54"/>
      <c r="AA442" s="54"/>
      <c r="AB442" s="54"/>
      <c r="AC442" s="54"/>
      <c r="AD442" s="54"/>
      <c r="AE442" s="54"/>
      <c r="AF442" s="54"/>
      <c r="AG442" s="54"/>
      <c r="AH442" s="54"/>
      <c r="AI442" s="54"/>
    </row>
    <row r="443" ht="14.25" customHeight="1">
      <c r="X443" s="54"/>
      <c r="Y443" s="54"/>
      <c r="Z443" s="54"/>
      <c r="AA443" s="54"/>
      <c r="AB443" s="54"/>
      <c r="AC443" s="54"/>
      <c r="AD443" s="54"/>
      <c r="AE443" s="54"/>
      <c r="AF443" s="54"/>
      <c r="AG443" s="54"/>
      <c r="AH443" s="54"/>
      <c r="AI443" s="54"/>
    </row>
    <row r="444" ht="14.25" customHeight="1">
      <c r="X444" s="54"/>
      <c r="Y444" s="54"/>
      <c r="Z444" s="54"/>
      <c r="AA444" s="54"/>
      <c r="AB444" s="54"/>
      <c r="AC444" s="54"/>
      <c r="AD444" s="54"/>
      <c r="AE444" s="54"/>
      <c r="AF444" s="54"/>
      <c r="AG444" s="54"/>
      <c r="AH444" s="54"/>
      <c r="AI444" s="54"/>
    </row>
    <row r="445" ht="14.25" customHeight="1">
      <c r="X445" s="54"/>
      <c r="Y445" s="54"/>
      <c r="Z445" s="54"/>
      <c r="AA445" s="54"/>
      <c r="AB445" s="54"/>
      <c r="AC445" s="54"/>
      <c r="AD445" s="54"/>
      <c r="AE445" s="54"/>
      <c r="AF445" s="54"/>
      <c r="AG445" s="54"/>
      <c r="AH445" s="54"/>
      <c r="AI445" s="54"/>
    </row>
    <row r="446" ht="14.25" customHeight="1">
      <c r="X446" s="54"/>
      <c r="Y446" s="54"/>
      <c r="Z446" s="54"/>
      <c r="AA446" s="54"/>
      <c r="AB446" s="54"/>
      <c r="AC446" s="54"/>
      <c r="AD446" s="54"/>
      <c r="AE446" s="54"/>
      <c r="AF446" s="54"/>
      <c r="AG446" s="54"/>
      <c r="AH446" s="54"/>
      <c r="AI446" s="54"/>
    </row>
    <row r="447" ht="14.25" customHeight="1">
      <c r="X447" s="54"/>
      <c r="Y447" s="54"/>
      <c r="Z447" s="54"/>
      <c r="AA447" s="54"/>
      <c r="AB447" s="54"/>
      <c r="AC447" s="54"/>
      <c r="AD447" s="54"/>
      <c r="AE447" s="54"/>
      <c r="AF447" s="54"/>
      <c r="AG447" s="54"/>
      <c r="AH447" s="54"/>
      <c r="AI447" s="54"/>
    </row>
    <row r="448" ht="14.25" customHeight="1">
      <c r="X448" s="54"/>
      <c r="Y448" s="54"/>
      <c r="Z448" s="54"/>
      <c r="AA448" s="54"/>
      <c r="AB448" s="54"/>
      <c r="AC448" s="54"/>
      <c r="AD448" s="54"/>
      <c r="AE448" s="54"/>
      <c r="AF448" s="54"/>
      <c r="AG448" s="54"/>
      <c r="AH448" s="54"/>
      <c r="AI448" s="54"/>
    </row>
    <row r="449" ht="14.25" customHeight="1">
      <c r="X449" s="54"/>
      <c r="Y449" s="54"/>
      <c r="Z449" s="54"/>
      <c r="AA449" s="54"/>
      <c r="AB449" s="54"/>
      <c r="AC449" s="54"/>
      <c r="AD449" s="54"/>
      <c r="AE449" s="54"/>
      <c r="AF449" s="54"/>
      <c r="AG449" s="54"/>
      <c r="AH449" s="54"/>
      <c r="AI449" s="54"/>
    </row>
    <row r="450" ht="14.25" customHeight="1">
      <c r="X450" s="54"/>
      <c r="Y450" s="54"/>
      <c r="Z450" s="54"/>
      <c r="AA450" s="54"/>
      <c r="AB450" s="54"/>
      <c r="AC450" s="54"/>
      <c r="AD450" s="54"/>
      <c r="AE450" s="54"/>
      <c r="AF450" s="54"/>
      <c r="AG450" s="54"/>
      <c r="AH450" s="54"/>
      <c r="AI450" s="54"/>
    </row>
    <row r="451" ht="14.25" customHeight="1">
      <c r="X451" s="54"/>
      <c r="Y451" s="54"/>
      <c r="Z451" s="54"/>
      <c r="AA451" s="54"/>
      <c r="AB451" s="54"/>
      <c r="AC451" s="54"/>
      <c r="AD451" s="54"/>
      <c r="AE451" s="54"/>
      <c r="AF451" s="54"/>
      <c r="AG451" s="54"/>
      <c r="AH451" s="54"/>
      <c r="AI451" s="54"/>
    </row>
    <row r="452" ht="14.25" customHeight="1">
      <c r="X452" s="54"/>
      <c r="Y452" s="54"/>
      <c r="Z452" s="54"/>
      <c r="AA452" s="54"/>
      <c r="AB452" s="54"/>
      <c r="AC452" s="54"/>
      <c r="AD452" s="54"/>
      <c r="AE452" s="54"/>
      <c r="AF452" s="54"/>
      <c r="AG452" s="54"/>
      <c r="AH452" s="54"/>
      <c r="AI452" s="54"/>
    </row>
    <row r="453" ht="14.25" customHeight="1">
      <c r="X453" s="54"/>
      <c r="Y453" s="54"/>
      <c r="Z453" s="54"/>
      <c r="AA453" s="54"/>
      <c r="AB453" s="54"/>
      <c r="AC453" s="54"/>
      <c r="AD453" s="54"/>
      <c r="AE453" s="54"/>
      <c r="AF453" s="54"/>
      <c r="AG453" s="54"/>
      <c r="AH453" s="54"/>
      <c r="AI453" s="54"/>
    </row>
    <row r="454" ht="14.25" customHeight="1">
      <c r="X454" s="54"/>
      <c r="Y454" s="54"/>
      <c r="Z454" s="54"/>
      <c r="AA454" s="54"/>
      <c r="AB454" s="54"/>
      <c r="AC454" s="54"/>
      <c r="AD454" s="54"/>
      <c r="AE454" s="54"/>
      <c r="AF454" s="54"/>
      <c r="AG454" s="54"/>
      <c r="AH454" s="54"/>
      <c r="AI454" s="54"/>
    </row>
    <row r="455" ht="14.25" customHeight="1">
      <c r="X455" s="54"/>
      <c r="Y455" s="54"/>
      <c r="Z455" s="54"/>
      <c r="AA455" s="54"/>
      <c r="AB455" s="54"/>
      <c r="AC455" s="54"/>
      <c r="AD455" s="54"/>
      <c r="AE455" s="54"/>
      <c r="AF455" s="54"/>
      <c r="AG455" s="54"/>
      <c r="AH455" s="54"/>
      <c r="AI455" s="54"/>
    </row>
    <row r="456" ht="14.25" customHeight="1">
      <c r="X456" s="54"/>
      <c r="Y456" s="54"/>
      <c r="Z456" s="54"/>
      <c r="AA456" s="54"/>
      <c r="AB456" s="54"/>
      <c r="AC456" s="54"/>
      <c r="AD456" s="54"/>
      <c r="AE456" s="54"/>
      <c r="AF456" s="54"/>
      <c r="AG456" s="54"/>
      <c r="AH456" s="54"/>
      <c r="AI456" s="54"/>
    </row>
    <row r="457" ht="14.25" customHeight="1">
      <c r="X457" s="54"/>
      <c r="Y457" s="54"/>
      <c r="Z457" s="54"/>
      <c r="AA457" s="54"/>
      <c r="AB457" s="54"/>
      <c r="AC457" s="54"/>
      <c r="AD457" s="54"/>
      <c r="AE457" s="54"/>
      <c r="AF457" s="54"/>
      <c r="AG457" s="54"/>
      <c r="AH457" s="54"/>
      <c r="AI457" s="54"/>
    </row>
    <row r="458" ht="14.25" customHeight="1">
      <c r="X458" s="54"/>
      <c r="Y458" s="54"/>
      <c r="Z458" s="54"/>
      <c r="AA458" s="54"/>
      <c r="AB458" s="54"/>
      <c r="AC458" s="54"/>
      <c r="AD458" s="54"/>
      <c r="AE458" s="54"/>
      <c r="AF458" s="54"/>
      <c r="AG458" s="54"/>
      <c r="AH458" s="54"/>
      <c r="AI458" s="54"/>
    </row>
    <row r="459" ht="14.25" customHeight="1">
      <c r="X459" s="54"/>
      <c r="Y459" s="54"/>
      <c r="Z459" s="54"/>
      <c r="AA459" s="54"/>
      <c r="AB459" s="54"/>
      <c r="AC459" s="54"/>
      <c r="AD459" s="54"/>
      <c r="AE459" s="54"/>
      <c r="AF459" s="54"/>
      <c r="AG459" s="54"/>
      <c r="AH459" s="54"/>
      <c r="AI459" s="54"/>
    </row>
    <row r="460" ht="14.25" customHeight="1">
      <c r="X460" s="54"/>
      <c r="Y460" s="54"/>
      <c r="Z460" s="54"/>
      <c r="AA460" s="54"/>
      <c r="AB460" s="54"/>
      <c r="AC460" s="54"/>
      <c r="AD460" s="54"/>
      <c r="AE460" s="54"/>
      <c r="AF460" s="54"/>
      <c r="AG460" s="54"/>
      <c r="AH460" s="54"/>
      <c r="AI460" s="54"/>
    </row>
    <row r="461" ht="14.25" customHeight="1">
      <c r="X461" s="54"/>
      <c r="Y461" s="54"/>
      <c r="Z461" s="54"/>
      <c r="AA461" s="54"/>
      <c r="AB461" s="54"/>
      <c r="AC461" s="54"/>
      <c r="AD461" s="54"/>
      <c r="AE461" s="54"/>
      <c r="AF461" s="54"/>
      <c r="AG461" s="54"/>
      <c r="AH461" s="54"/>
      <c r="AI461" s="54"/>
    </row>
    <row r="462" ht="14.25" customHeight="1">
      <c r="X462" s="54"/>
      <c r="Y462" s="54"/>
      <c r="Z462" s="54"/>
      <c r="AA462" s="54"/>
      <c r="AB462" s="54"/>
      <c r="AC462" s="54"/>
      <c r="AD462" s="54"/>
      <c r="AE462" s="54"/>
      <c r="AF462" s="54"/>
      <c r="AG462" s="54"/>
      <c r="AH462" s="54"/>
      <c r="AI462" s="54"/>
    </row>
    <row r="463" ht="14.25" customHeight="1">
      <c r="X463" s="54"/>
      <c r="Y463" s="54"/>
      <c r="Z463" s="54"/>
      <c r="AA463" s="54"/>
      <c r="AB463" s="54"/>
      <c r="AC463" s="54"/>
      <c r="AD463" s="54"/>
      <c r="AE463" s="54"/>
      <c r="AF463" s="54"/>
      <c r="AG463" s="54"/>
      <c r="AH463" s="54"/>
      <c r="AI463" s="54"/>
    </row>
    <row r="464" ht="14.25" customHeight="1">
      <c r="X464" s="54"/>
      <c r="Y464" s="54"/>
      <c r="Z464" s="54"/>
      <c r="AA464" s="54"/>
      <c r="AB464" s="54"/>
      <c r="AC464" s="54"/>
      <c r="AD464" s="54"/>
      <c r="AE464" s="54"/>
      <c r="AF464" s="54"/>
      <c r="AG464" s="54"/>
      <c r="AH464" s="54"/>
      <c r="AI464" s="54"/>
    </row>
    <row r="465" ht="14.25" customHeight="1">
      <c r="X465" s="54"/>
      <c r="Y465" s="54"/>
      <c r="Z465" s="54"/>
      <c r="AA465" s="54"/>
      <c r="AB465" s="54"/>
      <c r="AC465" s="54"/>
      <c r="AD465" s="54"/>
      <c r="AE465" s="54"/>
      <c r="AF465" s="54"/>
      <c r="AG465" s="54"/>
      <c r="AH465" s="54"/>
      <c r="AI465" s="54"/>
    </row>
    <row r="466" ht="14.25" customHeight="1">
      <c r="X466" s="54"/>
      <c r="Y466" s="54"/>
      <c r="Z466" s="54"/>
      <c r="AA466" s="54"/>
      <c r="AB466" s="54"/>
      <c r="AC466" s="54"/>
      <c r="AD466" s="54"/>
      <c r="AE466" s="54"/>
      <c r="AF466" s="54"/>
      <c r="AG466" s="54"/>
      <c r="AH466" s="54"/>
      <c r="AI466" s="54"/>
    </row>
    <row r="467" ht="14.25" customHeight="1">
      <c r="X467" s="54"/>
      <c r="Y467" s="54"/>
      <c r="Z467" s="54"/>
      <c r="AA467" s="54"/>
      <c r="AB467" s="54"/>
      <c r="AC467" s="54"/>
      <c r="AD467" s="54"/>
      <c r="AE467" s="54"/>
      <c r="AF467" s="54"/>
      <c r="AG467" s="54"/>
      <c r="AH467" s="54"/>
      <c r="AI467" s="54"/>
    </row>
    <row r="468" ht="14.25" customHeight="1">
      <c r="X468" s="54"/>
      <c r="Y468" s="54"/>
      <c r="Z468" s="54"/>
      <c r="AA468" s="54"/>
      <c r="AB468" s="54"/>
      <c r="AC468" s="54"/>
      <c r="AD468" s="54"/>
      <c r="AE468" s="54"/>
      <c r="AF468" s="54"/>
      <c r="AG468" s="54"/>
      <c r="AH468" s="54"/>
      <c r="AI468" s="54"/>
    </row>
    <row r="469" ht="14.25" customHeight="1">
      <c r="X469" s="54"/>
      <c r="Y469" s="54"/>
      <c r="Z469" s="54"/>
      <c r="AA469" s="54"/>
      <c r="AB469" s="54"/>
      <c r="AC469" s="54"/>
      <c r="AD469" s="54"/>
      <c r="AE469" s="54"/>
      <c r="AF469" s="54"/>
      <c r="AG469" s="54"/>
      <c r="AH469" s="54"/>
      <c r="AI469" s="54"/>
    </row>
    <row r="470" ht="14.25" customHeight="1">
      <c r="X470" s="54"/>
      <c r="Y470" s="54"/>
      <c r="Z470" s="54"/>
      <c r="AA470" s="54"/>
      <c r="AB470" s="54"/>
      <c r="AC470" s="54"/>
      <c r="AD470" s="54"/>
      <c r="AE470" s="54"/>
      <c r="AF470" s="54"/>
      <c r="AG470" s="54"/>
      <c r="AH470" s="54"/>
      <c r="AI470" s="54"/>
    </row>
    <row r="471" ht="14.25" customHeight="1">
      <c r="X471" s="54"/>
      <c r="Y471" s="54"/>
      <c r="Z471" s="54"/>
      <c r="AA471" s="54"/>
      <c r="AB471" s="54"/>
      <c r="AC471" s="54"/>
      <c r="AD471" s="54"/>
      <c r="AE471" s="54"/>
      <c r="AF471" s="54"/>
      <c r="AG471" s="54"/>
      <c r="AH471" s="54"/>
      <c r="AI471" s="54"/>
    </row>
    <row r="472" ht="14.25" customHeight="1">
      <c r="X472" s="54"/>
      <c r="Y472" s="54"/>
      <c r="Z472" s="54"/>
      <c r="AA472" s="54"/>
      <c r="AB472" s="54"/>
      <c r="AC472" s="54"/>
      <c r="AD472" s="54"/>
      <c r="AE472" s="54"/>
      <c r="AF472" s="54"/>
      <c r="AG472" s="54"/>
      <c r="AH472" s="54"/>
      <c r="AI472" s="54"/>
    </row>
    <row r="473" ht="14.25" customHeight="1">
      <c r="X473" s="54"/>
      <c r="Y473" s="54"/>
      <c r="Z473" s="54"/>
      <c r="AA473" s="54"/>
      <c r="AB473" s="54"/>
      <c r="AC473" s="54"/>
      <c r="AD473" s="54"/>
      <c r="AE473" s="54"/>
      <c r="AF473" s="54"/>
      <c r="AG473" s="54"/>
      <c r="AH473" s="54"/>
      <c r="AI473" s="54"/>
    </row>
    <row r="474" ht="14.25" customHeight="1">
      <c r="X474" s="54"/>
      <c r="Y474" s="54"/>
      <c r="Z474" s="54"/>
      <c r="AA474" s="54"/>
      <c r="AB474" s="54"/>
      <c r="AC474" s="54"/>
      <c r="AD474" s="54"/>
      <c r="AE474" s="54"/>
      <c r="AF474" s="54"/>
      <c r="AG474" s="54"/>
      <c r="AH474" s="54"/>
      <c r="AI474" s="54"/>
    </row>
    <row r="475" ht="14.25" customHeight="1">
      <c r="X475" s="54"/>
      <c r="Y475" s="54"/>
      <c r="Z475" s="54"/>
      <c r="AA475" s="54"/>
      <c r="AB475" s="54"/>
      <c r="AC475" s="54"/>
      <c r="AD475" s="54"/>
      <c r="AE475" s="54"/>
      <c r="AF475" s="54"/>
      <c r="AG475" s="54"/>
      <c r="AH475" s="54"/>
      <c r="AI475" s="54"/>
    </row>
    <row r="476" ht="14.25" customHeight="1">
      <c r="X476" s="54"/>
      <c r="Y476" s="54"/>
      <c r="Z476" s="54"/>
      <c r="AA476" s="54"/>
      <c r="AB476" s="54"/>
      <c r="AC476" s="54"/>
      <c r="AD476" s="54"/>
      <c r="AE476" s="54"/>
      <c r="AF476" s="54"/>
      <c r="AG476" s="54"/>
      <c r="AH476" s="54"/>
      <c r="AI476" s="54"/>
    </row>
    <row r="477" ht="14.25" customHeight="1">
      <c r="X477" s="54"/>
      <c r="Y477" s="54"/>
      <c r="Z477" s="54"/>
      <c r="AA477" s="54"/>
      <c r="AB477" s="54"/>
      <c r="AC477" s="54"/>
      <c r="AD477" s="54"/>
      <c r="AE477" s="54"/>
      <c r="AF477" s="54"/>
      <c r="AG477" s="54"/>
      <c r="AH477" s="54"/>
      <c r="AI477" s="54"/>
    </row>
    <row r="478" ht="14.25" customHeight="1">
      <c r="X478" s="54"/>
      <c r="Y478" s="54"/>
      <c r="Z478" s="54"/>
      <c r="AA478" s="54"/>
      <c r="AB478" s="54"/>
      <c r="AC478" s="54"/>
      <c r="AD478" s="54"/>
      <c r="AE478" s="54"/>
      <c r="AF478" s="54"/>
      <c r="AG478" s="54"/>
      <c r="AH478" s="54"/>
      <c r="AI478" s="54"/>
    </row>
    <row r="479" ht="14.25" customHeight="1">
      <c r="X479" s="54"/>
      <c r="Y479" s="54"/>
      <c r="Z479" s="54"/>
      <c r="AA479" s="54"/>
      <c r="AB479" s="54"/>
      <c r="AC479" s="54"/>
      <c r="AD479" s="54"/>
      <c r="AE479" s="54"/>
      <c r="AF479" s="54"/>
      <c r="AG479" s="54"/>
      <c r="AH479" s="54"/>
      <c r="AI479" s="54"/>
    </row>
    <row r="480" ht="14.25" customHeight="1">
      <c r="X480" s="54"/>
      <c r="Y480" s="54"/>
      <c r="Z480" s="54"/>
      <c r="AA480" s="54"/>
      <c r="AB480" s="54"/>
      <c r="AC480" s="54"/>
      <c r="AD480" s="54"/>
      <c r="AE480" s="54"/>
      <c r="AF480" s="54"/>
      <c r="AG480" s="54"/>
      <c r="AH480" s="54"/>
      <c r="AI480" s="54"/>
    </row>
    <row r="481" ht="14.25" customHeight="1">
      <c r="X481" s="54"/>
      <c r="Y481" s="54"/>
      <c r="Z481" s="54"/>
      <c r="AA481" s="54"/>
      <c r="AB481" s="54"/>
      <c r="AC481" s="54"/>
      <c r="AD481" s="54"/>
      <c r="AE481" s="54"/>
      <c r="AF481" s="54"/>
      <c r="AG481" s="54"/>
      <c r="AH481" s="54"/>
      <c r="AI481" s="54"/>
    </row>
    <row r="482" ht="14.25" customHeight="1">
      <c r="X482" s="54"/>
      <c r="Y482" s="54"/>
      <c r="Z482" s="54"/>
      <c r="AA482" s="54"/>
      <c r="AB482" s="54"/>
      <c r="AC482" s="54"/>
      <c r="AD482" s="54"/>
      <c r="AE482" s="54"/>
      <c r="AF482" s="54"/>
      <c r="AG482" s="54"/>
      <c r="AH482" s="54"/>
      <c r="AI482" s="54"/>
    </row>
    <row r="483" ht="14.25" customHeight="1">
      <c r="X483" s="54"/>
      <c r="Y483" s="54"/>
      <c r="Z483" s="54"/>
      <c r="AA483" s="54"/>
      <c r="AB483" s="54"/>
      <c r="AC483" s="54"/>
      <c r="AD483" s="54"/>
      <c r="AE483" s="54"/>
      <c r="AF483" s="54"/>
      <c r="AG483" s="54"/>
      <c r="AH483" s="54"/>
      <c r="AI483" s="54"/>
    </row>
    <row r="484" ht="14.25" customHeight="1">
      <c r="X484" s="54"/>
      <c r="Y484" s="54"/>
      <c r="Z484" s="54"/>
      <c r="AA484" s="54"/>
      <c r="AB484" s="54"/>
      <c r="AC484" s="54"/>
      <c r="AD484" s="54"/>
      <c r="AE484" s="54"/>
      <c r="AF484" s="54"/>
      <c r="AG484" s="54"/>
      <c r="AH484" s="54"/>
      <c r="AI484" s="54"/>
    </row>
    <row r="485" ht="14.25" customHeight="1">
      <c r="X485" s="54"/>
      <c r="Y485" s="54"/>
      <c r="Z485" s="54"/>
      <c r="AA485" s="54"/>
      <c r="AB485" s="54"/>
      <c r="AC485" s="54"/>
      <c r="AD485" s="54"/>
      <c r="AE485" s="54"/>
      <c r="AF485" s="54"/>
      <c r="AG485" s="54"/>
      <c r="AH485" s="54"/>
      <c r="AI485" s="54"/>
    </row>
    <row r="486" ht="14.25" customHeight="1">
      <c r="X486" s="54"/>
      <c r="Y486" s="54"/>
      <c r="Z486" s="54"/>
      <c r="AA486" s="54"/>
      <c r="AB486" s="54"/>
      <c r="AC486" s="54"/>
      <c r="AD486" s="54"/>
      <c r="AE486" s="54"/>
      <c r="AF486" s="54"/>
      <c r="AG486" s="54"/>
      <c r="AH486" s="54"/>
      <c r="AI486" s="54"/>
    </row>
    <row r="487" ht="14.25" customHeight="1">
      <c r="X487" s="54"/>
      <c r="Y487" s="54"/>
      <c r="Z487" s="54"/>
      <c r="AA487" s="54"/>
      <c r="AB487" s="54"/>
      <c r="AC487" s="54"/>
      <c r="AD487" s="54"/>
      <c r="AE487" s="54"/>
      <c r="AF487" s="54"/>
      <c r="AG487" s="54"/>
      <c r="AH487" s="54"/>
      <c r="AI487" s="54"/>
    </row>
    <row r="488" ht="14.25" customHeight="1">
      <c r="X488" s="54"/>
      <c r="Y488" s="54"/>
      <c r="Z488" s="54"/>
      <c r="AA488" s="54"/>
      <c r="AB488" s="54"/>
      <c r="AC488" s="54"/>
      <c r="AD488" s="54"/>
      <c r="AE488" s="54"/>
      <c r="AF488" s="54"/>
      <c r="AG488" s="54"/>
      <c r="AH488" s="54"/>
      <c r="AI488" s="54"/>
    </row>
    <row r="489" ht="14.25" customHeight="1">
      <c r="X489" s="54"/>
      <c r="Y489" s="54"/>
      <c r="Z489" s="54"/>
      <c r="AA489" s="54"/>
      <c r="AB489" s="54"/>
      <c r="AC489" s="54"/>
      <c r="AD489" s="54"/>
      <c r="AE489" s="54"/>
      <c r="AF489" s="54"/>
      <c r="AG489" s="54"/>
      <c r="AH489" s="54"/>
      <c r="AI489" s="54"/>
    </row>
    <row r="490" ht="14.25" customHeight="1">
      <c r="X490" s="54"/>
      <c r="Y490" s="54"/>
      <c r="Z490" s="54"/>
      <c r="AA490" s="54"/>
      <c r="AB490" s="54"/>
      <c r="AC490" s="54"/>
      <c r="AD490" s="54"/>
      <c r="AE490" s="54"/>
      <c r="AF490" s="54"/>
      <c r="AG490" s="54"/>
      <c r="AH490" s="54"/>
      <c r="AI490" s="54"/>
    </row>
    <row r="491" ht="14.25" customHeight="1">
      <c r="X491" s="54"/>
      <c r="Y491" s="54"/>
      <c r="Z491" s="54"/>
      <c r="AA491" s="54"/>
      <c r="AB491" s="54"/>
      <c r="AC491" s="54"/>
      <c r="AD491" s="54"/>
      <c r="AE491" s="54"/>
      <c r="AF491" s="54"/>
      <c r="AG491" s="54"/>
      <c r="AH491" s="54"/>
      <c r="AI491" s="54"/>
    </row>
    <row r="492" ht="14.25" customHeight="1">
      <c r="X492" s="54"/>
      <c r="Y492" s="54"/>
      <c r="Z492" s="54"/>
      <c r="AA492" s="54"/>
      <c r="AB492" s="54"/>
      <c r="AC492" s="54"/>
      <c r="AD492" s="54"/>
      <c r="AE492" s="54"/>
      <c r="AF492" s="54"/>
      <c r="AG492" s="54"/>
      <c r="AH492" s="54"/>
      <c r="AI492" s="54"/>
    </row>
    <row r="493" ht="14.25" customHeight="1">
      <c r="X493" s="54"/>
      <c r="Y493" s="54"/>
      <c r="Z493" s="54"/>
      <c r="AA493" s="54"/>
      <c r="AB493" s="54"/>
      <c r="AC493" s="54"/>
      <c r="AD493" s="54"/>
      <c r="AE493" s="54"/>
      <c r="AF493" s="54"/>
      <c r="AG493" s="54"/>
      <c r="AH493" s="54"/>
      <c r="AI493" s="54"/>
    </row>
    <row r="494" ht="14.25" customHeight="1">
      <c r="X494" s="54"/>
      <c r="Y494" s="54"/>
      <c r="Z494" s="54"/>
      <c r="AA494" s="54"/>
      <c r="AB494" s="54"/>
      <c r="AC494" s="54"/>
      <c r="AD494" s="54"/>
      <c r="AE494" s="54"/>
      <c r="AF494" s="54"/>
      <c r="AG494" s="54"/>
      <c r="AH494" s="54"/>
      <c r="AI494" s="54"/>
    </row>
    <row r="495" ht="14.25" customHeight="1">
      <c r="X495" s="54"/>
      <c r="Y495" s="54"/>
      <c r="Z495" s="54"/>
      <c r="AA495" s="54"/>
      <c r="AB495" s="54"/>
      <c r="AC495" s="54"/>
      <c r="AD495" s="54"/>
      <c r="AE495" s="54"/>
      <c r="AF495" s="54"/>
      <c r="AG495" s="54"/>
      <c r="AH495" s="54"/>
      <c r="AI495" s="54"/>
    </row>
    <row r="496" ht="14.25" customHeight="1">
      <c r="X496" s="54"/>
      <c r="Y496" s="54"/>
      <c r="Z496" s="54"/>
      <c r="AA496" s="54"/>
      <c r="AB496" s="54"/>
      <c r="AC496" s="54"/>
      <c r="AD496" s="54"/>
      <c r="AE496" s="54"/>
      <c r="AF496" s="54"/>
      <c r="AG496" s="54"/>
      <c r="AH496" s="54"/>
      <c r="AI496" s="54"/>
    </row>
    <row r="497" ht="14.25" customHeight="1">
      <c r="X497" s="54"/>
      <c r="Y497" s="54"/>
      <c r="Z497" s="54"/>
      <c r="AA497" s="54"/>
      <c r="AB497" s="54"/>
      <c r="AC497" s="54"/>
      <c r="AD497" s="54"/>
      <c r="AE497" s="54"/>
      <c r="AF497" s="54"/>
      <c r="AG497" s="54"/>
      <c r="AH497" s="54"/>
      <c r="AI497" s="54"/>
    </row>
    <row r="498" ht="14.25" customHeight="1">
      <c r="X498" s="54"/>
      <c r="Y498" s="54"/>
      <c r="Z498" s="54"/>
      <c r="AA498" s="54"/>
      <c r="AB498" s="54"/>
      <c r="AC498" s="54"/>
      <c r="AD498" s="54"/>
      <c r="AE498" s="54"/>
      <c r="AF498" s="54"/>
      <c r="AG498" s="54"/>
      <c r="AH498" s="54"/>
      <c r="AI498" s="54"/>
    </row>
    <row r="499" ht="14.25" customHeight="1">
      <c r="X499" s="54"/>
      <c r="Y499" s="54"/>
      <c r="Z499" s="54"/>
      <c r="AA499" s="54"/>
      <c r="AB499" s="54"/>
      <c r="AC499" s="54"/>
      <c r="AD499" s="54"/>
      <c r="AE499" s="54"/>
      <c r="AF499" s="54"/>
      <c r="AG499" s="54"/>
      <c r="AH499" s="54"/>
      <c r="AI499" s="54"/>
    </row>
    <row r="500" ht="14.25" customHeight="1">
      <c r="X500" s="54"/>
      <c r="Y500" s="54"/>
      <c r="Z500" s="54"/>
      <c r="AA500" s="54"/>
      <c r="AB500" s="54"/>
      <c r="AC500" s="54"/>
      <c r="AD500" s="54"/>
      <c r="AE500" s="54"/>
      <c r="AF500" s="54"/>
      <c r="AG500" s="54"/>
      <c r="AH500" s="54"/>
      <c r="AI500" s="54"/>
    </row>
    <row r="501" ht="14.25" customHeight="1">
      <c r="X501" s="54"/>
      <c r="Y501" s="54"/>
      <c r="Z501" s="54"/>
      <c r="AA501" s="54"/>
      <c r="AB501" s="54"/>
      <c r="AC501" s="54"/>
      <c r="AD501" s="54"/>
      <c r="AE501" s="54"/>
      <c r="AF501" s="54"/>
      <c r="AG501" s="54"/>
      <c r="AH501" s="54"/>
      <c r="AI501" s="54"/>
    </row>
    <row r="502" ht="14.25" customHeight="1">
      <c r="X502" s="54"/>
      <c r="Y502" s="54"/>
      <c r="Z502" s="54"/>
      <c r="AA502" s="54"/>
      <c r="AB502" s="54"/>
      <c r="AC502" s="54"/>
      <c r="AD502" s="54"/>
      <c r="AE502" s="54"/>
      <c r="AF502" s="54"/>
      <c r="AG502" s="54"/>
      <c r="AH502" s="54"/>
      <c r="AI502" s="54"/>
    </row>
    <row r="503" ht="14.25" customHeight="1">
      <c r="X503" s="54"/>
      <c r="Y503" s="54"/>
      <c r="Z503" s="54"/>
      <c r="AA503" s="54"/>
      <c r="AB503" s="54"/>
      <c r="AC503" s="54"/>
      <c r="AD503" s="54"/>
      <c r="AE503" s="54"/>
      <c r="AF503" s="54"/>
      <c r="AG503" s="54"/>
      <c r="AH503" s="54"/>
      <c r="AI503" s="54"/>
    </row>
    <row r="504" ht="14.25" customHeight="1">
      <c r="X504" s="54"/>
      <c r="Y504" s="54"/>
      <c r="Z504" s="54"/>
      <c r="AA504" s="54"/>
      <c r="AB504" s="54"/>
      <c r="AC504" s="54"/>
      <c r="AD504" s="54"/>
      <c r="AE504" s="54"/>
      <c r="AF504" s="54"/>
      <c r="AG504" s="54"/>
      <c r="AH504" s="54"/>
      <c r="AI504" s="54"/>
    </row>
    <row r="505" ht="14.25" customHeight="1">
      <c r="X505" s="54"/>
      <c r="Y505" s="54"/>
      <c r="Z505" s="54"/>
      <c r="AA505" s="54"/>
      <c r="AB505" s="54"/>
      <c r="AC505" s="54"/>
      <c r="AD505" s="54"/>
      <c r="AE505" s="54"/>
      <c r="AF505" s="54"/>
      <c r="AG505" s="54"/>
      <c r="AH505" s="54"/>
      <c r="AI505" s="54"/>
    </row>
    <row r="506" ht="14.25" customHeight="1">
      <c r="X506" s="54"/>
      <c r="Y506" s="54"/>
      <c r="Z506" s="54"/>
      <c r="AA506" s="54"/>
      <c r="AB506" s="54"/>
      <c r="AC506" s="54"/>
      <c r="AD506" s="54"/>
      <c r="AE506" s="54"/>
      <c r="AF506" s="54"/>
      <c r="AG506" s="54"/>
      <c r="AH506" s="54"/>
      <c r="AI506" s="54"/>
    </row>
    <row r="507" ht="14.25" customHeight="1">
      <c r="X507" s="54"/>
      <c r="Y507" s="54"/>
      <c r="Z507" s="54"/>
      <c r="AA507" s="54"/>
      <c r="AB507" s="54"/>
      <c r="AC507" s="54"/>
      <c r="AD507" s="54"/>
      <c r="AE507" s="54"/>
      <c r="AF507" s="54"/>
      <c r="AG507" s="54"/>
      <c r="AH507" s="54"/>
      <c r="AI507" s="54"/>
    </row>
    <row r="508" ht="14.25" customHeight="1">
      <c r="X508" s="54"/>
      <c r="Y508" s="54"/>
      <c r="Z508" s="54"/>
      <c r="AA508" s="54"/>
      <c r="AB508" s="54"/>
      <c r="AC508" s="54"/>
      <c r="AD508" s="54"/>
      <c r="AE508" s="54"/>
      <c r="AF508" s="54"/>
      <c r="AG508" s="54"/>
      <c r="AH508" s="54"/>
      <c r="AI508" s="54"/>
    </row>
    <row r="509" ht="14.25" customHeight="1">
      <c r="X509" s="54"/>
      <c r="Y509" s="54"/>
      <c r="Z509" s="54"/>
      <c r="AA509" s="54"/>
      <c r="AB509" s="54"/>
      <c r="AC509" s="54"/>
      <c r="AD509" s="54"/>
      <c r="AE509" s="54"/>
      <c r="AF509" s="54"/>
      <c r="AG509" s="54"/>
      <c r="AH509" s="54"/>
      <c r="AI509" s="54"/>
    </row>
    <row r="510" ht="14.25" customHeight="1">
      <c r="X510" s="54"/>
      <c r="Y510" s="54"/>
      <c r="Z510" s="54"/>
      <c r="AA510" s="54"/>
      <c r="AB510" s="54"/>
      <c r="AC510" s="54"/>
      <c r="AD510" s="54"/>
      <c r="AE510" s="54"/>
      <c r="AF510" s="54"/>
      <c r="AG510" s="54"/>
      <c r="AH510" s="54"/>
      <c r="AI510" s="54"/>
    </row>
    <row r="511" ht="14.25" customHeight="1">
      <c r="X511" s="54"/>
      <c r="Y511" s="54"/>
      <c r="Z511" s="54"/>
      <c r="AA511" s="54"/>
      <c r="AB511" s="54"/>
      <c r="AC511" s="54"/>
      <c r="AD511" s="54"/>
      <c r="AE511" s="54"/>
      <c r="AF511" s="54"/>
      <c r="AG511" s="54"/>
      <c r="AH511" s="54"/>
      <c r="AI511" s="54"/>
    </row>
    <row r="512" ht="14.25" customHeight="1">
      <c r="X512" s="54"/>
      <c r="Y512" s="54"/>
      <c r="Z512" s="54"/>
      <c r="AA512" s="54"/>
      <c r="AB512" s="54"/>
      <c r="AC512" s="54"/>
      <c r="AD512" s="54"/>
      <c r="AE512" s="54"/>
      <c r="AF512" s="54"/>
      <c r="AG512" s="54"/>
      <c r="AH512" s="54"/>
      <c r="AI512" s="54"/>
    </row>
    <row r="513" ht="14.25" customHeight="1">
      <c r="X513" s="54"/>
      <c r="Y513" s="54"/>
      <c r="Z513" s="54"/>
      <c r="AA513" s="54"/>
      <c r="AB513" s="54"/>
      <c r="AC513" s="54"/>
      <c r="AD513" s="54"/>
      <c r="AE513" s="54"/>
      <c r="AF513" s="54"/>
      <c r="AG513" s="54"/>
      <c r="AH513" s="54"/>
      <c r="AI513" s="54"/>
    </row>
    <row r="514" ht="14.25" customHeight="1">
      <c r="X514" s="54"/>
      <c r="Y514" s="54"/>
      <c r="Z514" s="54"/>
      <c r="AA514" s="54"/>
      <c r="AB514" s="54"/>
      <c r="AC514" s="54"/>
      <c r="AD514" s="54"/>
      <c r="AE514" s="54"/>
      <c r="AF514" s="54"/>
      <c r="AG514" s="54"/>
      <c r="AH514" s="54"/>
      <c r="AI514" s="54"/>
    </row>
    <row r="515" ht="14.25" customHeight="1">
      <c r="X515" s="54"/>
      <c r="Y515" s="54"/>
      <c r="Z515" s="54"/>
      <c r="AA515" s="54"/>
      <c r="AB515" s="54"/>
      <c r="AC515" s="54"/>
      <c r="AD515" s="54"/>
      <c r="AE515" s="54"/>
      <c r="AF515" s="54"/>
      <c r="AG515" s="54"/>
      <c r="AH515" s="54"/>
      <c r="AI515" s="54"/>
    </row>
    <row r="516" ht="14.25" customHeight="1">
      <c r="X516" s="54"/>
      <c r="Y516" s="54"/>
      <c r="Z516" s="54"/>
      <c r="AA516" s="54"/>
      <c r="AB516" s="54"/>
      <c r="AC516" s="54"/>
      <c r="AD516" s="54"/>
      <c r="AE516" s="54"/>
      <c r="AF516" s="54"/>
      <c r="AG516" s="54"/>
      <c r="AH516" s="54"/>
      <c r="AI516" s="54"/>
    </row>
    <row r="517" ht="14.25" customHeight="1">
      <c r="X517" s="54"/>
      <c r="Y517" s="54"/>
      <c r="Z517" s="54"/>
      <c r="AA517" s="54"/>
      <c r="AB517" s="54"/>
      <c r="AC517" s="54"/>
      <c r="AD517" s="54"/>
      <c r="AE517" s="54"/>
      <c r="AF517" s="54"/>
      <c r="AG517" s="54"/>
      <c r="AH517" s="54"/>
      <c r="AI517" s="54"/>
    </row>
    <row r="518" ht="14.25" customHeight="1">
      <c r="X518" s="54"/>
      <c r="Y518" s="54"/>
      <c r="Z518" s="54"/>
      <c r="AA518" s="54"/>
      <c r="AB518" s="54"/>
      <c r="AC518" s="54"/>
      <c r="AD518" s="54"/>
      <c r="AE518" s="54"/>
      <c r="AF518" s="54"/>
      <c r="AG518" s="54"/>
      <c r="AH518" s="54"/>
      <c r="AI518" s="54"/>
    </row>
    <row r="519" ht="14.25" customHeight="1">
      <c r="X519" s="54"/>
      <c r="Y519" s="54"/>
      <c r="Z519" s="54"/>
      <c r="AA519" s="54"/>
      <c r="AB519" s="54"/>
      <c r="AC519" s="54"/>
      <c r="AD519" s="54"/>
      <c r="AE519" s="54"/>
      <c r="AF519" s="54"/>
      <c r="AG519" s="54"/>
      <c r="AH519" s="54"/>
      <c r="AI519" s="54"/>
    </row>
    <row r="520" ht="14.25" customHeight="1">
      <c r="X520" s="54"/>
      <c r="Y520" s="54"/>
      <c r="Z520" s="54"/>
      <c r="AA520" s="54"/>
      <c r="AB520" s="54"/>
      <c r="AC520" s="54"/>
      <c r="AD520" s="54"/>
      <c r="AE520" s="54"/>
      <c r="AF520" s="54"/>
      <c r="AG520" s="54"/>
      <c r="AH520" s="54"/>
      <c r="AI520" s="54"/>
    </row>
    <row r="521" ht="14.25" customHeight="1">
      <c r="X521" s="54"/>
      <c r="Y521" s="54"/>
      <c r="Z521" s="54"/>
      <c r="AA521" s="54"/>
      <c r="AB521" s="54"/>
      <c r="AC521" s="54"/>
      <c r="AD521" s="54"/>
      <c r="AE521" s="54"/>
      <c r="AF521" s="54"/>
      <c r="AG521" s="54"/>
      <c r="AH521" s="54"/>
      <c r="AI521" s="54"/>
    </row>
    <row r="522" ht="14.25" customHeight="1">
      <c r="X522" s="54"/>
      <c r="Y522" s="54"/>
      <c r="Z522" s="54"/>
      <c r="AA522" s="54"/>
      <c r="AB522" s="54"/>
      <c r="AC522" s="54"/>
      <c r="AD522" s="54"/>
      <c r="AE522" s="54"/>
      <c r="AF522" s="54"/>
      <c r="AG522" s="54"/>
      <c r="AH522" s="54"/>
      <c r="AI522" s="54"/>
    </row>
    <row r="523" ht="14.25" customHeight="1">
      <c r="X523" s="54"/>
      <c r="Y523" s="54"/>
      <c r="Z523" s="54"/>
      <c r="AA523" s="54"/>
      <c r="AB523" s="54"/>
      <c r="AC523" s="54"/>
      <c r="AD523" s="54"/>
      <c r="AE523" s="54"/>
      <c r="AF523" s="54"/>
      <c r="AG523" s="54"/>
      <c r="AH523" s="54"/>
      <c r="AI523" s="54"/>
    </row>
    <row r="524" ht="14.25" customHeight="1">
      <c r="X524" s="54"/>
      <c r="Y524" s="54"/>
      <c r="Z524" s="54"/>
      <c r="AA524" s="54"/>
      <c r="AB524" s="54"/>
      <c r="AC524" s="54"/>
      <c r="AD524" s="54"/>
      <c r="AE524" s="54"/>
      <c r="AF524" s="54"/>
      <c r="AG524" s="54"/>
      <c r="AH524" s="54"/>
      <c r="AI524" s="54"/>
    </row>
    <row r="525" ht="14.25" customHeight="1">
      <c r="X525" s="54"/>
      <c r="Y525" s="54"/>
      <c r="Z525" s="54"/>
      <c r="AA525" s="54"/>
      <c r="AB525" s="54"/>
      <c r="AC525" s="54"/>
      <c r="AD525" s="54"/>
      <c r="AE525" s="54"/>
      <c r="AF525" s="54"/>
      <c r="AG525" s="54"/>
      <c r="AH525" s="54"/>
      <c r="AI525" s="54"/>
    </row>
    <row r="526" ht="14.25" customHeight="1">
      <c r="X526" s="54"/>
      <c r="Y526" s="54"/>
      <c r="Z526" s="54"/>
      <c r="AA526" s="54"/>
      <c r="AB526" s="54"/>
      <c r="AC526" s="54"/>
      <c r="AD526" s="54"/>
      <c r="AE526" s="54"/>
      <c r="AF526" s="54"/>
      <c r="AG526" s="54"/>
      <c r="AH526" s="54"/>
      <c r="AI526" s="54"/>
    </row>
    <row r="527" ht="14.25" customHeight="1">
      <c r="X527" s="54"/>
      <c r="Y527" s="54"/>
      <c r="Z527" s="54"/>
      <c r="AA527" s="54"/>
      <c r="AB527" s="54"/>
      <c r="AC527" s="54"/>
      <c r="AD527" s="54"/>
      <c r="AE527" s="54"/>
      <c r="AF527" s="54"/>
      <c r="AG527" s="54"/>
      <c r="AH527" s="54"/>
      <c r="AI527" s="54"/>
    </row>
    <row r="528" ht="14.25" customHeight="1">
      <c r="X528" s="54"/>
      <c r="Y528" s="54"/>
      <c r="Z528" s="54"/>
      <c r="AA528" s="54"/>
      <c r="AB528" s="54"/>
      <c r="AC528" s="54"/>
      <c r="AD528" s="54"/>
      <c r="AE528" s="54"/>
      <c r="AF528" s="54"/>
      <c r="AG528" s="54"/>
      <c r="AH528" s="54"/>
      <c r="AI528" s="54"/>
    </row>
    <row r="529" ht="14.25" customHeight="1">
      <c r="X529" s="54"/>
      <c r="Y529" s="54"/>
      <c r="Z529" s="54"/>
      <c r="AA529" s="54"/>
      <c r="AB529" s="54"/>
      <c r="AC529" s="54"/>
      <c r="AD529" s="54"/>
      <c r="AE529" s="54"/>
      <c r="AF529" s="54"/>
      <c r="AG529" s="54"/>
      <c r="AH529" s="54"/>
      <c r="AI529" s="54"/>
    </row>
    <row r="530" ht="14.25" customHeight="1">
      <c r="X530" s="54"/>
      <c r="Y530" s="54"/>
      <c r="Z530" s="54"/>
      <c r="AA530" s="54"/>
      <c r="AB530" s="54"/>
      <c r="AC530" s="54"/>
      <c r="AD530" s="54"/>
      <c r="AE530" s="54"/>
      <c r="AF530" s="54"/>
      <c r="AG530" s="54"/>
      <c r="AH530" s="54"/>
      <c r="AI530" s="54"/>
    </row>
    <row r="531" ht="14.25" customHeight="1">
      <c r="X531" s="54"/>
      <c r="Y531" s="54"/>
      <c r="Z531" s="54"/>
      <c r="AA531" s="54"/>
      <c r="AB531" s="54"/>
      <c r="AC531" s="54"/>
      <c r="AD531" s="54"/>
      <c r="AE531" s="54"/>
      <c r="AF531" s="54"/>
      <c r="AG531" s="54"/>
      <c r="AH531" s="54"/>
      <c r="AI531" s="54"/>
    </row>
    <row r="532" ht="14.25" customHeight="1">
      <c r="X532" s="54"/>
      <c r="Y532" s="54"/>
      <c r="Z532" s="54"/>
      <c r="AA532" s="54"/>
      <c r="AB532" s="54"/>
      <c r="AC532" s="54"/>
      <c r="AD532" s="54"/>
      <c r="AE532" s="54"/>
      <c r="AF532" s="54"/>
      <c r="AG532" s="54"/>
      <c r="AH532" s="54"/>
      <c r="AI532" s="54"/>
    </row>
    <row r="533" ht="14.25" customHeight="1">
      <c r="X533" s="54"/>
      <c r="Y533" s="54"/>
      <c r="Z533" s="54"/>
      <c r="AA533" s="54"/>
      <c r="AB533" s="54"/>
      <c r="AC533" s="54"/>
      <c r="AD533" s="54"/>
      <c r="AE533" s="54"/>
      <c r="AF533" s="54"/>
      <c r="AG533" s="54"/>
      <c r="AH533" s="54"/>
      <c r="AI533" s="54"/>
    </row>
    <row r="534" ht="14.25" customHeight="1">
      <c r="X534" s="54"/>
      <c r="Y534" s="54"/>
      <c r="Z534" s="54"/>
      <c r="AA534" s="54"/>
      <c r="AB534" s="54"/>
      <c r="AC534" s="54"/>
      <c r="AD534" s="54"/>
      <c r="AE534" s="54"/>
      <c r="AF534" s="54"/>
      <c r="AG534" s="54"/>
      <c r="AH534" s="54"/>
      <c r="AI534" s="54"/>
    </row>
    <row r="535" ht="14.25" customHeight="1">
      <c r="X535" s="54"/>
      <c r="Y535" s="54"/>
      <c r="Z535" s="54"/>
      <c r="AA535" s="54"/>
      <c r="AB535" s="54"/>
      <c r="AC535" s="54"/>
      <c r="AD535" s="54"/>
      <c r="AE535" s="54"/>
      <c r="AF535" s="54"/>
      <c r="AG535" s="54"/>
      <c r="AH535" s="54"/>
      <c r="AI535" s="54"/>
    </row>
    <row r="536" ht="14.25" customHeight="1">
      <c r="X536" s="54"/>
      <c r="Y536" s="54"/>
      <c r="Z536" s="54"/>
      <c r="AA536" s="54"/>
      <c r="AB536" s="54"/>
      <c r="AC536" s="54"/>
      <c r="AD536" s="54"/>
      <c r="AE536" s="54"/>
      <c r="AF536" s="54"/>
      <c r="AG536" s="54"/>
      <c r="AH536" s="54"/>
      <c r="AI536" s="54"/>
    </row>
    <row r="537" ht="14.25" customHeight="1">
      <c r="X537" s="54"/>
      <c r="Y537" s="54"/>
      <c r="Z537" s="54"/>
      <c r="AA537" s="54"/>
      <c r="AB537" s="54"/>
      <c r="AC537" s="54"/>
      <c r="AD537" s="54"/>
      <c r="AE537" s="54"/>
      <c r="AF537" s="54"/>
      <c r="AG537" s="54"/>
      <c r="AH537" s="54"/>
      <c r="AI537" s="54"/>
    </row>
    <row r="538" ht="14.25" customHeight="1">
      <c r="X538" s="54"/>
      <c r="Y538" s="54"/>
      <c r="Z538" s="54"/>
      <c r="AA538" s="54"/>
      <c r="AB538" s="54"/>
      <c r="AC538" s="54"/>
      <c r="AD538" s="54"/>
      <c r="AE538" s="54"/>
      <c r="AF538" s="54"/>
      <c r="AG538" s="54"/>
      <c r="AH538" s="54"/>
      <c r="AI538" s="54"/>
    </row>
    <row r="539" ht="14.25" customHeight="1">
      <c r="X539" s="54"/>
      <c r="Y539" s="54"/>
      <c r="Z539" s="54"/>
      <c r="AA539" s="54"/>
      <c r="AB539" s="54"/>
      <c r="AC539" s="54"/>
      <c r="AD539" s="54"/>
      <c r="AE539" s="54"/>
      <c r="AF539" s="54"/>
      <c r="AG539" s="54"/>
      <c r="AH539" s="54"/>
      <c r="AI539" s="54"/>
    </row>
    <row r="540" ht="14.25" customHeight="1">
      <c r="X540" s="54"/>
      <c r="Y540" s="54"/>
      <c r="Z540" s="54"/>
      <c r="AA540" s="54"/>
      <c r="AB540" s="54"/>
      <c r="AC540" s="54"/>
      <c r="AD540" s="54"/>
      <c r="AE540" s="54"/>
      <c r="AF540" s="54"/>
      <c r="AG540" s="54"/>
      <c r="AH540" s="54"/>
      <c r="AI540" s="54"/>
    </row>
    <row r="541" ht="14.25" customHeight="1">
      <c r="X541" s="54"/>
      <c r="Y541" s="54"/>
      <c r="Z541" s="54"/>
      <c r="AA541" s="54"/>
      <c r="AB541" s="54"/>
      <c r="AC541" s="54"/>
      <c r="AD541" s="54"/>
      <c r="AE541" s="54"/>
      <c r="AF541" s="54"/>
      <c r="AG541" s="54"/>
      <c r="AH541" s="54"/>
      <c r="AI541" s="54"/>
    </row>
    <row r="542" ht="14.25" customHeight="1">
      <c r="X542" s="54"/>
      <c r="Y542" s="54"/>
      <c r="Z542" s="54"/>
      <c r="AA542" s="54"/>
      <c r="AB542" s="54"/>
      <c r="AC542" s="54"/>
      <c r="AD542" s="54"/>
      <c r="AE542" s="54"/>
      <c r="AF542" s="54"/>
      <c r="AG542" s="54"/>
      <c r="AH542" s="54"/>
      <c r="AI542" s="54"/>
    </row>
    <row r="543" ht="14.25" customHeight="1">
      <c r="X543" s="54"/>
      <c r="Y543" s="54"/>
      <c r="Z543" s="54"/>
      <c r="AA543" s="54"/>
      <c r="AB543" s="54"/>
      <c r="AC543" s="54"/>
      <c r="AD543" s="54"/>
      <c r="AE543" s="54"/>
      <c r="AF543" s="54"/>
      <c r="AG543" s="54"/>
      <c r="AH543" s="54"/>
      <c r="AI543" s="54"/>
    </row>
    <row r="544" ht="14.25" customHeight="1">
      <c r="X544" s="54"/>
      <c r="Y544" s="54"/>
      <c r="Z544" s="54"/>
      <c r="AA544" s="54"/>
      <c r="AB544" s="54"/>
      <c r="AC544" s="54"/>
      <c r="AD544" s="54"/>
      <c r="AE544" s="54"/>
      <c r="AF544" s="54"/>
      <c r="AG544" s="54"/>
      <c r="AH544" s="54"/>
      <c r="AI544" s="54"/>
    </row>
    <row r="545" ht="14.25" customHeight="1">
      <c r="X545" s="54"/>
      <c r="Y545" s="54"/>
      <c r="Z545" s="54"/>
      <c r="AA545" s="54"/>
      <c r="AB545" s="54"/>
      <c r="AC545" s="54"/>
      <c r="AD545" s="54"/>
      <c r="AE545" s="54"/>
      <c r="AF545" s="54"/>
      <c r="AG545" s="54"/>
      <c r="AH545" s="54"/>
      <c r="AI545" s="54"/>
    </row>
    <row r="546" ht="14.25" customHeight="1">
      <c r="X546" s="54"/>
      <c r="Y546" s="54"/>
      <c r="Z546" s="54"/>
      <c r="AA546" s="54"/>
      <c r="AB546" s="54"/>
      <c r="AC546" s="54"/>
      <c r="AD546" s="54"/>
      <c r="AE546" s="54"/>
      <c r="AF546" s="54"/>
      <c r="AG546" s="54"/>
      <c r="AH546" s="54"/>
      <c r="AI546" s="54"/>
    </row>
    <row r="547" ht="14.25" customHeight="1">
      <c r="X547" s="54"/>
      <c r="Y547" s="54"/>
      <c r="Z547" s="54"/>
      <c r="AA547" s="54"/>
      <c r="AB547" s="54"/>
      <c r="AC547" s="54"/>
      <c r="AD547" s="54"/>
      <c r="AE547" s="54"/>
      <c r="AF547" s="54"/>
      <c r="AG547" s="54"/>
      <c r="AH547" s="54"/>
      <c r="AI547" s="54"/>
    </row>
    <row r="548" ht="14.25" customHeight="1">
      <c r="X548" s="54"/>
      <c r="Y548" s="54"/>
      <c r="Z548" s="54"/>
      <c r="AA548" s="54"/>
      <c r="AB548" s="54"/>
      <c r="AC548" s="54"/>
      <c r="AD548" s="54"/>
      <c r="AE548" s="54"/>
      <c r="AF548" s="54"/>
      <c r="AG548" s="54"/>
      <c r="AH548" s="54"/>
      <c r="AI548" s="54"/>
    </row>
    <row r="549" ht="14.25" customHeight="1">
      <c r="X549" s="54"/>
      <c r="Y549" s="54"/>
      <c r="Z549" s="54"/>
      <c r="AA549" s="54"/>
      <c r="AB549" s="54"/>
      <c r="AC549" s="54"/>
      <c r="AD549" s="54"/>
      <c r="AE549" s="54"/>
      <c r="AF549" s="54"/>
      <c r="AG549" s="54"/>
      <c r="AH549" s="54"/>
      <c r="AI549" s="54"/>
    </row>
    <row r="550" ht="14.25" customHeight="1">
      <c r="X550" s="54"/>
      <c r="Y550" s="54"/>
      <c r="Z550" s="54"/>
      <c r="AA550" s="54"/>
      <c r="AB550" s="54"/>
      <c r="AC550" s="54"/>
      <c r="AD550" s="54"/>
      <c r="AE550" s="54"/>
      <c r="AF550" s="54"/>
      <c r="AG550" s="54"/>
      <c r="AH550" s="54"/>
      <c r="AI550" s="54"/>
    </row>
    <row r="551" ht="14.25" customHeight="1">
      <c r="X551" s="54"/>
      <c r="Y551" s="54"/>
      <c r="Z551" s="54"/>
      <c r="AA551" s="54"/>
      <c r="AB551" s="54"/>
      <c r="AC551" s="54"/>
      <c r="AD551" s="54"/>
      <c r="AE551" s="54"/>
      <c r="AF551" s="54"/>
      <c r="AG551" s="54"/>
      <c r="AH551" s="54"/>
      <c r="AI551" s="54"/>
    </row>
    <row r="552" ht="14.25" customHeight="1">
      <c r="X552" s="54"/>
      <c r="Y552" s="54"/>
      <c r="Z552" s="54"/>
      <c r="AA552" s="54"/>
      <c r="AB552" s="54"/>
      <c r="AC552" s="54"/>
      <c r="AD552" s="54"/>
      <c r="AE552" s="54"/>
      <c r="AF552" s="54"/>
      <c r="AG552" s="54"/>
      <c r="AH552" s="54"/>
      <c r="AI552" s="54"/>
    </row>
    <row r="553" ht="14.25" customHeight="1">
      <c r="X553" s="54"/>
      <c r="Y553" s="54"/>
      <c r="Z553" s="54"/>
      <c r="AA553" s="54"/>
      <c r="AB553" s="54"/>
      <c r="AC553" s="54"/>
      <c r="AD553" s="54"/>
      <c r="AE553" s="54"/>
      <c r="AF553" s="54"/>
      <c r="AG553" s="54"/>
      <c r="AH553" s="54"/>
      <c r="AI553" s="54"/>
    </row>
    <row r="554" ht="14.25" customHeight="1">
      <c r="X554" s="54"/>
      <c r="Y554" s="54"/>
      <c r="Z554" s="54"/>
      <c r="AA554" s="54"/>
      <c r="AB554" s="54"/>
      <c r="AC554" s="54"/>
      <c r="AD554" s="54"/>
      <c r="AE554" s="54"/>
      <c r="AF554" s="54"/>
      <c r="AG554" s="54"/>
      <c r="AH554" s="54"/>
      <c r="AI554" s="54"/>
    </row>
    <row r="555" ht="14.25" customHeight="1">
      <c r="X555" s="54"/>
      <c r="Y555" s="54"/>
      <c r="Z555" s="54"/>
      <c r="AA555" s="54"/>
      <c r="AB555" s="54"/>
      <c r="AC555" s="54"/>
      <c r="AD555" s="54"/>
      <c r="AE555" s="54"/>
      <c r="AF555" s="54"/>
      <c r="AG555" s="54"/>
      <c r="AH555" s="54"/>
      <c r="AI555" s="54"/>
    </row>
    <row r="556" ht="14.25" customHeight="1">
      <c r="X556" s="54"/>
      <c r="Y556" s="54"/>
      <c r="Z556" s="54"/>
      <c r="AA556" s="54"/>
      <c r="AB556" s="54"/>
      <c r="AC556" s="54"/>
      <c r="AD556" s="54"/>
      <c r="AE556" s="54"/>
      <c r="AF556" s="54"/>
      <c r="AG556" s="54"/>
      <c r="AH556" s="54"/>
      <c r="AI556" s="54"/>
    </row>
    <row r="557" ht="14.25" customHeight="1">
      <c r="X557" s="54"/>
      <c r="Y557" s="54"/>
      <c r="Z557" s="54"/>
      <c r="AA557" s="54"/>
      <c r="AB557" s="54"/>
      <c r="AC557" s="54"/>
      <c r="AD557" s="54"/>
      <c r="AE557" s="54"/>
      <c r="AF557" s="54"/>
      <c r="AG557" s="54"/>
      <c r="AH557" s="54"/>
      <c r="AI557" s="54"/>
    </row>
    <row r="558" ht="14.25" customHeight="1">
      <c r="X558" s="54"/>
      <c r="Y558" s="54"/>
      <c r="Z558" s="54"/>
      <c r="AA558" s="54"/>
      <c r="AB558" s="54"/>
      <c r="AC558" s="54"/>
      <c r="AD558" s="54"/>
      <c r="AE558" s="54"/>
      <c r="AF558" s="54"/>
      <c r="AG558" s="54"/>
      <c r="AH558" s="54"/>
      <c r="AI558" s="54"/>
    </row>
    <row r="559" ht="14.25" customHeight="1">
      <c r="X559" s="54"/>
      <c r="Y559" s="54"/>
      <c r="Z559" s="54"/>
      <c r="AA559" s="54"/>
      <c r="AB559" s="54"/>
      <c r="AC559" s="54"/>
      <c r="AD559" s="54"/>
      <c r="AE559" s="54"/>
      <c r="AF559" s="54"/>
      <c r="AG559" s="54"/>
      <c r="AH559" s="54"/>
      <c r="AI559" s="54"/>
    </row>
    <row r="560" ht="14.25" customHeight="1">
      <c r="X560" s="54"/>
      <c r="Y560" s="54"/>
      <c r="Z560" s="54"/>
      <c r="AA560" s="54"/>
      <c r="AB560" s="54"/>
      <c r="AC560" s="54"/>
      <c r="AD560" s="54"/>
      <c r="AE560" s="54"/>
      <c r="AF560" s="54"/>
      <c r="AG560" s="54"/>
      <c r="AH560" s="54"/>
      <c r="AI560" s="54"/>
    </row>
    <row r="561" ht="14.25" customHeight="1">
      <c r="X561" s="54"/>
      <c r="Y561" s="54"/>
      <c r="Z561" s="54"/>
      <c r="AA561" s="54"/>
      <c r="AB561" s="54"/>
      <c r="AC561" s="54"/>
      <c r="AD561" s="54"/>
      <c r="AE561" s="54"/>
      <c r="AF561" s="54"/>
      <c r="AG561" s="54"/>
      <c r="AH561" s="54"/>
      <c r="AI561" s="54"/>
    </row>
    <row r="562" ht="14.25" customHeight="1">
      <c r="X562" s="54"/>
      <c r="Y562" s="54"/>
      <c r="Z562" s="54"/>
      <c r="AA562" s="54"/>
      <c r="AB562" s="54"/>
      <c r="AC562" s="54"/>
      <c r="AD562" s="54"/>
      <c r="AE562" s="54"/>
      <c r="AF562" s="54"/>
      <c r="AG562" s="54"/>
      <c r="AH562" s="54"/>
      <c r="AI562" s="54"/>
    </row>
    <row r="563" ht="14.25" customHeight="1">
      <c r="X563" s="54"/>
      <c r="Y563" s="54"/>
      <c r="Z563" s="54"/>
      <c r="AA563" s="54"/>
      <c r="AB563" s="54"/>
      <c r="AC563" s="54"/>
      <c r="AD563" s="54"/>
      <c r="AE563" s="54"/>
      <c r="AF563" s="54"/>
      <c r="AG563" s="54"/>
      <c r="AH563" s="54"/>
      <c r="AI563" s="54"/>
    </row>
    <row r="564" ht="14.25" customHeight="1">
      <c r="X564" s="54"/>
      <c r="Y564" s="54"/>
      <c r="Z564" s="54"/>
      <c r="AA564" s="54"/>
      <c r="AB564" s="54"/>
      <c r="AC564" s="54"/>
      <c r="AD564" s="54"/>
      <c r="AE564" s="54"/>
      <c r="AF564" s="54"/>
      <c r="AG564" s="54"/>
      <c r="AH564" s="54"/>
      <c r="AI564" s="54"/>
    </row>
    <row r="565" ht="14.25" customHeight="1">
      <c r="X565" s="54"/>
      <c r="Y565" s="54"/>
      <c r="Z565" s="54"/>
      <c r="AA565" s="54"/>
      <c r="AB565" s="54"/>
      <c r="AC565" s="54"/>
      <c r="AD565" s="54"/>
      <c r="AE565" s="54"/>
      <c r="AF565" s="54"/>
      <c r="AG565" s="54"/>
      <c r="AH565" s="54"/>
      <c r="AI565" s="54"/>
    </row>
    <row r="566" ht="14.25" customHeight="1">
      <c r="X566" s="54"/>
      <c r="Y566" s="54"/>
      <c r="Z566" s="54"/>
      <c r="AA566" s="54"/>
      <c r="AB566" s="54"/>
      <c r="AC566" s="54"/>
      <c r="AD566" s="54"/>
      <c r="AE566" s="54"/>
      <c r="AF566" s="54"/>
      <c r="AG566" s="54"/>
      <c r="AH566" s="54"/>
      <c r="AI566" s="54"/>
    </row>
    <row r="567" ht="14.25" customHeight="1">
      <c r="X567" s="54"/>
      <c r="Y567" s="54"/>
      <c r="Z567" s="54"/>
      <c r="AA567" s="54"/>
      <c r="AB567" s="54"/>
      <c r="AC567" s="54"/>
      <c r="AD567" s="54"/>
      <c r="AE567" s="54"/>
      <c r="AF567" s="54"/>
      <c r="AG567" s="54"/>
      <c r="AH567" s="54"/>
      <c r="AI567" s="54"/>
    </row>
    <row r="568" ht="14.25" customHeight="1">
      <c r="X568" s="54"/>
      <c r="Y568" s="54"/>
      <c r="Z568" s="54"/>
      <c r="AA568" s="54"/>
      <c r="AB568" s="54"/>
      <c r="AC568" s="54"/>
      <c r="AD568" s="54"/>
      <c r="AE568" s="54"/>
      <c r="AF568" s="54"/>
      <c r="AG568" s="54"/>
      <c r="AH568" s="54"/>
      <c r="AI568" s="54"/>
    </row>
    <row r="569" ht="14.25" customHeight="1">
      <c r="X569" s="54"/>
      <c r="Y569" s="54"/>
      <c r="Z569" s="54"/>
      <c r="AA569" s="54"/>
      <c r="AB569" s="54"/>
      <c r="AC569" s="54"/>
      <c r="AD569" s="54"/>
      <c r="AE569" s="54"/>
      <c r="AF569" s="54"/>
      <c r="AG569" s="54"/>
      <c r="AH569" s="54"/>
      <c r="AI569" s="54"/>
    </row>
    <row r="570" ht="14.25" customHeight="1">
      <c r="X570" s="54"/>
      <c r="Y570" s="54"/>
      <c r="Z570" s="54"/>
      <c r="AA570" s="54"/>
      <c r="AB570" s="54"/>
      <c r="AC570" s="54"/>
      <c r="AD570" s="54"/>
      <c r="AE570" s="54"/>
      <c r="AF570" s="54"/>
      <c r="AG570" s="54"/>
      <c r="AH570" s="54"/>
      <c r="AI570" s="54"/>
    </row>
    <row r="571" ht="14.25" customHeight="1">
      <c r="X571" s="54"/>
      <c r="Y571" s="54"/>
      <c r="Z571" s="54"/>
      <c r="AA571" s="54"/>
      <c r="AB571" s="54"/>
      <c r="AC571" s="54"/>
      <c r="AD571" s="54"/>
      <c r="AE571" s="54"/>
      <c r="AF571" s="54"/>
      <c r="AG571" s="54"/>
      <c r="AH571" s="54"/>
      <c r="AI571" s="54"/>
    </row>
    <row r="572" ht="14.25" customHeight="1">
      <c r="X572" s="54"/>
      <c r="Y572" s="54"/>
      <c r="Z572" s="54"/>
      <c r="AA572" s="54"/>
      <c r="AB572" s="54"/>
      <c r="AC572" s="54"/>
      <c r="AD572" s="54"/>
      <c r="AE572" s="54"/>
      <c r="AF572" s="54"/>
      <c r="AG572" s="54"/>
      <c r="AH572" s="54"/>
      <c r="AI572" s="54"/>
    </row>
    <row r="573" ht="14.25" customHeight="1">
      <c r="X573" s="54"/>
      <c r="Y573" s="54"/>
      <c r="Z573" s="54"/>
      <c r="AA573" s="54"/>
      <c r="AB573" s="54"/>
      <c r="AC573" s="54"/>
      <c r="AD573" s="54"/>
      <c r="AE573" s="54"/>
      <c r="AF573" s="54"/>
      <c r="AG573" s="54"/>
      <c r="AH573" s="54"/>
      <c r="AI573" s="54"/>
    </row>
    <row r="574" ht="14.25" customHeight="1">
      <c r="X574" s="54"/>
      <c r="Y574" s="54"/>
      <c r="Z574" s="54"/>
      <c r="AA574" s="54"/>
      <c r="AB574" s="54"/>
      <c r="AC574" s="54"/>
      <c r="AD574" s="54"/>
      <c r="AE574" s="54"/>
      <c r="AF574" s="54"/>
      <c r="AG574" s="54"/>
      <c r="AH574" s="54"/>
      <c r="AI574" s="54"/>
    </row>
    <row r="575" ht="14.25" customHeight="1">
      <c r="X575" s="54"/>
      <c r="Y575" s="54"/>
      <c r="Z575" s="54"/>
      <c r="AA575" s="54"/>
      <c r="AB575" s="54"/>
      <c r="AC575" s="54"/>
      <c r="AD575" s="54"/>
      <c r="AE575" s="54"/>
      <c r="AF575" s="54"/>
      <c r="AG575" s="54"/>
      <c r="AH575" s="54"/>
      <c r="AI575" s="54"/>
    </row>
    <row r="576" ht="14.25" customHeight="1">
      <c r="X576" s="54"/>
      <c r="Y576" s="54"/>
      <c r="Z576" s="54"/>
      <c r="AA576" s="54"/>
      <c r="AB576" s="54"/>
      <c r="AC576" s="54"/>
      <c r="AD576" s="54"/>
      <c r="AE576" s="54"/>
      <c r="AF576" s="54"/>
      <c r="AG576" s="54"/>
      <c r="AH576" s="54"/>
      <c r="AI576" s="54"/>
    </row>
    <row r="577" ht="14.25" customHeight="1">
      <c r="X577" s="54"/>
      <c r="Y577" s="54"/>
      <c r="Z577" s="54"/>
      <c r="AA577" s="54"/>
      <c r="AB577" s="54"/>
      <c r="AC577" s="54"/>
      <c r="AD577" s="54"/>
      <c r="AE577" s="54"/>
      <c r="AF577" s="54"/>
      <c r="AG577" s="54"/>
      <c r="AH577" s="54"/>
      <c r="AI577" s="54"/>
    </row>
    <row r="578" ht="14.25" customHeight="1">
      <c r="X578" s="54"/>
      <c r="Y578" s="54"/>
      <c r="Z578" s="54"/>
      <c r="AA578" s="54"/>
      <c r="AB578" s="54"/>
      <c r="AC578" s="54"/>
      <c r="AD578" s="54"/>
      <c r="AE578" s="54"/>
      <c r="AF578" s="54"/>
      <c r="AG578" s="54"/>
      <c r="AH578" s="54"/>
      <c r="AI578" s="54"/>
    </row>
    <row r="579" ht="14.25" customHeight="1">
      <c r="X579" s="54"/>
      <c r="Y579" s="54"/>
      <c r="Z579" s="54"/>
      <c r="AA579" s="54"/>
      <c r="AB579" s="54"/>
      <c r="AC579" s="54"/>
      <c r="AD579" s="54"/>
      <c r="AE579" s="54"/>
      <c r="AF579" s="54"/>
      <c r="AG579" s="54"/>
      <c r="AH579" s="54"/>
      <c r="AI579" s="54"/>
    </row>
    <row r="580" ht="14.25" customHeight="1">
      <c r="X580" s="54"/>
      <c r="Y580" s="54"/>
      <c r="Z580" s="54"/>
      <c r="AA580" s="54"/>
      <c r="AB580" s="54"/>
      <c r="AC580" s="54"/>
      <c r="AD580" s="54"/>
      <c r="AE580" s="54"/>
      <c r="AF580" s="54"/>
      <c r="AG580" s="54"/>
      <c r="AH580" s="54"/>
      <c r="AI580" s="54"/>
    </row>
    <row r="581" ht="14.25" customHeight="1">
      <c r="X581" s="54"/>
      <c r="Y581" s="54"/>
      <c r="Z581" s="54"/>
      <c r="AA581" s="54"/>
      <c r="AB581" s="54"/>
      <c r="AC581" s="54"/>
      <c r="AD581" s="54"/>
      <c r="AE581" s="54"/>
      <c r="AF581" s="54"/>
      <c r="AG581" s="54"/>
      <c r="AH581" s="54"/>
      <c r="AI581" s="54"/>
    </row>
    <row r="582" ht="14.25" customHeight="1">
      <c r="X582" s="54"/>
      <c r="Y582" s="54"/>
      <c r="Z582" s="54"/>
      <c r="AA582" s="54"/>
      <c r="AB582" s="54"/>
      <c r="AC582" s="54"/>
      <c r="AD582" s="54"/>
      <c r="AE582" s="54"/>
      <c r="AF582" s="54"/>
      <c r="AG582" s="54"/>
      <c r="AH582" s="54"/>
      <c r="AI582" s="54"/>
    </row>
    <row r="583" ht="14.25" customHeight="1">
      <c r="X583" s="54"/>
      <c r="Y583" s="54"/>
      <c r="Z583" s="54"/>
      <c r="AA583" s="54"/>
      <c r="AB583" s="54"/>
      <c r="AC583" s="54"/>
      <c r="AD583" s="54"/>
      <c r="AE583" s="54"/>
      <c r="AF583" s="54"/>
      <c r="AG583" s="54"/>
      <c r="AH583" s="54"/>
      <c r="AI583" s="54"/>
    </row>
    <row r="584" ht="14.25" customHeight="1">
      <c r="X584" s="54"/>
      <c r="Y584" s="54"/>
      <c r="Z584" s="54"/>
      <c r="AA584" s="54"/>
      <c r="AB584" s="54"/>
      <c r="AC584" s="54"/>
      <c r="AD584" s="54"/>
      <c r="AE584" s="54"/>
      <c r="AF584" s="54"/>
      <c r="AG584" s="54"/>
      <c r="AH584" s="54"/>
      <c r="AI584" s="54"/>
    </row>
    <row r="585" ht="14.25" customHeight="1">
      <c r="X585" s="54"/>
      <c r="Y585" s="54"/>
      <c r="Z585" s="54"/>
      <c r="AA585" s="54"/>
      <c r="AB585" s="54"/>
      <c r="AC585" s="54"/>
      <c r="AD585" s="54"/>
      <c r="AE585" s="54"/>
      <c r="AF585" s="54"/>
      <c r="AG585" s="54"/>
      <c r="AH585" s="54"/>
      <c r="AI585" s="54"/>
    </row>
    <row r="586" ht="14.25" customHeight="1">
      <c r="X586" s="54"/>
      <c r="Y586" s="54"/>
      <c r="Z586" s="54"/>
      <c r="AA586" s="54"/>
      <c r="AB586" s="54"/>
      <c r="AC586" s="54"/>
      <c r="AD586" s="54"/>
      <c r="AE586" s="54"/>
      <c r="AF586" s="54"/>
      <c r="AG586" s="54"/>
      <c r="AH586" s="54"/>
      <c r="AI586" s="54"/>
    </row>
    <row r="587" ht="14.25" customHeight="1">
      <c r="X587" s="54"/>
      <c r="Y587" s="54"/>
      <c r="Z587" s="54"/>
      <c r="AA587" s="54"/>
      <c r="AB587" s="54"/>
      <c r="AC587" s="54"/>
      <c r="AD587" s="54"/>
      <c r="AE587" s="54"/>
      <c r="AF587" s="54"/>
      <c r="AG587" s="54"/>
      <c r="AH587" s="54"/>
      <c r="AI587" s="54"/>
    </row>
    <row r="588" ht="14.25" customHeight="1">
      <c r="X588" s="54"/>
      <c r="Y588" s="54"/>
      <c r="Z588" s="54"/>
      <c r="AA588" s="54"/>
      <c r="AB588" s="54"/>
      <c r="AC588" s="54"/>
      <c r="AD588" s="54"/>
      <c r="AE588" s="54"/>
      <c r="AF588" s="54"/>
      <c r="AG588" s="54"/>
      <c r="AH588" s="54"/>
      <c r="AI588" s="54"/>
    </row>
    <row r="589" ht="14.25" customHeight="1">
      <c r="X589" s="54"/>
      <c r="Y589" s="54"/>
      <c r="Z589" s="54"/>
      <c r="AA589" s="54"/>
      <c r="AB589" s="54"/>
      <c r="AC589" s="54"/>
      <c r="AD589" s="54"/>
      <c r="AE589" s="54"/>
      <c r="AF589" s="54"/>
      <c r="AG589" s="54"/>
      <c r="AH589" s="54"/>
      <c r="AI589" s="54"/>
    </row>
    <row r="590" ht="14.25" customHeight="1">
      <c r="X590" s="54"/>
      <c r="Y590" s="54"/>
      <c r="Z590" s="54"/>
      <c r="AA590" s="54"/>
      <c r="AB590" s="54"/>
      <c r="AC590" s="54"/>
      <c r="AD590" s="54"/>
      <c r="AE590" s="54"/>
      <c r="AF590" s="54"/>
      <c r="AG590" s="54"/>
      <c r="AH590" s="54"/>
      <c r="AI590" s="54"/>
    </row>
    <row r="591" ht="14.25" customHeight="1">
      <c r="X591" s="54"/>
      <c r="Y591" s="54"/>
      <c r="Z591" s="54"/>
      <c r="AA591" s="54"/>
      <c r="AB591" s="54"/>
      <c r="AC591" s="54"/>
      <c r="AD591" s="54"/>
      <c r="AE591" s="54"/>
      <c r="AF591" s="54"/>
      <c r="AG591" s="54"/>
      <c r="AH591" s="54"/>
      <c r="AI591" s="54"/>
    </row>
    <row r="592" ht="14.25" customHeight="1">
      <c r="X592" s="54"/>
      <c r="Y592" s="54"/>
      <c r="Z592" s="54"/>
      <c r="AA592" s="54"/>
      <c r="AB592" s="54"/>
      <c r="AC592" s="54"/>
      <c r="AD592" s="54"/>
      <c r="AE592" s="54"/>
      <c r="AF592" s="54"/>
      <c r="AG592" s="54"/>
      <c r="AH592" s="54"/>
      <c r="AI592" s="54"/>
    </row>
    <row r="593" ht="14.25" customHeight="1">
      <c r="X593" s="54"/>
      <c r="Y593" s="54"/>
      <c r="Z593" s="54"/>
      <c r="AA593" s="54"/>
      <c r="AB593" s="54"/>
      <c r="AC593" s="54"/>
      <c r="AD593" s="54"/>
      <c r="AE593" s="54"/>
      <c r="AF593" s="54"/>
      <c r="AG593" s="54"/>
      <c r="AH593" s="54"/>
      <c r="AI593" s="54"/>
    </row>
    <row r="594" ht="14.25" customHeight="1">
      <c r="X594" s="54"/>
      <c r="Y594" s="54"/>
      <c r="Z594" s="54"/>
      <c r="AA594" s="54"/>
      <c r="AB594" s="54"/>
      <c r="AC594" s="54"/>
      <c r="AD594" s="54"/>
      <c r="AE594" s="54"/>
      <c r="AF594" s="54"/>
      <c r="AG594" s="54"/>
      <c r="AH594" s="54"/>
      <c r="AI594" s="54"/>
    </row>
    <row r="595" ht="14.25" customHeight="1">
      <c r="X595" s="54"/>
      <c r="Y595" s="54"/>
      <c r="Z595" s="54"/>
      <c r="AA595" s="54"/>
      <c r="AB595" s="54"/>
      <c r="AC595" s="54"/>
      <c r="AD595" s="54"/>
      <c r="AE595" s="54"/>
      <c r="AF595" s="54"/>
      <c r="AG595" s="54"/>
      <c r="AH595" s="54"/>
      <c r="AI595" s="54"/>
    </row>
    <row r="596" ht="14.25" customHeight="1">
      <c r="X596" s="54"/>
      <c r="Y596" s="54"/>
      <c r="Z596" s="54"/>
      <c r="AA596" s="54"/>
      <c r="AB596" s="54"/>
      <c r="AC596" s="54"/>
      <c r="AD596" s="54"/>
      <c r="AE596" s="54"/>
      <c r="AF596" s="54"/>
      <c r="AG596" s="54"/>
      <c r="AH596" s="54"/>
      <c r="AI596" s="54"/>
    </row>
    <row r="597" ht="14.25" customHeight="1">
      <c r="X597" s="54"/>
      <c r="Y597" s="54"/>
      <c r="Z597" s="54"/>
      <c r="AA597" s="54"/>
      <c r="AB597" s="54"/>
      <c r="AC597" s="54"/>
      <c r="AD597" s="54"/>
      <c r="AE597" s="54"/>
      <c r="AF597" s="54"/>
      <c r="AG597" s="54"/>
      <c r="AH597" s="54"/>
      <c r="AI597" s="54"/>
    </row>
    <row r="598" ht="14.25" customHeight="1">
      <c r="X598" s="54"/>
      <c r="Y598" s="54"/>
      <c r="Z598" s="54"/>
      <c r="AA598" s="54"/>
      <c r="AB598" s="54"/>
      <c r="AC598" s="54"/>
      <c r="AD598" s="54"/>
      <c r="AE598" s="54"/>
      <c r="AF598" s="54"/>
      <c r="AG598" s="54"/>
      <c r="AH598" s="54"/>
      <c r="AI598" s="54"/>
    </row>
    <row r="599" ht="14.25" customHeight="1">
      <c r="X599" s="54"/>
      <c r="Y599" s="54"/>
      <c r="Z599" s="54"/>
      <c r="AA599" s="54"/>
      <c r="AB599" s="54"/>
      <c r="AC599" s="54"/>
      <c r="AD599" s="54"/>
      <c r="AE599" s="54"/>
      <c r="AF599" s="54"/>
      <c r="AG599" s="54"/>
      <c r="AH599" s="54"/>
      <c r="AI599" s="54"/>
    </row>
    <row r="600" ht="14.25" customHeight="1">
      <c r="X600" s="54"/>
      <c r="Y600" s="54"/>
      <c r="Z600" s="54"/>
      <c r="AA600" s="54"/>
      <c r="AB600" s="54"/>
      <c r="AC600" s="54"/>
      <c r="AD600" s="54"/>
      <c r="AE600" s="54"/>
      <c r="AF600" s="54"/>
      <c r="AG600" s="54"/>
      <c r="AH600" s="54"/>
      <c r="AI600" s="54"/>
    </row>
    <row r="601" ht="14.25" customHeight="1">
      <c r="X601" s="54"/>
      <c r="Y601" s="54"/>
      <c r="Z601" s="54"/>
      <c r="AA601" s="54"/>
      <c r="AB601" s="54"/>
      <c r="AC601" s="54"/>
      <c r="AD601" s="54"/>
      <c r="AE601" s="54"/>
      <c r="AF601" s="54"/>
      <c r="AG601" s="54"/>
      <c r="AH601" s="54"/>
      <c r="AI601" s="54"/>
    </row>
    <row r="602" ht="14.25" customHeight="1">
      <c r="X602" s="54"/>
      <c r="Y602" s="54"/>
      <c r="Z602" s="54"/>
      <c r="AA602" s="54"/>
      <c r="AB602" s="54"/>
      <c r="AC602" s="54"/>
      <c r="AD602" s="54"/>
      <c r="AE602" s="54"/>
      <c r="AF602" s="54"/>
      <c r="AG602" s="54"/>
      <c r="AH602" s="54"/>
      <c r="AI602" s="54"/>
    </row>
    <row r="603" ht="14.25" customHeight="1">
      <c r="X603" s="54"/>
      <c r="Y603" s="54"/>
      <c r="Z603" s="54"/>
      <c r="AA603" s="54"/>
      <c r="AB603" s="54"/>
      <c r="AC603" s="54"/>
      <c r="AD603" s="54"/>
      <c r="AE603" s="54"/>
      <c r="AF603" s="54"/>
      <c r="AG603" s="54"/>
      <c r="AH603" s="54"/>
      <c r="AI603" s="54"/>
    </row>
    <row r="604" ht="14.25" customHeight="1">
      <c r="X604" s="54"/>
      <c r="Y604" s="54"/>
      <c r="Z604" s="54"/>
      <c r="AA604" s="54"/>
      <c r="AB604" s="54"/>
      <c r="AC604" s="54"/>
      <c r="AD604" s="54"/>
      <c r="AE604" s="54"/>
      <c r="AF604" s="54"/>
      <c r="AG604" s="54"/>
      <c r="AH604" s="54"/>
      <c r="AI604" s="54"/>
    </row>
    <row r="605" ht="14.25" customHeight="1">
      <c r="X605" s="54"/>
      <c r="Y605" s="54"/>
      <c r="Z605" s="54"/>
      <c r="AA605" s="54"/>
      <c r="AB605" s="54"/>
      <c r="AC605" s="54"/>
      <c r="AD605" s="54"/>
      <c r="AE605" s="54"/>
      <c r="AF605" s="54"/>
      <c r="AG605" s="54"/>
      <c r="AH605" s="54"/>
      <c r="AI605" s="54"/>
    </row>
    <row r="606" ht="14.25" customHeight="1">
      <c r="X606" s="54"/>
      <c r="Y606" s="54"/>
      <c r="Z606" s="54"/>
      <c r="AA606" s="54"/>
      <c r="AB606" s="54"/>
      <c r="AC606" s="54"/>
      <c r="AD606" s="54"/>
      <c r="AE606" s="54"/>
      <c r="AF606" s="54"/>
      <c r="AG606" s="54"/>
      <c r="AH606" s="54"/>
      <c r="AI606" s="54"/>
    </row>
    <row r="607" ht="14.25" customHeight="1">
      <c r="X607" s="54"/>
      <c r="Y607" s="54"/>
      <c r="Z607" s="54"/>
      <c r="AA607" s="54"/>
      <c r="AB607" s="54"/>
      <c r="AC607" s="54"/>
      <c r="AD607" s="54"/>
      <c r="AE607" s="54"/>
      <c r="AF607" s="54"/>
      <c r="AG607" s="54"/>
      <c r="AH607" s="54"/>
      <c r="AI607" s="54"/>
    </row>
    <row r="608" ht="14.25" customHeight="1">
      <c r="X608" s="54"/>
      <c r="Y608" s="54"/>
      <c r="Z608" s="54"/>
      <c r="AA608" s="54"/>
      <c r="AB608" s="54"/>
      <c r="AC608" s="54"/>
      <c r="AD608" s="54"/>
      <c r="AE608" s="54"/>
      <c r="AF608" s="54"/>
      <c r="AG608" s="54"/>
      <c r="AH608" s="54"/>
      <c r="AI608" s="54"/>
    </row>
    <row r="609" ht="14.25" customHeight="1">
      <c r="X609" s="54"/>
      <c r="Y609" s="54"/>
      <c r="Z609" s="54"/>
      <c r="AA609" s="54"/>
      <c r="AB609" s="54"/>
      <c r="AC609" s="54"/>
      <c r="AD609" s="54"/>
      <c r="AE609" s="54"/>
      <c r="AF609" s="54"/>
      <c r="AG609" s="54"/>
      <c r="AH609" s="54"/>
      <c r="AI609" s="54"/>
    </row>
    <row r="610" ht="14.25" customHeight="1">
      <c r="X610" s="54"/>
      <c r="Y610" s="54"/>
      <c r="Z610" s="54"/>
      <c r="AA610" s="54"/>
      <c r="AB610" s="54"/>
      <c r="AC610" s="54"/>
      <c r="AD610" s="54"/>
      <c r="AE610" s="54"/>
      <c r="AF610" s="54"/>
      <c r="AG610" s="54"/>
      <c r="AH610" s="54"/>
      <c r="AI610" s="54"/>
    </row>
    <row r="611" ht="14.25" customHeight="1">
      <c r="X611" s="54"/>
      <c r="Y611" s="54"/>
      <c r="Z611" s="54"/>
      <c r="AA611" s="54"/>
      <c r="AB611" s="54"/>
      <c r="AC611" s="54"/>
      <c r="AD611" s="54"/>
      <c r="AE611" s="54"/>
      <c r="AF611" s="54"/>
      <c r="AG611" s="54"/>
      <c r="AH611" s="54"/>
      <c r="AI611" s="54"/>
    </row>
    <row r="612" ht="14.25" customHeight="1">
      <c r="X612" s="54"/>
      <c r="Y612" s="54"/>
      <c r="Z612" s="54"/>
      <c r="AA612" s="54"/>
      <c r="AB612" s="54"/>
      <c r="AC612" s="54"/>
      <c r="AD612" s="54"/>
      <c r="AE612" s="54"/>
      <c r="AF612" s="54"/>
      <c r="AG612" s="54"/>
      <c r="AH612" s="54"/>
      <c r="AI612" s="54"/>
    </row>
    <row r="613" ht="14.25" customHeight="1">
      <c r="X613" s="54"/>
      <c r="Y613" s="54"/>
      <c r="Z613" s="54"/>
      <c r="AA613" s="54"/>
      <c r="AB613" s="54"/>
      <c r="AC613" s="54"/>
      <c r="AD613" s="54"/>
      <c r="AE613" s="54"/>
      <c r="AF613" s="54"/>
      <c r="AG613" s="54"/>
      <c r="AH613" s="54"/>
      <c r="AI613" s="54"/>
    </row>
    <row r="614" ht="14.25" customHeight="1">
      <c r="X614" s="54"/>
      <c r="Y614" s="54"/>
      <c r="Z614" s="54"/>
      <c r="AA614" s="54"/>
      <c r="AB614" s="54"/>
      <c r="AC614" s="54"/>
      <c r="AD614" s="54"/>
      <c r="AE614" s="54"/>
      <c r="AF614" s="54"/>
      <c r="AG614" s="54"/>
      <c r="AH614" s="54"/>
      <c r="AI614" s="54"/>
    </row>
    <row r="615" ht="14.25" customHeight="1">
      <c r="X615" s="54"/>
      <c r="Y615" s="54"/>
      <c r="Z615" s="54"/>
      <c r="AA615" s="54"/>
      <c r="AB615" s="54"/>
      <c r="AC615" s="54"/>
      <c r="AD615" s="54"/>
      <c r="AE615" s="54"/>
      <c r="AF615" s="54"/>
      <c r="AG615" s="54"/>
      <c r="AH615" s="54"/>
      <c r="AI615" s="54"/>
    </row>
    <row r="616" ht="14.25" customHeight="1">
      <c r="X616" s="54"/>
      <c r="Y616" s="54"/>
      <c r="Z616" s="54"/>
      <c r="AA616" s="54"/>
      <c r="AB616" s="54"/>
      <c r="AC616" s="54"/>
      <c r="AD616" s="54"/>
      <c r="AE616" s="54"/>
      <c r="AF616" s="54"/>
      <c r="AG616" s="54"/>
      <c r="AH616" s="54"/>
      <c r="AI616" s="54"/>
    </row>
    <row r="617" ht="14.25" customHeight="1">
      <c r="X617" s="54"/>
      <c r="Y617" s="54"/>
      <c r="Z617" s="54"/>
      <c r="AA617" s="54"/>
      <c r="AB617" s="54"/>
      <c r="AC617" s="54"/>
      <c r="AD617" s="54"/>
      <c r="AE617" s="54"/>
      <c r="AF617" s="54"/>
      <c r="AG617" s="54"/>
      <c r="AH617" s="54"/>
      <c r="AI617" s="54"/>
    </row>
    <row r="618" ht="14.25" customHeight="1">
      <c r="X618" s="54"/>
      <c r="Y618" s="54"/>
      <c r="Z618" s="54"/>
      <c r="AA618" s="54"/>
      <c r="AB618" s="54"/>
      <c r="AC618" s="54"/>
      <c r="AD618" s="54"/>
      <c r="AE618" s="54"/>
      <c r="AF618" s="54"/>
      <c r="AG618" s="54"/>
      <c r="AH618" s="54"/>
      <c r="AI618" s="54"/>
    </row>
    <row r="619" ht="14.25" customHeight="1">
      <c r="X619" s="54"/>
      <c r="Y619" s="54"/>
      <c r="Z619" s="54"/>
      <c r="AA619" s="54"/>
      <c r="AB619" s="54"/>
      <c r="AC619" s="54"/>
      <c r="AD619" s="54"/>
      <c r="AE619" s="54"/>
      <c r="AF619" s="54"/>
      <c r="AG619" s="54"/>
      <c r="AH619" s="54"/>
      <c r="AI619" s="54"/>
    </row>
    <row r="620" ht="14.25" customHeight="1">
      <c r="X620" s="54"/>
      <c r="Y620" s="54"/>
      <c r="Z620" s="54"/>
      <c r="AA620" s="54"/>
      <c r="AB620" s="54"/>
      <c r="AC620" s="54"/>
      <c r="AD620" s="54"/>
      <c r="AE620" s="54"/>
      <c r="AF620" s="54"/>
      <c r="AG620" s="54"/>
      <c r="AH620" s="54"/>
      <c r="AI620" s="54"/>
    </row>
    <row r="621" ht="14.25" customHeight="1">
      <c r="X621" s="54"/>
      <c r="Y621" s="54"/>
      <c r="Z621" s="54"/>
      <c r="AA621" s="54"/>
      <c r="AB621" s="54"/>
      <c r="AC621" s="54"/>
      <c r="AD621" s="54"/>
      <c r="AE621" s="54"/>
      <c r="AF621" s="54"/>
      <c r="AG621" s="54"/>
      <c r="AH621" s="54"/>
      <c r="AI621" s="54"/>
    </row>
    <row r="622" ht="14.25" customHeight="1">
      <c r="X622" s="54"/>
      <c r="Y622" s="54"/>
      <c r="Z622" s="54"/>
      <c r="AA622" s="54"/>
      <c r="AB622" s="54"/>
      <c r="AC622" s="54"/>
      <c r="AD622" s="54"/>
      <c r="AE622" s="54"/>
      <c r="AF622" s="54"/>
      <c r="AG622" s="54"/>
      <c r="AH622" s="54"/>
      <c r="AI622" s="54"/>
    </row>
    <row r="623" ht="14.25" customHeight="1">
      <c r="X623" s="54"/>
      <c r="Y623" s="54"/>
      <c r="Z623" s="54"/>
      <c r="AA623" s="54"/>
      <c r="AB623" s="54"/>
      <c r="AC623" s="54"/>
      <c r="AD623" s="54"/>
      <c r="AE623" s="54"/>
      <c r="AF623" s="54"/>
      <c r="AG623" s="54"/>
      <c r="AH623" s="54"/>
      <c r="AI623" s="54"/>
    </row>
    <row r="624" ht="14.25" customHeight="1">
      <c r="X624" s="54"/>
      <c r="Y624" s="54"/>
      <c r="Z624" s="54"/>
      <c r="AA624" s="54"/>
      <c r="AB624" s="54"/>
      <c r="AC624" s="54"/>
      <c r="AD624" s="54"/>
      <c r="AE624" s="54"/>
      <c r="AF624" s="54"/>
      <c r="AG624" s="54"/>
      <c r="AH624" s="54"/>
      <c r="AI624" s="54"/>
    </row>
    <row r="625" ht="14.25" customHeight="1">
      <c r="X625" s="54"/>
      <c r="Y625" s="54"/>
      <c r="Z625" s="54"/>
      <c r="AA625" s="54"/>
      <c r="AB625" s="54"/>
      <c r="AC625" s="54"/>
      <c r="AD625" s="54"/>
      <c r="AE625" s="54"/>
      <c r="AF625" s="54"/>
      <c r="AG625" s="54"/>
      <c r="AH625" s="54"/>
      <c r="AI625" s="54"/>
    </row>
    <row r="626" ht="14.25" customHeight="1">
      <c r="X626" s="54"/>
      <c r="Y626" s="54"/>
      <c r="Z626" s="54"/>
      <c r="AA626" s="54"/>
      <c r="AB626" s="54"/>
      <c r="AC626" s="54"/>
      <c r="AD626" s="54"/>
      <c r="AE626" s="54"/>
      <c r="AF626" s="54"/>
      <c r="AG626" s="54"/>
      <c r="AH626" s="54"/>
      <c r="AI626" s="54"/>
    </row>
    <row r="627" ht="14.25" customHeight="1">
      <c r="X627" s="54"/>
      <c r="Y627" s="54"/>
      <c r="Z627" s="54"/>
      <c r="AA627" s="54"/>
      <c r="AB627" s="54"/>
      <c r="AC627" s="54"/>
      <c r="AD627" s="54"/>
      <c r="AE627" s="54"/>
      <c r="AF627" s="54"/>
      <c r="AG627" s="54"/>
      <c r="AH627" s="54"/>
      <c r="AI627" s="54"/>
    </row>
    <row r="628" ht="14.25" customHeight="1">
      <c r="X628" s="54"/>
      <c r="Y628" s="54"/>
      <c r="Z628" s="54"/>
      <c r="AA628" s="54"/>
      <c r="AB628" s="54"/>
      <c r="AC628" s="54"/>
      <c r="AD628" s="54"/>
      <c r="AE628" s="54"/>
      <c r="AF628" s="54"/>
      <c r="AG628" s="54"/>
      <c r="AH628" s="54"/>
      <c r="AI628" s="54"/>
    </row>
    <row r="629" ht="14.25" customHeight="1">
      <c r="X629" s="54"/>
      <c r="Y629" s="54"/>
      <c r="Z629" s="54"/>
      <c r="AA629" s="54"/>
      <c r="AB629" s="54"/>
      <c r="AC629" s="54"/>
      <c r="AD629" s="54"/>
      <c r="AE629" s="54"/>
      <c r="AF629" s="54"/>
      <c r="AG629" s="54"/>
      <c r="AH629" s="54"/>
      <c r="AI629" s="54"/>
    </row>
    <row r="630" ht="14.25" customHeight="1">
      <c r="X630" s="54"/>
      <c r="Y630" s="54"/>
      <c r="Z630" s="54"/>
      <c r="AA630" s="54"/>
      <c r="AB630" s="54"/>
      <c r="AC630" s="54"/>
      <c r="AD630" s="54"/>
      <c r="AE630" s="54"/>
      <c r="AF630" s="54"/>
      <c r="AG630" s="54"/>
      <c r="AH630" s="54"/>
      <c r="AI630" s="54"/>
    </row>
    <row r="631" ht="14.25" customHeight="1">
      <c r="X631" s="54"/>
      <c r="Y631" s="54"/>
      <c r="Z631" s="54"/>
      <c r="AA631" s="54"/>
      <c r="AB631" s="54"/>
      <c r="AC631" s="54"/>
      <c r="AD631" s="54"/>
      <c r="AE631" s="54"/>
      <c r="AF631" s="54"/>
      <c r="AG631" s="54"/>
      <c r="AH631" s="54"/>
      <c r="AI631" s="54"/>
    </row>
    <row r="632" ht="14.25" customHeight="1">
      <c r="X632" s="54"/>
      <c r="Y632" s="54"/>
      <c r="Z632" s="54"/>
      <c r="AA632" s="54"/>
      <c r="AB632" s="54"/>
      <c r="AC632" s="54"/>
      <c r="AD632" s="54"/>
      <c r="AE632" s="54"/>
      <c r="AF632" s="54"/>
      <c r="AG632" s="54"/>
      <c r="AH632" s="54"/>
      <c r="AI632" s="54"/>
    </row>
    <row r="633" ht="14.25" customHeight="1">
      <c r="X633" s="54"/>
      <c r="Y633" s="54"/>
      <c r="Z633" s="54"/>
      <c r="AA633" s="54"/>
      <c r="AB633" s="54"/>
      <c r="AC633" s="54"/>
      <c r="AD633" s="54"/>
      <c r="AE633" s="54"/>
      <c r="AF633" s="54"/>
      <c r="AG633" s="54"/>
      <c r="AH633" s="54"/>
      <c r="AI633" s="54"/>
    </row>
    <row r="634" ht="14.25" customHeight="1">
      <c r="X634" s="54"/>
      <c r="Y634" s="54"/>
      <c r="Z634" s="54"/>
      <c r="AA634" s="54"/>
      <c r="AB634" s="54"/>
      <c r="AC634" s="54"/>
      <c r="AD634" s="54"/>
      <c r="AE634" s="54"/>
      <c r="AF634" s="54"/>
      <c r="AG634" s="54"/>
      <c r="AH634" s="54"/>
      <c r="AI634" s="54"/>
    </row>
    <row r="635" ht="14.25" customHeight="1">
      <c r="X635" s="54"/>
      <c r="Y635" s="54"/>
      <c r="Z635" s="54"/>
      <c r="AA635" s="54"/>
      <c r="AB635" s="54"/>
      <c r="AC635" s="54"/>
      <c r="AD635" s="54"/>
      <c r="AE635" s="54"/>
      <c r="AF635" s="54"/>
      <c r="AG635" s="54"/>
      <c r="AH635" s="54"/>
      <c r="AI635" s="54"/>
    </row>
    <row r="636" ht="14.25" customHeight="1">
      <c r="X636" s="54"/>
      <c r="Y636" s="54"/>
      <c r="Z636" s="54"/>
      <c r="AA636" s="54"/>
      <c r="AB636" s="54"/>
      <c r="AC636" s="54"/>
      <c r="AD636" s="54"/>
      <c r="AE636" s="54"/>
      <c r="AF636" s="54"/>
      <c r="AG636" s="54"/>
      <c r="AH636" s="54"/>
      <c r="AI636" s="54"/>
    </row>
    <row r="637" ht="14.25" customHeight="1">
      <c r="X637" s="54"/>
      <c r="Y637" s="54"/>
      <c r="Z637" s="54"/>
      <c r="AA637" s="54"/>
      <c r="AB637" s="54"/>
      <c r="AC637" s="54"/>
      <c r="AD637" s="54"/>
      <c r="AE637" s="54"/>
      <c r="AF637" s="54"/>
      <c r="AG637" s="54"/>
      <c r="AH637" s="54"/>
      <c r="AI637" s="54"/>
    </row>
    <row r="638" ht="14.25" customHeight="1">
      <c r="X638" s="54"/>
      <c r="Y638" s="54"/>
      <c r="Z638" s="54"/>
      <c r="AA638" s="54"/>
      <c r="AB638" s="54"/>
      <c r="AC638" s="54"/>
      <c r="AD638" s="54"/>
      <c r="AE638" s="54"/>
      <c r="AF638" s="54"/>
      <c r="AG638" s="54"/>
      <c r="AH638" s="54"/>
      <c r="AI638" s="54"/>
    </row>
    <row r="639" ht="14.25" customHeight="1">
      <c r="X639" s="54"/>
      <c r="Y639" s="54"/>
      <c r="Z639" s="54"/>
      <c r="AA639" s="54"/>
      <c r="AB639" s="54"/>
      <c r="AC639" s="54"/>
      <c r="AD639" s="54"/>
      <c r="AE639" s="54"/>
      <c r="AF639" s="54"/>
      <c r="AG639" s="54"/>
      <c r="AH639" s="54"/>
      <c r="AI639" s="54"/>
    </row>
    <row r="640" ht="14.25" customHeight="1">
      <c r="X640" s="54"/>
      <c r="Y640" s="54"/>
      <c r="Z640" s="54"/>
      <c r="AA640" s="54"/>
      <c r="AB640" s="54"/>
      <c r="AC640" s="54"/>
      <c r="AD640" s="54"/>
      <c r="AE640" s="54"/>
      <c r="AF640" s="54"/>
      <c r="AG640" s="54"/>
      <c r="AH640" s="54"/>
      <c r="AI640" s="54"/>
    </row>
    <row r="641" ht="14.25" customHeight="1">
      <c r="X641" s="54"/>
      <c r="Y641" s="54"/>
      <c r="Z641" s="54"/>
      <c r="AA641" s="54"/>
      <c r="AB641" s="54"/>
      <c r="AC641" s="54"/>
      <c r="AD641" s="54"/>
      <c r="AE641" s="54"/>
      <c r="AF641" s="54"/>
      <c r="AG641" s="54"/>
      <c r="AH641" s="54"/>
      <c r="AI641" s="54"/>
    </row>
    <row r="642" ht="14.25" customHeight="1">
      <c r="X642" s="54"/>
      <c r="Y642" s="54"/>
      <c r="Z642" s="54"/>
      <c r="AA642" s="54"/>
      <c r="AB642" s="54"/>
      <c r="AC642" s="54"/>
      <c r="AD642" s="54"/>
      <c r="AE642" s="54"/>
      <c r="AF642" s="54"/>
      <c r="AG642" s="54"/>
      <c r="AH642" s="54"/>
      <c r="AI642" s="54"/>
    </row>
    <row r="643" ht="14.25" customHeight="1">
      <c r="X643" s="54"/>
      <c r="Y643" s="54"/>
      <c r="Z643" s="54"/>
      <c r="AA643" s="54"/>
      <c r="AB643" s="54"/>
      <c r="AC643" s="54"/>
      <c r="AD643" s="54"/>
      <c r="AE643" s="54"/>
      <c r="AF643" s="54"/>
      <c r="AG643" s="54"/>
      <c r="AH643" s="54"/>
      <c r="AI643" s="54"/>
    </row>
    <row r="644" ht="14.25" customHeight="1">
      <c r="X644" s="54"/>
      <c r="Y644" s="54"/>
      <c r="Z644" s="54"/>
      <c r="AA644" s="54"/>
      <c r="AB644" s="54"/>
      <c r="AC644" s="54"/>
      <c r="AD644" s="54"/>
      <c r="AE644" s="54"/>
      <c r="AF644" s="54"/>
      <c r="AG644" s="54"/>
      <c r="AH644" s="54"/>
      <c r="AI644" s="54"/>
    </row>
    <row r="645" ht="14.25" customHeight="1">
      <c r="X645" s="54"/>
      <c r="Y645" s="54"/>
      <c r="Z645" s="54"/>
      <c r="AA645" s="54"/>
      <c r="AB645" s="54"/>
      <c r="AC645" s="54"/>
      <c r="AD645" s="54"/>
      <c r="AE645" s="54"/>
      <c r="AF645" s="54"/>
      <c r="AG645" s="54"/>
      <c r="AH645" s="54"/>
      <c r="AI645" s="54"/>
    </row>
    <row r="646" ht="14.25" customHeight="1">
      <c r="X646" s="54"/>
      <c r="Y646" s="54"/>
      <c r="Z646" s="54"/>
      <c r="AA646" s="54"/>
      <c r="AB646" s="54"/>
      <c r="AC646" s="54"/>
      <c r="AD646" s="54"/>
      <c r="AE646" s="54"/>
      <c r="AF646" s="54"/>
      <c r="AG646" s="54"/>
      <c r="AH646" s="54"/>
      <c r="AI646" s="54"/>
    </row>
    <row r="647" ht="14.25" customHeight="1">
      <c r="X647" s="54"/>
      <c r="Y647" s="54"/>
      <c r="Z647" s="54"/>
      <c r="AA647" s="54"/>
      <c r="AB647" s="54"/>
      <c r="AC647" s="54"/>
      <c r="AD647" s="54"/>
      <c r="AE647" s="54"/>
      <c r="AF647" s="54"/>
      <c r="AG647" s="54"/>
      <c r="AH647" s="54"/>
      <c r="AI647" s="54"/>
    </row>
    <row r="648" ht="14.25" customHeight="1">
      <c r="X648" s="54"/>
      <c r="Y648" s="54"/>
      <c r="Z648" s="54"/>
      <c r="AA648" s="54"/>
      <c r="AB648" s="54"/>
      <c r="AC648" s="54"/>
      <c r="AD648" s="54"/>
      <c r="AE648" s="54"/>
      <c r="AF648" s="54"/>
      <c r="AG648" s="54"/>
      <c r="AH648" s="54"/>
      <c r="AI648" s="54"/>
    </row>
    <row r="649" ht="14.25" customHeight="1">
      <c r="X649" s="54"/>
      <c r="Y649" s="54"/>
      <c r="Z649" s="54"/>
      <c r="AA649" s="54"/>
      <c r="AB649" s="54"/>
      <c r="AC649" s="54"/>
      <c r="AD649" s="54"/>
      <c r="AE649" s="54"/>
      <c r="AF649" s="54"/>
      <c r="AG649" s="54"/>
      <c r="AH649" s="54"/>
      <c r="AI649" s="54"/>
    </row>
    <row r="650" ht="14.25" customHeight="1">
      <c r="X650" s="54"/>
      <c r="Y650" s="54"/>
      <c r="Z650" s="54"/>
      <c r="AA650" s="54"/>
      <c r="AB650" s="54"/>
      <c r="AC650" s="54"/>
      <c r="AD650" s="54"/>
      <c r="AE650" s="54"/>
      <c r="AF650" s="54"/>
      <c r="AG650" s="54"/>
      <c r="AH650" s="54"/>
      <c r="AI650" s="54"/>
    </row>
    <row r="651" ht="14.25" customHeight="1">
      <c r="X651" s="54"/>
      <c r="Y651" s="54"/>
      <c r="Z651" s="54"/>
      <c r="AA651" s="54"/>
      <c r="AB651" s="54"/>
      <c r="AC651" s="54"/>
      <c r="AD651" s="54"/>
      <c r="AE651" s="54"/>
      <c r="AF651" s="54"/>
      <c r="AG651" s="54"/>
      <c r="AH651" s="54"/>
      <c r="AI651" s="54"/>
    </row>
    <row r="652" ht="14.25" customHeight="1">
      <c r="X652" s="54"/>
      <c r="Y652" s="54"/>
      <c r="Z652" s="54"/>
      <c r="AA652" s="54"/>
      <c r="AB652" s="54"/>
      <c r="AC652" s="54"/>
      <c r="AD652" s="54"/>
      <c r="AE652" s="54"/>
      <c r="AF652" s="54"/>
      <c r="AG652" s="54"/>
      <c r="AH652" s="54"/>
      <c r="AI652" s="54"/>
    </row>
    <row r="653" ht="14.25" customHeight="1">
      <c r="X653" s="54"/>
      <c r="Y653" s="54"/>
      <c r="Z653" s="54"/>
      <c r="AA653" s="54"/>
      <c r="AB653" s="54"/>
      <c r="AC653" s="54"/>
      <c r="AD653" s="54"/>
      <c r="AE653" s="54"/>
      <c r="AF653" s="54"/>
      <c r="AG653" s="54"/>
      <c r="AH653" s="54"/>
      <c r="AI653" s="54"/>
    </row>
    <row r="654" ht="14.25" customHeight="1">
      <c r="X654" s="54"/>
      <c r="Y654" s="54"/>
      <c r="Z654" s="54"/>
      <c r="AA654" s="54"/>
      <c r="AB654" s="54"/>
      <c r="AC654" s="54"/>
      <c r="AD654" s="54"/>
      <c r="AE654" s="54"/>
      <c r="AF654" s="54"/>
      <c r="AG654" s="54"/>
      <c r="AH654" s="54"/>
      <c r="AI654" s="54"/>
    </row>
    <row r="655" ht="14.25" customHeight="1">
      <c r="X655" s="54"/>
      <c r="Y655" s="54"/>
      <c r="Z655" s="54"/>
      <c r="AA655" s="54"/>
      <c r="AB655" s="54"/>
      <c r="AC655" s="54"/>
      <c r="AD655" s="54"/>
      <c r="AE655" s="54"/>
      <c r="AF655" s="54"/>
      <c r="AG655" s="54"/>
      <c r="AH655" s="54"/>
      <c r="AI655" s="54"/>
    </row>
    <row r="656" ht="14.25" customHeight="1">
      <c r="X656" s="54"/>
      <c r="Y656" s="54"/>
      <c r="Z656" s="54"/>
      <c r="AA656" s="54"/>
      <c r="AB656" s="54"/>
      <c r="AC656" s="54"/>
      <c r="AD656" s="54"/>
      <c r="AE656" s="54"/>
      <c r="AF656" s="54"/>
      <c r="AG656" s="54"/>
      <c r="AH656" s="54"/>
      <c r="AI656" s="54"/>
    </row>
    <row r="657" ht="14.25" customHeight="1">
      <c r="X657" s="54"/>
      <c r="Y657" s="54"/>
      <c r="Z657" s="54"/>
      <c r="AA657" s="54"/>
      <c r="AB657" s="54"/>
      <c r="AC657" s="54"/>
      <c r="AD657" s="54"/>
      <c r="AE657" s="54"/>
      <c r="AF657" s="54"/>
      <c r="AG657" s="54"/>
      <c r="AH657" s="54"/>
      <c r="AI657" s="54"/>
    </row>
    <row r="658" ht="14.25" customHeight="1">
      <c r="X658" s="54"/>
      <c r="Y658" s="54"/>
      <c r="Z658" s="54"/>
      <c r="AA658" s="54"/>
      <c r="AB658" s="54"/>
      <c r="AC658" s="54"/>
      <c r="AD658" s="54"/>
      <c r="AE658" s="54"/>
      <c r="AF658" s="54"/>
      <c r="AG658" s="54"/>
      <c r="AH658" s="54"/>
      <c r="AI658" s="54"/>
    </row>
    <row r="659" ht="14.25" customHeight="1">
      <c r="X659" s="54"/>
      <c r="Y659" s="54"/>
      <c r="Z659" s="54"/>
      <c r="AA659" s="54"/>
      <c r="AB659" s="54"/>
      <c r="AC659" s="54"/>
      <c r="AD659" s="54"/>
      <c r="AE659" s="54"/>
      <c r="AF659" s="54"/>
      <c r="AG659" s="54"/>
      <c r="AH659" s="54"/>
      <c r="AI659" s="54"/>
    </row>
    <row r="660" ht="14.25" customHeight="1">
      <c r="X660" s="54"/>
      <c r="Y660" s="54"/>
      <c r="Z660" s="54"/>
      <c r="AA660" s="54"/>
      <c r="AB660" s="54"/>
      <c r="AC660" s="54"/>
      <c r="AD660" s="54"/>
      <c r="AE660" s="54"/>
      <c r="AF660" s="54"/>
      <c r="AG660" s="54"/>
      <c r="AH660" s="54"/>
      <c r="AI660" s="54"/>
    </row>
    <row r="661" ht="14.25" customHeight="1">
      <c r="X661" s="54"/>
      <c r="Y661" s="54"/>
      <c r="Z661" s="54"/>
      <c r="AA661" s="54"/>
      <c r="AB661" s="54"/>
      <c r="AC661" s="54"/>
      <c r="AD661" s="54"/>
      <c r="AE661" s="54"/>
      <c r="AF661" s="54"/>
      <c r="AG661" s="54"/>
      <c r="AH661" s="54"/>
      <c r="AI661" s="54"/>
    </row>
    <row r="662" ht="14.25" customHeight="1">
      <c r="X662" s="54"/>
      <c r="Y662" s="54"/>
      <c r="Z662" s="54"/>
      <c r="AA662" s="54"/>
      <c r="AB662" s="54"/>
      <c r="AC662" s="54"/>
      <c r="AD662" s="54"/>
      <c r="AE662" s="54"/>
      <c r="AF662" s="54"/>
      <c r="AG662" s="54"/>
      <c r="AH662" s="54"/>
      <c r="AI662" s="54"/>
    </row>
    <row r="663" ht="14.25" customHeight="1">
      <c r="X663" s="54"/>
      <c r="Y663" s="54"/>
      <c r="Z663" s="54"/>
      <c r="AA663" s="54"/>
      <c r="AB663" s="54"/>
      <c r="AC663" s="54"/>
      <c r="AD663" s="54"/>
      <c r="AE663" s="54"/>
      <c r="AF663" s="54"/>
      <c r="AG663" s="54"/>
      <c r="AH663" s="54"/>
      <c r="AI663" s="54"/>
    </row>
    <row r="664" ht="14.25" customHeight="1">
      <c r="X664" s="54"/>
      <c r="Y664" s="54"/>
      <c r="Z664" s="54"/>
      <c r="AA664" s="54"/>
      <c r="AB664" s="54"/>
      <c r="AC664" s="54"/>
      <c r="AD664" s="54"/>
      <c r="AE664" s="54"/>
      <c r="AF664" s="54"/>
      <c r="AG664" s="54"/>
      <c r="AH664" s="54"/>
      <c r="AI664" s="54"/>
    </row>
    <row r="665" ht="14.25" customHeight="1">
      <c r="X665" s="54"/>
      <c r="Y665" s="54"/>
      <c r="Z665" s="54"/>
      <c r="AA665" s="54"/>
      <c r="AB665" s="54"/>
      <c r="AC665" s="54"/>
      <c r="AD665" s="54"/>
      <c r="AE665" s="54"/>
      <c r="AF665" s="54"/>
      <c r="AG665" s="54"/>
      <c r="AH665" s="54"/>
      <c r="AI665" s="54"/>
    </row>
    <row r="666" ht="14.25" customHeight="1">
      <c r="X666" s="54"/>
      <c r="Y666" s="54"/>
      <c r="Z666" s="54"/>
      <c r="AA666" s="54"/>
      <c r="AB666" s="54"/>
      <c r="AC666" s="54"/>
      <c r="AD666" s="54"/>
      <c r="AE666" s="54"/>
      <c r="AF666" s="54"/>
      <c r="AG666" s="54"/>
      <c r="AH666" s="54"/>
      <c r="AI666" s="54"/>
    </row>
    <row r="667" ht="14.25" customHeight="1">
      <c r="X667" s="54"/>
      <c r="Y667" s="54"/>
      <c r="Z667" s="54"/>
      <c r="AA667" s="54"/>
      <c r="AB667" s="54"/>
      <c r="AC667" s="54"/>
      <c r="AD667" s="54"/>
      <c r="AE667" s="54"/>
      <c r="AF667" s="54"/>
      <c r="AG667" s="54"/>
      <c r="AH667" s="54"/>
      <c r="AI667" s="54"/>
    </row>
    <row r="668" ht="14.25" customHeight="1">
      <c r="X668" s="54"/>
      <c r="Y668" s="54"/>
      <c r="Z668" s="54"/>
      <c r="AA668" s="54"/>
      <c r="AB668" s="54"/>
      <c r="AC668" s="54"/>
      <c r="AD668" s="54"/>
      <c r="AE668" s="54"/>
      <c r="AF668" s="54"/>
      <c r="AG668" s="54"/>
      <c r="AH668" s="54"/>
      <c r="AI668" s="54"/>
    </row>
    <row r="669" ht="14.25" customHeight="1">
      <c r="X669" s="54"/>
      <c r="Y669" s="54"/>
      <c r="Z669" s="54"/>
      <c r="AA669" s="54"/>
      <c r="AB669" s="54"/>
      <c r="AC669" s="54"/>
      <c r="AD669" s="54"/>
      <c r="AE669" s="54"/>
      <c r="AF669" s="54"/>
      <c r="AG669" s="54"/>
      <c r="AH669" s="54"/>
      <c r="AI669" s="54"/>
    </row>
    <row r="670" ht="14.25" customHeight="1">
      <c r="X670" s="54"/>
      <c r="Y670" s="54"/>
      <c r="Z670" s="54"/>
      <c r="AA670" s="54"/>
      <c r="AB670" s="54"/>
      <c r="AC670" s="54"/>
      <c r="AD670" s="54"/>
      <c r="AE670" s="54"/>
      <c r="AF670" s="54"/>
      <c r="AG670" s="54"/>
      <c r="AH670" s="54"/>
      <c r="AI670" s="54"/>
    </row>
    <row r="671" ht="14.25" customHeight="1">
      <c r="X671" s="54"/>
      <c r="Y671" s="54"/>
      <c r="Z671" s="54"/>
      <c r="AA671" s="54"/>
      <c r="AB671" s="54"/>
      <c r="AC671" s="54"/>
      <c r="AD671" s="54"/>
      <c r="AE671" s="54"/>
      <c r="AF671" s="54"/>
      <c r="AG671" s="54"/>
      <c r="AH671" s="54"/>
      <c r="AI671" s="54"/>
    </row>
    <row r="672" ht="14.25" customHeight="1">
      <c r="X672" s="54"/>
      <c r="Y672" s="54"/>
      <c r="Z672" s="54"/>
      <c r="AA672" s="54"/>
      <c r="AB672" s="54"/>
      <c r="AC672" s="54"/>
      <c r="AD672" s="54"/>
      <c r="AE672" s="54"/>
      <c r="AF672" s="54"/>
      <c r="AG672" s="54"/>
      <c r="AH672" s="54"/>
      <c r="AI672" s="54"/>
    </row>
    <row r="673" ht="14.25" customHeight="1">
      <c r="X673" s="54"/>
      <c r="Y673" s="54"/>
      <c r="Z673" s="54"/>
      <c r="AA673" s="54"/>
      <c r="AB673" s="54"/>
      <c r="AC673" s="54"/>
      <c r="AD673" s="54"/>
      <c r="AE673" s="54"/>
      <c r="AF673" s="54"/>
      <c r="AG673" s="54"/>
      <c r="AH673" s="54"/>
      <c r="AI673" s="54"/>
    </row>
    <row r="674" ht="14.25" customHeight="1">
      <c r="X674" s="54"/>
      <c r="Y674" s="54"/>
      <c r="Z674" s="54"/>
      <c r="AA674" s="54"/>
      <c r="AB674" s="54"/>
      <c r="AC674" s="54"/>
      <c r="AD674" s="54"/>
      <c r="AE674" s="54"/>
      <c r="AF674" s="54"/>
      <c r="AG674" s="54"/>
      <c r="AH674" s="54"/>
      <c r="AI674" s="54"/>
    </row>
    <row r="675" ht="14.25" customHeight="1">
      <c r="X675" s="54"/>
      <c r="Y675" s="54"/>
      <c r="Z675" s="54"/>
      <c r="AA675" s="54"/>
      <c r="AB675" s="54"/>
      <c r="AC675" s="54"/>
      <c r="AD675" s="54"/>
      <c r="AE675" s="54"/>
      <c r="AF675" s="54"/>
      <c r="AG675" s="54"/>
      <c r="AH675" s="54"/>
      <c r="AI675" s="54"/>
    </row>
    <row r="676" ht="14.25" customHeight="1">
      <c r="X676" s="54"/>
      <c r="Y676" s="54"/>
      <c r="Z676" s="54"/>
      <c r="AA676" s="54"/>
      <c r="AB676" s="54"/>
      <c r="AC676" s="54"/>
      <c r="AD676" s="54"/>
      <c r="AE676" s="54"/>
      <c r="AF676" s="54"/>
      <c r="AG676" s="54"/>
      <c r="AH676" s="54"/>
      <c r="AI676" s="54"/>
    </row>
    <row r="677" ht="14.25" customHeight="1">
      <c r="X677" s="54"/>
      <c r="Y677" s="54"/>
      <c r="Z677" s="54"/>
      <c r="AA677" s="54"/>
      <c r="AB677" s="54"/>
      <c r="AC677" s="54"/>
      <c r="AD677" s="54"/>
      <c r="AE677" s="54"/>
      <c r="AF677" s="54"/>
      <c r="AG677" s="54"/>
      <c r="AH677" s="54"/>
      <c r="AI677" s="54"/>
    </row>
    <row r="678" ht="14.25" customHeight="1">
      <c r="X678" s="54"/>
      <c r="Y678" s="54"/>
      <c r="Z678" s="54"/>
      <c r="AA678" s="54"/>
      <c r="AB678" s="54"/>
      <c r="AC678" s="54"/>
      <c r="AD678" s="54"/>
      <c r="AE678" s="54"/>
      <c r="AF678" s="54"/>
      <c r="AG678" s="54"/>
      <c r="AH678" s="54"/>
      <c r="AI678" s="54"/>
    </row>
    <row r="679" ht="14.25" customHeight="1">
      <c r="X679" s="54"/>
      <c r="Y679" s="54"/>
      <c r="Z679" s="54"/>
      <c r="AA679" s="54"/>
      <c r="AB679" s="54"/>
      <c r="AC679" s="54"/>
      <c r="AD679" s="54"/>
      <c r="AE679" s="54"/>
      <c r="AF679" s="54"/>
      <c r="AG679" s="54"/>
      <c r="AH679" s="54"/>
      <c r="AI679" s="54"/>
    </row>
    <row r="680" ht="14.25" customHeight="1">
      <c r="X680" s="54"/>
      <c r="Y680" s="54"/>
      <c r="Z680" s="54"/>
      <c r="AA680" s="54"/>
      <c r="AB680" s="54"/>
      <c r="AC680" s="54"/>
      <c r="AD680" s="54"/>
      <c r="AE680" s="54"/>
      <c r="AF680" s="54"/>
      <c r="AG680" s="54"/>
      <c r="AH680" s="54"/>
      <c r="AI680" s="54"/>
    </row>
    <row r="681" ht="14.25" customHeight="1">
      <c r="X681" s="54"/>
      <c r="Y681" s="54"/>
      <c r="Z681" s="54"/>
      <c r="AA681" s="54"/>
      <c r="AB681" s="54"/>
      <c r="AC681" s="54"/>
      <c r="AD681" s="54"/>
      <c r="AE681" s="54"/>
      <c r="AF681" s="54"/>
      <c r="AG681" s="54"/>
      <c r="AH681" s="54"/>
      <c r="AI681" s="54"/>
    </row>
    <row r="682" ht="14.25" customHeight="1">
      <c r="X682" s="54"/>
      <c r="Y682" s="54"/>
      <c r="Z682" s="54"/>
      <c r="AA682" s="54"/>
      <c r="AB682" s="54"/>
      <c r="AC682" s="54"/>
      <c r="AD682" s="54"/>
      <c r="AE682" s="54"/>
      <c r="AF682" s="54"/>
      <c r="AG682" s="54"/>
      <c r="AH682" s="54"/>
      <c r="AI682" s="54"/>
    </row>
    <row r="683" ht="14.25" customHeight="1">
      <c r="X683" s="54"/>
      <c r="Y683" s="54"/>
      <c r="Z683" s="54"/>
      <c r="AA683" s="54"/>
      <c r="AB683" s="54"/>
      <c r="AC683" s="54"/>
      <c r="AD683" s="54"/>
      <c r="AE683" s="54"/>
      <c r="AF683" s="54"/>
      <c r="AG683" s="54"/>
      <c r="AH683" s="54"/>
      <c r="AI683" s="54"/>
    </row>
    <row r="684" ht="14.25" customHeight="1">
      <c r="X684" s="54"/>
      <c r="Y684" s="54"/>
      <c r="Z684" s="54"/>
      <c r="AA684" s="54"/>
      <c r="AB684" s="54"/>
      <c r="AC684" s="54"/>
      <c r="AD684" s="54"/>
      <c r="AE684" s="54"/>
      <c r="AF684" s="54"/>
      <c r="AG684" s="54"/>
      <c r="AH684" s="54"/>
      <c r="AI684" s="54"/>
    </row>
    <row r="685" ht="14.25" customHeight="1">
      <c r="X685" s="54"/>
      <c r="Y685" s="54"/>
      <c r="Z685" s="54"/>
      <c r="AA685" s="54"/>
      <c r="AB685" s="54"/>
      <c r="AC685" s="54"/>
      <c r="AD685" s="54"/>
      <c r="AE685" s="54"/>
      <c r="AF685" s="54"/>
      <c r="AG685" s="54"/>
      <c r="AH685" s="54"/>
      <c r="AI685" s="54"/>
    </row>
    <row r="686" ht="14.25" customHeight="1">
      <c r="X686" s="54"/>
      <c r="Y686" s="54"/>
      <c r="Z686" s="54"/>
      <c r="AA686" s="54"/>
      <c r="AB686" s="54"/>
      <c r="AC686" s="54"/>
      <c r="AD686" s="54"/>
      <c r="AE686" s="54"/>
      <c r="AF686" s="54"/>
      <c r="AG686" s="54"/>
      <c r="AH686" s="54"/>
      <c r="AI686" s="54"/>
    </row>
    <row r="687" ht="14.25" customHeight="1">
      <c r="X687" s="54"/>
      <c r="Y687" s="54"/>
      <c r="Z687" s="54"/>
      <c r="AA687" s="54"/>
      <c r="AB687" s="54"/>
      <c r="AC687" s="54"/>
      <c r="AD687" s="54"/>
      <c r="AE687" s="54"/>
      <c r="AF687" s="54"/>
      <c r="AG687" s="54"/>
      <c r="AH687" s="54"/>
      <c r="AI687" s="54"/>
    </row>
    <row r="688" ht="14.25" customHeight="1">
      <c r="X688" s="54"/>
      <c r="Y688" s="54"/>
      <c r="Z688" s="54"/>
      <c r="AA688" s="54"/>
      <c r="AB688" s="54"/>
      <c r="AC688" s="54"/>
      <c r="AD688" s="54"/>
      <c r="AE688" s="54"/>
      <c r="AF688" s="54"/>
      <c r="AG688" s="54"/>
      <c r="AH688" s="54"/>
      <c r="AI688" s="54"/>
    </row>
    <row r="689" ht="14.25" customHeight="1">
      <c r="X689" s="54"/>
      <c r="Y689" s="54"/>
      <c r="Z689" s="54"/>
      <c r="AA689" s="54"/>
      <c r="AB689" s="54"/>
      <c r="AC689" s="54"/>
      <c r="AD689" s="54"/>
      <c r="AE689" s="54"/>
      <c r="AF689" s="54"/>
      <c r="AG689" s="54"/>
      <c r="AH689" s="54"/>
      <c r="AI689" s="54"/>
    </row>
    <row r="690" ht="14.25" customHeight="1">
      <c r="X690" s="54"/>
      <c r="Y690" s="54"/>
      <c r="Z690" s="54"/>
      <c r="AA690" s="54"/>
      <c r="AB690" s="54"/>
      <c r="AC690" s="54"/>
      <c r="AD690" s="54"/>
      <c r="AE690" s="54"/>
      <c r="AF690" s="54"/>
      <c r="AG690" s="54"/>
      <c r="AH690" s="54"/>
      <c r="AI690" s="54"/>
    </row>
    <row r="691" ht="14.25" customHeight="1">
      <c r="X691" s="54"/>
      <c r="Y691" s="54"/>
      <c r="Z691" s="54"/>
      <c r="AA691" s="54"/>
      <c r="AB691" s="54"/>
      <c r="AC691" s="54"/>
      <c r="AD691" s="54"/>
      <c r="AE691" s="54"/>
      <c r="AF691" s="54"/>
      <c r="AG691" s="54"/>
      <c r="AH691" s="54"/>
      <c r="AI691" s="54"/>
    </row>
    <row r="692" ht="14.25" customHeight="1">
      <c r="X692" s="54"/>
      <c r="Y692" s="54"/>
      <c r="Z692" s="54"/>
      <c r="AA692" s="54"/>
      <c r="AB692" s="54"/>
      <c r="AC692" s="54"/>
      <c r="AD692" s="54"/>
      <c r="AE692" s="54"/>
      <c r="AF692" s="54"/>
      <c r="AG692" s="54"/>
      <c r="AH692" s="54"/>
      <c r="AI692" s="54"/>
    </row>
    <row r="693" ht="14.25" customHeight="1">
      <c r="X693" s="54"/>
      <c r="Y693" s="54"/>
      <c r="Z693" s="54"/>
      <c r="AA693" s="54"/>
      <c r="AB693" s="54"/>
      <c r="AC693" s="54"/>
      <c r="AD693" s="54"/>
      <c r="AE693" s="54"/>
      <c r="AF693" s="54"/>
      <c r="AG693" s="54"/>
      <c r="AH693" s="54"/>
      <c r="AI693" s="54"/>
    </row>
    <row r="694" ht="14.25" customHeight="1">
      <c r="X694" s="54"/>
      <c r="Y694" s="54"/>
      <c r="Z694" s="54"/>
      <c r="AA694" s="54"/>
      <c r="AB694" s="54"/>
      <c r="AC694" s="54"/>
      <c r="AD694" s="54"/>
      <c r="AE694" s="54"/>
      <c r="AF694" s="54"/>
      <c r="AG694" s="54"/>
      <c r="AH694" s="54"/>
      <c r="AI694" s="54"/>
    </row>
    <row r="695" ht="14.25" customHeight="1">
      <c r="X695" s="54"/>
      <c r="Y695" s="54"/>
      <c r="Z695" s="54"/>
      <c r="AA695" s="54"/>
      <c r="AB695" s="54"/>
      <c r="AC695" s="54"/>
      <c r="AD695" s="54"/>
      <c r="AE695" s="54"/>
      <c r="AF695" s="54"/>
      <c r="AG695" s="54"/>
      <c r="AH695" s="54"/>
      <c r="AI695" s="54"/>
    </row>
    <row r="696" ht="14.25" customHeight="1">
      <c r="X696" s="54"/>
      <c r="Y696" s="54"/>
      <c r="Z696" s="54"/>
      <c r="AA696" s="54"/>
      <c r="AB696" s="54"/>
      <c r="AC696" s="54"/>
      <c r="AD696" s="54"/>
      <c r="AE696" s="54"/>
      <c r="AF696" s="54"/>
      <c r="AG696" s="54"/>
      <c r="AH696" s="54"/>
      <c r="AI696" s="54"/>
    </row>
    <row r="697" ht="14.25" customHeight="1">
      <c r="X697" s="54"/>
      <c r="Y697" s="54"/>
      <c r="Z697" s="54"/>
      <c r="AA697" s="54"/>
      <c r="AB697" s="54"/>
      <c r="AC697" s="54"/>
      <c r="AD697" s="54"/>
      <c r="AE697" s="54"/>
      <c r="AF697" s="54"/>
      <c r="AG697" s="54"/>
      <c r="AH697" s="54"/>
      <c r="AI697" s="54"/>
    </row>
    <row r="698" ht="14.25" customHeight="1">
      <c r="X698" s="54"/>
      <c r="Y698" s="54"/>
      <c r="Z698" s="54"/>
      <c r="AA698" s="54"/>
      <c r="AB698" s="54"/>
      <c r="AC698" s="54"/>
      <c r="AD698" s="54"/>
      <c r="AE698" s="54"/>
      <c r="AF698" s="54"/>
      <c r="AG698" s="54"/>
      <c r="AH698" s="54"/>
      <c r="AI698" s="54"/>
    </row>
    <row r="699" ht="14.25" customHeight="1">
      <c r="X699" s="54"/>
      <c r="Y699" s="54"/>
      <c r="Z699" s="54"/>
      <c r="AA699" s="54"/>
      <c r="AB699" s="54"/>
      <c r="AC699" s="54"/>
      <c r="AD699" s="54"/>
      <c r="AE699" s="54"/>
      <c r="AF699" s="54"/>
      <c r="AG699" s="54"/>
      <c r="AH699" s="54"/>
      <c r="AI699" s="54"/>
    </row>
    <row r="700" ht="14.25" customHeight="1">
      <c r="X700" s="54"/>
      <c r="Y700" s="54"/>
      <c r="Z700" s="54"/>
      <c r="AA700" s="54"/>
      <c r="AB700" s="54"/>
      <c r="AC700" s="54"/>
      <c r="AD700" s="54"/>
      <c r="AE700" s="54"/>
      <c r="AF700" s="54"/>
      <c r="AG700" s="54"/>
      <c r="AH700" s="54"/>
      <c r="AI700" s="54"/>
    </row>
    <row r="701" ht="14.25" customHeight="1">
      <c r="X701" s="54"/>
      <c r="Y701" s="54"/>
      <c r="Z701" s="54"/>
      <c r="AA701" s="54"/>
      <c r="AB701" s="54"/>
      <c r="AC701" s="54"/>
      <c r="AD701" s="54"/>
      <c r="AE701" s="54"/>
      <c r="AF701" s="54"/>
      <c r="AG701" s="54"/>
      <c r="AH701" s="54"/>
      <c r="AI701" s="54"/>
    </row>
    <row r="702" ht="14.25" customHeight="1">
      <c r="X702" s="54"/>
      <c r="Y702" s="54"/>
      <c r="Z702" s="54"/>
      <c r="AA702" s="54"/>
      <c r="AB702" s="54"/>
      <c r="AC702" s="54"/>
      <c r="AD702" s="54"/>
      <c r="AE702" s="54"/>
      <c r="AF702" s="54"/>
      <c r="AG702" s="54"/>
      <c r="AH702" s="54"/>
      <c r="AI702" s="54"/>
    </row>
    <row r="703" ht="14.25" customHeight="1">
      <c r="X703" s="54"/>
      <c r="Y703" s="54"/>
      <c r="Z703" s="54"/>
      <c r="AA703" s="54"/>
      <c r="AB703" s="54"/>
      <c r="AC703" s="54"/>
      <c r="AD703" s="54"/>
      <c r="AE703" s="54"/>
      <c r="AF703" s="54"/>
      <c r="AG703" s="54"/>
      <c r="AH703" s="54"/>
      <c r="AI703" s="54"/>
    </row>
    <row r="704" ht="14.25" customHeight="1">
      <c r="X704" s="54"/>
      <c r="Y704" s="54"/>
      <c r="Z704" s="54"/>
      <c r="AA704" s="54"/>
      <c r="AB704" s="54"/>
      <c r="AC704" s="54"/>
      <c r="AD704" s="54"/>
      <c r="AE704" s="54"/>
      <c r="AF704" s="54"/>
      <c r="AG704" s="54"/>
      <c r="AH704" s="54"/>
      <c r="AI704" s="54"/>
    </row>
    <row r="705" ht="14.25" customHeight="1">
      <c r="X705" s="54"/>
      <c r="Y705" s="54"/>
      <c r="Z705" s="54"/>
      <c r="AA705" s="54"/>
      <c r="AB705" s="54"/>
      <c r="AC705" s="54"/>
      <c r="AD705" s="54"/>
      <c r="AE705" s="54"/>
      <c r="AF705" s="54"/>
      <c r="AG705" s="54"/>
      <c r="AH705" s="54"/>
      <c r="AI705" s="54"/>
    </row>
    <row r="706" ht="14.25" customHeight="1">
      <c r="X706" s="54"/>
      <c r="Y706" s="54"/>
      <c r="Z706" s="54"/>
      <c r="AA706" s="54"/>
      <c r="AB706" s="54"/>
      <c r="AC706" s="54"/>
      <c r="AD706" s="54"/>
      <c r="AE706" s="54"/>
      <c r="AF706" s="54"/>
      <c r="AG706" s="54"/>
      <c r="AH706" s="54"/>
      <c r="AI706" s="54"/>
    </row>
    <row r="707" ht="14.25" customHeight="1">
      <c r="X707" s="54"/>
      <c r="Y707" s="54"/>
      <c r="Z707" s="54"/>
      <c r="AA707" s="54"/>
      <c r="AB707" s="54"/>
      <c r="AC707" s="54"/>
      <c r="AD707" s="54"/>
      <c r="AE707" s="54"/>
      <c r="AF707" s="54"/>
      <c r="AG707" s="54"/>
      <c r="AH707" s="54"/>
      <c r="AI707" s="54"/>
    </row>
    <row r="708" ht="14.25" customHeight="1">
      <c r="X708" s="54"/>
      <c r="Y708" s="54"/>
      <c r="Z708" s="54"/>
      <c r="AA708" s="54"/>
      <c r="AB708" s="54"/>
      <c r="AC708" s="54"/>
      <c r="AD708" s="54"/>
      <c r="AE708" s="54"/>
      <c r="AF708" s="54"/>
      <c r="AG708" s="54"/>
      <c r="AH708" s="54"/>
      <c r="AI708" s="54"/>
    </row>
    <row r="709" ht="14.25" customHeight="1">
      <c r="X709" s="54"/>
      <c r="Y709" s="54"/>
      <c r="Z709" s="54"/>
      <c r="AA709" s="54"/>
      <c r="AB709" s="54"/>
      <c r="AC709" s="54"/>
      <c r="AD709" s="54"/>
      <c r="AE709" s="54"/>
      <c r="AF709" s="54"/>
      <c r="AG709" s="54"/>
      <c r="AH709" s="54"/>
      <c r="AI709" s="54"/>
    </row>
    <row r="710" ht="14.25" customHeight="1">
      <c r="X710" s="54"/>
      <c r="Y710" s="54"/>
      <c r="Z710" s="54"/>
      <c r="AA710" s="54"/>
      <c r="AB710" s="54"/>
      <c r="AC710" s="54"/>
      <c r="AD710" s="54"/>
      <c r="AE710" s="54"/>
      <c r="AF710" s="54"/>
      <c r="AG710" s="54"/>
      <c r="AH710" s="54"/>
      <c r="AI710" s="54"/>
    </row>
    <row r="711" ht="14.25" customHeight="1">
      <c r="X711" s="54"/>
      <c r="Y711" s="54"/>
      <c r="Z711" s="54"/>
      <c r="AA711" s="54"/>
      <c r="AB711" s="54"/>
      <c r="AC711" s="54"/>
      <c r="AD711" s="54"/>
      <c r="AE711" s="54"/>
      <c r="AF711" s="54"/>
      <c r="AG711" s="54"/>
      <c r="AH711" s="54"/>
      <c r="AI711" s="54"/>
    </row>
    <row r="712" ht="14.25" customHeight="1">
      <c r="X712" s="54"/>
      <c r="Y712" s="54"/>
      <c r="Z712" s="54"/>
      <c r="AA712" s="54"/>
      <c r="AB712" s="54"/>
      <c r="AC712" s="54"/>
      <c r="AD712" s="54"/>
      <c r="AE712" s="54"/>
      <c r="AF712" s="54"/>
      <c r="AG712" s="54"/>
      <c r="AH712" s="54"/>
      <c r="AI712" s="54"/>
    </row>
    <row r="713" ht="14.25" customHeight="1">
      <c r="X713" s="54"/>
      <c r="Y713" s="54"/>
      <c r="Z713" s="54"/>
      <c r="AA713" s="54"/>
      <c r="AB713" s="54"/>
      <c r="AC713" s="54"/>
      <c r="AD713" s="54"/>
      <c r="AE713" s="54"/>
      <c r="AF713" s="54"/>
      <c r="AG713" s="54"/>
      <c r="AH713" s="54"/>
      <c r="AI713" s="54"/>
    </row>
    <row r="714" ht="14.25" customHeight="1">
      <c r="X714" s="54"/>
      <c r="Y714" s="54"/>
      <c r="Z714" s="54"/>
      <c r="AA714" s="54"/>
      <c r="AB714" s="54"/>
      <c r="AC714" s="54"/>
      <c r="AD714" s="54"/>
      <c r="AE714" s="54"/>
      <c r="AF714" s="54"/>
      <c r="AG714" s="54"/>
      <c r="AH714" s="54"/>
      <c r="AI714" s="54"/>
    </row>
    <row r="715" ht="14.25" customHeight="1">
      <c r="X715" s="54"/>
      <c r="Y715" s="54"/>
      <c r="Z715" s="54"/>
      <c r="AA715" s="54"/>
      <c r="AB715" s="54"/>
      <c r="AC715" s="54"/>
      <c r="AD715" s="54"/>
      <c r="AE715" s="54"/>
      <c r="AF715" s="54"/>
      <c r="AG715" s="54"/>
      <c r="AH715" s="54"/>
      <c r="AI715" s="54"/>
    </row>
    <row r="716" ht="14.25" customHeight="1">
      <c r="X716" s="54"/>
      <c r="Y716" s="54"/>
      <c r="Z716" s="54"/>
      <c r="AA716" s="54"/>
      <c r="AB716" s="54"/>
      <c r="AC716" s="54"/>
      <c r="AD716" s="54"/>
      <c r="AE716" s="54"/>
      <c r="AF716" s="54"/>
      <c r="AG716" s="54"/>
      <c r="AH716" s="54"/>
      <c r="AI716" s="54"/>
    </row>
    <row r="717" ht="14.25" customHeight="1">
      <c r="X717" s="54"/>
      <c r="Y717" s="54"/>
      <c r="Z717" s="54"/>
      <c r="AA717" s="54"/>
      <c r="AB717" s="54"/>
      <c r="AC717" s="54"/>
      <c r="AD717" s="54"/>
      <c r="AE717" s="54"/>
      <c r="AF717" s="54"/>
      <c r="AG717" s="54"/>
      <c r="AH717" s="54"/>
      <c r="AI717" s="54"/>
    </row>
    <row r="718" ht="14.25" customHeight="1">
      <c r="X718" s="54"/>
      <c r="Y718" s="54"/>
      <c r="Z718" s="54"/>
      <c r="AA718" s="54"/>
      <c r="AB718" s="54"/>
      <c r="AC718" s="54"/>
      <c r="AD718" s="54"/>
      <c r="AE718" s="54"/>
      <c r="AF718" s="54"/>
      <c r="AG718" s="54"/>
      <c r="AH718" s="54"/>
      <c r="AI718" s="54"/>
    </row>
    <row r="719" ht="14.25" customHeight="1">
      <c r="X719" s="54"/>
      <c r="Y719" s="54"/>
      <c r="Z719" s="54"/>
      <c r="AA719" s="54"/>
      <c r="AB719" s="54"/>
      <c r="AC719" s="54"/>
      <c r="AD719" s="54"/>
      <c r="AE719" s="54"/>
      <c r="AF719" s="54"/>
      <c r="AG719" s="54"/>
      <c r="AH719" s="54"/>
      <c r="AI719" s="54"/>
    </row>
    <row r="720" ht="14.25" customHeight="1">
      <c r="X720" s="54"/>
      <c r="Y720" s="54"/>
      <c r="Z720" s="54"/>
      <c r="AA720" s="54"/>
      <c r="AB720" s="54"/>
      <c r="AC720" s="54"/>
      <c r="AD720" s="54"/>
      <c r="AE720" s="54"/>
      <c r="AF720" s="54"/>
      <c r="AG720" s="54"/>
      <c r="AH720" s="54"/>
      <c r="AI720" s="54"/>
    </row>
    <row r="721" ht="14.25" customHeight="1">
      <c r="X721" s="54"/>
      <c r="Y721" s="54"/>
      <c r="Z721" s="54"/>
      <c r="AA721" s="54"/>
      <c r="AB721" s="54"/>
      <c r="AC721" s="54"/>
      <c r="AD721" s="54"/>
      <c r="AE721" s="54"/>
      <c r="AF721" s="54"/>
      <c r="AG721" s="54"/>
      <c r="AH721" s="54"/>
      <c r="AI721" s="54"/>
    </row>
    <row r="722" ht="14.25" customHeight="1">
      <c r="X722" s="54"/>
      <c r="Y722" s="54"/>
      <c r="Z722" s="54"/>
      <c r="AA722" s="54"/>
      <c r="AB722" s="54"/>
      <c r="AC722" s="54"/>
      <c r="AD722" s="54"/>
      <c r="AE722" s="54"/>
      <c r="AF722" s="54"/>
      <c r="AG722" s="54"/>
      <c r="AH722" s="54"/>
      <c r="AI722" s="54"/>
    </row>
    <row r="723" ht="14.25" customHeight="1">
      <c r="X723" s="54"/>
      <c r="Y723" s="54"/>
      <c r="Z723" s="54"/>
      <c r="AA723" s="54"/>
      <c r="AB723" s="54"/>
      <c r="AC723" s="54"/>
      <c r="AD723" s="54"/>
      <c r="AE723" s="54"/>
      <c r="AF723" s="54"/>
      <c r="AG723" s="54"/>
      <c r="AH723" s="54"/>
      <c r="AI723" s="54"/>
    </row>
    <row r="724" ht="14.25" customHeight="1">
      <c r="X724" s="54"/>
      <c r="Y724" s="54"/>
      <c r="Z724" s="54"/>
      <c r="AA724" s="54"/>
      <c r="AB724" s="54"/>
      <c r="AC724" s="54"/>
      <c r="AD724" s="54"/>
      <c r="AE724" s="54"/>
      <c r="AF724" s="54"/>
      <c r="AG724" s="54"/>
      <c r="AH724" s="54"/>
      <c r="AI724" s="54"/>
    </row>
    <row r="725" ht="14.25" customHeight="1">
      <c r="X725" s="54"/>
      <c r="Y725" s="54"/>
      <c r="Z725" s="54"/>
      <c r="AA725" s="54"/>
      <c r="AB725" s="54"/>
      <c r="AC725" s="54"/>
      <c r="AD725" s="54"/>
      <c r="AE725" s="54"/>
      <c r="AF725" s="54"/>
      <c r="AG725" s="54"/>
      <c r="AH725" s="54"/>
      <c r="AI725" s="54"/>
    </row>
    <row r="726" ht="14.25" customHeight="1">
      <c r="X726" s="54"/>
      <c r="Y726" s="54"/>
      <c r="Z726" s="54"/>
      <c r="AA726" s="54"/>
      <c r="AB726" s="54"/>
      <c r="AC726" s="54"/>
      <c r="AD726" s="54"/>
      <c r="AE726" s="54"/>
      <c r="AF726" s="54"/>
      <c r="AG726" s="54"/>
      <c r="AH726" s="54"/>
      <c r="AI726" s="54"/>
    </row>
    <row r="727" ht="14.25" customHeight="1">
      <c r="X727" s="54"/>
      <c r="Y727" s="54"/>
      <c r="Z727" s="54"/>
      <c r="AA727" s="54"/>
      <c r="AB727" s="54"/>
      <c r="AC727" s="54"/>
      <c r="AD727" s="54"/>
      <c r="AE727" s="54"/>
      <c r="AF727" s="54"/>
      <c r="AG727" s="54"/>
      <c r="AH727" s="54"/>
      <c r="AI727" s="54"/>
    </row>
    <row r="728" ht="14.25" customHeight="1">
      <c r="X728" s="54"/>
      <c r="Y728" s="54"/>
      <c r="Z728" s="54"/>
      <c r="AA728" s="54"/>
      <c r="AB728" s="54"/>
      <c r="AC728" s="54"/>
      <c r="AD728" s="54"/>
      <c r="AE728" s="54"/>
      <c r="AF728" s="54"/>
      <c r="AG728" s="54"/>
      <c r="AH728" s="54"/>
      <c r="AI728" s="54"/>
    </row>
    <row r="729" ht="14.25" customHeight="1">
      <c r="X729" s="54"/>
      <c r="Y729" s="54"/>
      <c r="Z729" s="54"/>
      <c r="AA729" s="54"/>
      <c r="AB729" s="54"/>
      <c r="AC729" s="54"/>
      <c r="AD729" s="54"/>
      <c r="AE729" s="54"/>
      <c r="AF729" s="54"/>
      <c r="AG729" s="54"/>
      <c r="AH729" s="54"/>
      <c r="AI729" s="54"/>
    </row>
    <row r="730" ht="14.25" customHeight="1">
      <c r="X730" s="54"/>
      <c r="Y730" s="54"/>
      <c r="Z730" s="54"/>
      <c r="AA730" s="54"/>
      <c r="AB730" s="54"/>
      <c r="AC730" s="54"/>
      <c r="AD730" s="54"/>
      <c r="AE730" s="54"/>
      <c r="AF730" s="54"/>
      <c r="AG730" s="54"/>
      <c r="AH730" s="54"/>
      <c r="AI730" s="54"/>
    </row>
    <row r="731" ht="14.25" customHeight="1">
      <c r="X731" s="54"/>
      <c r="Y731" s="54"/>
      <c r="Z731" s="54"/>
      <c r="AA731" s="54"/>
      <c r="AB731" s="54"/>
      <c r="AC731" s="54"/>
      <c r="AD731" s="54"/>
      <c r="AE731" s="54"/>
      <c r="AF731" s="54"/>
      <c r="AG731" s="54"/>
      <c r="AH731" s="54"/>
      <c r="AI731" s="54"/>
    </row>
    <row r="732" ht="14.25" customHeight="1">
      <c r="X732" s="54"/>
      <c r="Y732" s="54"/>
      <c r="Z732" s="54"/>
      <c r="AA732" s="54"/>
      <c r="AB732" s="54"/>
      <c r="AC732" s="54"/>
      <c r="AD732" s="54"/>
      <c r="AE732" s="54"/>
      <c r="AF732" s="54"/>
      <c r="AG732" s="54"/>
      <c r="AH732" s="54"/>
      <c r="AI732" s="54"/>
    </row>
    <row r="733" ht="14.25" customHeight="1">
      <c r="X733" s="54"/>
      <c r="Y733" s="54"/>
      <c r="Z733" s="54"/>
      <c r="AA733" s="54"/>
      <c r="AB733" s="54"/>
      <c r="AC733" s="54"/>
      <c r="AD733" s="54"/>
      <c r="AE733" s="54"/>
      <c r="AF733" s="54"/>
      <c r="AG733" s="54"/>
      <c r="AH733" s="54"/>
      <c r="AI733" s="54"/>
    </row>
    <row r="734" ht="14.25" customHeight="1">
      <c r="X734" s="54"/>
      <c r="Y734" s="54"/>
      <c r="Z734" s="54"/>
      <c r="AA734" s="54"/>
      <c r="AB734" s="54"/>
      <c r="AC734" s="54"/>
      <c r="AD734" s="54"/>
      <c r="AE734" s="54"/>
      <c r="AF734" s="54"/>
      <c r="AG734" s="54"/>
      <c r="AH734" s="54"/>
      <c r="AI734" s="54"/>
    </row>
    <row r="735" ht="14.25" customHeight="1">
      <c r="X735" s="54"/>
      <c r="Y735" s="54"/>
      <c r="Z735" s="54"/>
      <c r="AA735" s="54"/>
      <c r="AB735" s="54"/>
      <c r="AC735" s="54"/>
      <c r="AD735" s="54"/>
      <c r="AE735" s="54"/>
      <c r="AF735" s="54"/>
      <c r="AG735" s="54"/>
      <c r="AH735" s="54"/>
      <c r="AI735" s="54"/>
    </row>
    <row r="736" ht="14.25" customHeight="1">
      <c r="X736" s="54"/>
      <c r="Y736" s="54"/>
      <c r="Z736" s="54"/>
      <c r="AA736" s="54"/>
      <c r="AB736" s="54"/>
      <c r="AC736" s="54"/>
      <c r="AD736" s="54"/>
      <c r="AE736" s="54"/>
      <c r="AF736" s="54"/>
      <c r="AG736" s="54"/>
      <c r="AH736" s="54"/>
      <c r="AI736" s="54"/>
    </row>
    <row r="737" ht="14.25" customHeight="1">
      <c r="X737" s="54"/>
      <c r="Y737" s="54"/>
      <c r="Z737" s="54"/>
      <c r="AA737" s="54"/>
      <c r="AB737" s="54"/>
      <c r="AC737" s="54"/>
      <c r="AD737" s="54"/>
      <c r="AE737" s="54"/>
      <c r="AF737" s="54"/>
      <c r="AG737" s="54"/>
      <c r="AH737" s="54"/>
      <c r="AI737" s="54"/>
    </row>
    <row r="738" ht="14.25" customHeight="1">
      <c r="X738" s="54"/>
      <c r="Y738" s="54"/>
      <c r="Z738" s="54"/>
      <c r="AA738" s="54"/>
      <c r="AB738" s="54"/>
      <c r="AC738" s="54"/>
      <c r="AD738" s="54"/>
      <c r="AE738" s="54"/>
      <c r="AF738" s="54"/>
      <c r="AG738" s="54"/>
      <c r="AH738" s="54"/>
      <c r="AI738" s="54"/>
    </row>
    <row r="739" ht="14.25" customHeight="1">
      <c r="X739" s="54"/>
      <c r="Y739" s="54"/>
      <c r="Z739" s="54"/>
      <c r="AA739" s="54"/>
      <c r="AB739" s="54"/>
      <c r="AC739" s="54"/>
      <c r="AD739" s="54"/>
      <c r="AE739" s="54"/>
      <c r="AF739" s="54"/>
      <c r="AG739" s="54"/>
      <c r="AH739" s="54"/>
      <c r="AI739" s="54"/>
    </row>
    <row r="740" ht="14.25" customHeight="1">
      <c r="X740" s="54"/>
      <c r="Y740" s="54"/>
      <c r="Z740" s="54"/>
      <c r="AA740" s="54"/>
      <c r="AB740" s="54"/>
      <c r="AC740" s="54"/>
      <c r="AD740" s="54"/>
      <c r="AE740" s="54"/>
      <c r="AF740" s="54"/>
      <c r="AG740" s="54"/>
      <c r="AH740" s="54"/>
      <c r="AI740" s="54"/>
    </row>
    <row r="741" ht="14.25" customHeight="1">
      <c r="X741" s="54"/>
      <c r="Y741" s="54"/>
      <c r="Z741" s="54"/>
      <c r="AA741" s="54"/>
      <c r="AB741" s="54"/>
      <c r="AC741" s="54"/>
      <c r="AD741" s="54"/>
      <c r="AE741" s="54"/>
      <c r="AF741" s="54"/>
      <c r="AG741" s="54"/>
      <c r="AH741" s="54"/>
      <c r="AI741" s="54"/>
    </row>
    <row r="742" ht="14.25" customHeight="1">
      <c r="X742" s="54"/>
      <c r="Y742" s="54"/>
      <c r="Z742" s="54"/>
      <c r="AA742" s="54"/>
      <c r="AB742" s="54"/>
      <c r="AC742" s="54"/>
      <c r="AD742" s="54"/>
      <c r="AE742" s="54"/>
      <c r="AF742" s="54"/>
      <c r="AG742" s="54"/>
      <c r="AH742" s="54"/>
      <c r="AI742" s="54"/>
    </row>
    <row r="743" ht="14.25" customHeight="1">
      <c r="X743" s="54"/>
      <c r="Y743" s="54"/>
      <c r="Z743" s="54"/>
      <c r="AA743" s="54"/>
      <c r="AB743" s="54"/>
      <c r="AC743" s="54"/>
      <c r="AD743" s="54"/>
      <c r="AE743" s="54"/>
      <c r="AF743" s="54"/>
      <c r="AG743" s="54"/>
      <c r="AH743" s="54"/>
      <c r="AI743" s="54"/>
    </row>
    <row r="744" ht="14.25" customHeight="1">
      <c r="X744" s="54"/>
      <c r="Y744" s="54"/>
      <c r="Z744" s="54"/>
      <c r="AA744" s="54"/>
      <c r="AB744" s="54"/>
      <c r="AC744" s="54"/>
      <c r="AD744" s="54"/>
      <c r="AE744" s="54"/>
      <c r="AF744" s="54"/>
      <c r="AG744" s="54"/>
      <c r="AH744" s="54"/>
      <c r="AI744" s="54"/>
    </row>
    <row r="745" ht="14.25" customHeight="1">
      <c r="X745" s="54"/>
      <c r="Y745" s="54"/>
      <c r="Z745" s="54"/>
      <c r="AA745" s="54"/>
      <c r="AB745" s="54"/>
      <c r="AC745" s="54"/>
      <c r="AD745" s="54"/>
      <c r="AE745" s="54"/>
      <c r="AF745" s="54"/>
      <c r="AG745" s="54"/>
      <c r="AH745" s="54"/>
      <c r="AI745" s="54"/>
    </row>
    <row r="746" ht="14.25" customHeight="1">
      <c r="X746" s="54"/>
      <c r="Y746" s="54"/>
      <c r="Z746" s="54"/>
      <c r="AA746" s="54"/>
      <c r="AB746" s="54"/>
      <c r="AC746" s="54"/>
      <c r="AD746" s="54"/>
      <c r="AE746" s="54"/>
      <c r="AF746" s="54"/>
      <c r="AG746" s="54"/>
      <c r="AH746" s="54"/>
      <c r="AI746" s="54"/>
    </row>
    <row r="747" ht="14.25" customHeight="1">
      <c r="X747" s="54"/>
      <c r="Y747" s="54"/>
      <c r="Z747" s="54"/>
      <c r="AA747" s="54"/>
      <c r="AB747" s="54"/>
      <c r="AC747" s="54"/>
      <c r="AD747" s="54"/>
      <c r="AE747" s="54"/>
      <c r="AF747" s="54"/>
      <c r="AG747" s="54"/>
      <c r="AH747" s="54"/>
      <c r="AI747" s="54"/>
    </row>
    <row r="748" ht="14.25" customHeight="1">
      <c r="X748" s="54"/>
      <c r="Y748" s="54"/>
      <c r="Z748" s="54"/>
      <c r="AA748" s="54"/>
      <c r="AB748" s="54"/>
      <c r="AC748" s="54"/>
      <c r="AD748" s="54"/>
      <c r="AE748" s="54"/>
      <c r="AF748" s="54"/>
      <c r="AG748" s="54"/>
      <c r="AH748" s="54"/>
      <c r="AI748" s="54"/>
    </row>
    <row r="749" ht="14.25" customHeight="1">
      <c r="X749" s="54"/>
      <c r="Y749" s="54"/>
      <c r="Z749" s="54"/>
      <c r="AA749" s="54"/>
      <c r="AB749" s="54"/>
      <c r="AC749" s="54"/>
      <c r="AD749" s="54"/>
      <c r="AE749" s="54"/>
      <c r="AF749" s="54"/>
      <c r="AG749" s="54"/>
      <c r="AH749" s="54"/>
      <c r="AI749" s="54"/>
    </row>
    <row r="750" ht="14.25" customHeight="1">
      <c r="X750" s="54"/>
      <c r="Y750" s="54"/>
      <c r="Z750" s="54"/>
      <c r="AA750" s="54"/>
      <c r="AB750" s="54"/>
      <c r="AC750" s="54"/>
      <c r="AD750" s="54"/>
      <c r="AE750" s="54"/>
      <c r="AF750" s="54"/>
      <c r="AG750" s="54"/>
      <c r="AH750" s="54"/>
      <c r="AI750" s="54"/>
    </row>
    <row r="751" ht="14.25" customHeight="1">
      <c r="X751" s="54"/>
      <c r="Y751" s="54"/>
      <c r="Z751" s="54"/>
      <c r="AA751" s="54"/>
      <c r="AB751" s="54"/>
      <c r="AC751" s="54"/>
      <c r="AD751" s="54"/>
      <c r="AE751" s="54"/>
      <c r="AF751" s="54"/>
      <c r="AG751" s="54"/>
      <c r="AH751" s="54"/>
      <c r="AI751" s="54"/>
    </row>
    <row r="752" ht="14.25" customHeight="1">
      <c r="X752" s="54"/>
      <c r="Y752" s="54"/>
      <c r="Z752" s="54"/>
      <c r="AA752" s="54"/>
      <c r="AB752" s="54"/>
      <c r="AC752" s="54"/>
      <c r="AD752" s="54"/>
      <c r="AE752" s="54"/>
      <c r="AF752" s="54"/>
      <c r="AG752" s="54"/>
      <c r="AH752" s="54"/>
      <c r="AI752" s="54"/>
    </row>
    <row r="753" ht="14.25" customHeight="1">
      <c r="X753" s="54"/>
      <c r="Y753" s="54"/>
      <c r="Z753" s="54"/>
      <c r="AA753" s="54"/>
      <c r="AB753" s="54"/>
      <c r="AC753" s="54"/>
      <c r="AD753" s="54"/>
      <c r="AE753" s="54"/>
      <c r="AF753" s="54"/>
      <c r="AG753" s="54"/>
      <c r="AH753" s="54"/>
      <c r="AI753" s="54"/>
    </row>
    <row r="754" ht="14.25" customHeight="1">
      <c r="X754" s="54"/>
      <c r="Y754" s="54"/>
      <c r="Z754" s="54"/>
      <c r="AA754" s="54"/>
      <c r="AB754" s="54"/>
      <c r="AC754" s="54"/>
      <c r="AD754" s="54"/>
      <c r="AE754" s="54"/>
      <c r="AF754" s="54"/>
      <c r="AG754" s="54"/>
      <c r="AH754" s="54"/>
      <c r="AI754" s="54"/>
    </row>
    <row r="755" ht="14.25" customHeight="1">
      <c r="X755" s="54"/>
      <c r="Y755" s="54"/>
      <c r="Z755" s="54"/>
      <c r="AA755" s="54"/>
      <c r="AB755" s="54"/>
      <c r="AC755" s="54"/>
      <c r="AD755" s="54"/>
      <c r="AE755" s="54"/>
      <c r="AF755" s="54"/>
      <c r="AG755" s="54"/>
      <c r="AH755" s="54"/>
      <c r="AI755" s="54"/>
    </row>
    <row r="756" ht="14.25" customHeight="1">
      <c r="X756" s="54"/>
      <c r="Y756" s="54"/>
      <c r="Z756" s="54"/>
      <c r="AA756" s="54"/>
      <c r="AB756" s="54"/>
      <c r="AC756" s="54"/>
      <c r="AD756" s="54"/>
      <c r="AE756" s="54"/>
      <c r="AF756" s="54"/>
      <c r="AG756" s="54"/>
      <c r="AH756" s="54"/>
      <c r="AI756" s="54"/>
    </row>
    <row r="757" ht="14.25" customHeight="1">
      <c r="X757" s="54"/>
      <c r="Y757" s="54"/>
      <c r="Z757" s="54"/>
      <c r="AA757" s="54"/>
      <c r="AB757" s="54"/>
      <c r="AC757" s="54"/>
      <c r="AD757" s="54"/>
      <c r="AE757" s="54"/>
      <c r="AF757" s="54"/>
      <c r="AG757" s="54"/>
      <c r="AH757" s="54"/>
      <c r="AI757" s="54"/>
    </row>
    <row r="758" ht="14.25" customHeight="1">
      <c r="X758" s="54"/>
      <c r="Y758" s="54"/>
      <c r="Z758" s="54"/>
      <c r="AA758" s="54"/>
      <c r="AB758" s="54"/>
      <c r="AC758" s="54"/>
      <c r="AD758" s="54"/>
      <c r="AE758" s="54"/>
      <c r="AF758" s="54"/>
      <c r="AG758" s="54"/>
      <c r="AH758" s="54"/>
      <c r="AI758" s="54"/>
    </row>
    <row r="759" ht="14.25" customHeight="1">
      <c r="X759" s="54"/>
      <c r="Y759" s="54"/>
      <c r="Z759" s="54"/>
      <c r="AA759" s="54"/>
      <c r="AB759" s="54"/>
      <c r="AC759" s="54"/>
      <c r="AD759" s="54"/>
      <c r="AE759" s="54"/>
      <c r="AF759" s="54"/>
      <c r="AG759" s="54"/>
      <c r="AH759" s="54"/>
      <c r="AI759" s="54"/>
    </row>
    <row r="760" ht="14.25" customHeight="1">
      <c r="X760" s="54"/>
      <c r="Y760" s="54"/>
      <c r="Z760" s="54"/>
      <c r="AA760" s="54"/>
      <c r="AB760" s="54"/>
      <c r="AC760" s="54"/>
      <c r="AD760" s="54"/>
      <c r="AE760" s="54"/>
      <c r="AF760" s="54"/>
      <c r="AG760" s="54"/>
      <c r="AH760" s="54"/>
      <c r="AI760" s="54"/>
    </row>
    <row r="761" ht="14.25" customHeight="1">
      <c r="X761" s="54"/>
      <c r="Y761" s="54"/>
      <c r="Z761" s="54"/>
      <c r="AA761" s="54"/>
      <c r="AB761" s="54"/>
      <c r="AC761" s="54"/>
      <c r="AD761" s="54"/>
      <c r="AE761" s="54"/>
      <c r="AF761" s="54"/>
      <c r="AG761" s="54"/>
      <c r="AH761" s="54"/>
      <c r="AI761" s="54"/>
    </row>
    <row r="762" ht="14.25" customHeight="1">
      <c r="X762" s="54"/>
      <c r="Y762" s="54"/>
      <c r="Z762" s="54"/>
      <c r="AA762" s="54"/>
      <c r="AB762" s="54"/>
      <c r="AC762" s="54"/>
      <c r="AD762" s="54"/>
      <c r="AE762" s="54"/>
      <c r="AF762" s="54"/>
      <c r="AG762" s="54"/>
      <c r="AH762" s="54"/>
      <c r="AI762" s="54"/>
    </row>
    <row r="763" ht="14.25" customHeight="1">
      <c r="X763" s="54"/>
      <c r="Y763" s="54"/>
      <c r="Z763" s="54"/>
      <c r="AA763" s="54"/>
      <c r="AB763" s="54"/>
      <c r="AC763" s="54"/>
      <c r="AD763" s="54"/>
      <c r="AE763" s="54"/>
      <c r="AF763" s="54"/>
      <c r="AG763" s="54"/>
      <c r="AH763" s="54"/>
      <c r="AI763" s="54"/>
    </row>
    <row r="764" ht="14.25" customHeight="1">
      <c r="X764" s="54"/>
      <c r="Y764" s="54"/>
      <c r="Z764" s="54"/>
      <c r="AA764" s="54"/>
      <c r="AB764" s="54"/>
      <c r="AC764" s="54"/>
      <c r="AD764" s="54"/>
      <c r="AE764" s="54"/>
      <c r="AF764" s="54"/>
      <c r="AG764" s="54"/>
      <c r="AH764" s="54"/>
      <c r="AI764" s="54"/>
    </row>
    <row r="765" ht="14.25" customHeight="1">
      <c r="X765" s="54"/>
      <c r="Y765" s="54"/>
      <c r="Z765" s="54"/>
      <c r="AA765" s="54"/>
      <c r="AB765" s="54"/>
      <c r="AC765" s="54"/>
      <c r="AD765" s="54"/>
      <c r="AE765" s="54"/>
      <c r="AF765" s="54"/>
      <c r="AG765" s="54"/>
      <c r="AH765" s="54"/>
      <c r="AI765" s="54"/>
    </row>
    <row r="766" ht="14.25" customHeight="1">
      <c r="X766" s="54"/>
      <c r="Y766" s="54"/>
      <c r="Z766" s="54"/>
      <c r="AA766" s="54"/>
      <c r="AB766" s="54"/>
      <c r="AC766" s="54"/>
      <c r="AD766" s="54"/>
      <c r="AE766" s="54"/>
      <c r="AF766" s="54"/>
      <c r="AG766" s="54"/>
      <c r="AH766" s="54"/>
      <c r="AI766" s="54"/>
    </row>
    <row r="767" ht="14.25" customHeight="1">
      <c r="X767" s="54"/>
      <c r="Y767" s="54"/>
      <c r="Z767" s="54"/>
      <c r="AA767" s="54"/>
      <c r="AB767" s="54"/>
      <c r="AC767" s="54"/>
      <c r="AD767" s="54"/>
      <c r="AE767" s="54"/>
      <c r="AF767" s="54"/>
      <c r="AG767" s="54"/>
      <c r="AH767" s="54"/>
      <c r="AI767" s="54"/>
    </row>
    <row r="768" ht="14.25" customHeight="1">
      <c r="X768" s="54"/>
      <c r="Y768" s="54"/>
      <c r="Z768" s="54"/>
      <c r="AA768" s="54"/>
      <c r="AB768" s="54"/>
      <c r="AC768" s="54"/>
      <c r="AD768" s="54"/>
      <c r="AE768" s="54"/>
      <c r="AF768" s="54"/>
      <c r="AG768" s="54"/>
      <c r="AH768" s="54"/>
      <c r="AI768" s="54"/>
    </row>
    <row r="769" ht="14.25" customHeight="1">
      <c r="X769" s="54"/>
      <c r="Y769" s="54"/>
      <c r="Z769" s="54"/>
      <c r="AA769" s="54"/>
      <c r="AB769" s="54"/>
      <c r="AC769" s="54"/>
      <c r="AD769" s="54"/>
      <c r="AE769" s="54"/>
      <c r="AF769" s="54"/>
      <c r="AG769" s="54"/>
      <c r="AH769" s="54"/>
      <c r="AI769" s="54"/>
    </row>
    <row r="770" ht="14.25" customHeight="1">
      <c r="X770" s="54"/>
      <c r="Y770" s="54"/>
      <c r="Z770" s="54"/>
      <c r="AA770" s="54"/>
      <c r="AB770" s="54"/>
      <c r="AC770" s="54"/>
      <c r="AD770" s="54"/>
      <c r="AE770" s="54"/>
      <c r="AF770" s="54"/>
      <c r="AG770" s="54"/>
      <c r="AH770" s="54"/>
      <c r="AI770" s="54"/>
    </row>
    <row r="771" ht="14.25" customHeight="1">
      <c r="X771" s="54"/>
      <c r="Y771" s="54"/>
      <c r="Z771" s="54"/>
      <c r="AA771" s="54"/>
      <c r="AB771" s="54"/>
      <c r="AC771" s="54"/>
      <c r="AD771" s="54"/>
      <c r="AE771" s="54"/>
      <c r="AF771" s="54"/>
      <c r="AG771" s="54"/>
      <c r="AH771" s="54"/>
      <c r="AI771" s="54"/>
    </row>
    <row r="772" ht="14.25" customHeight="1">
      <c r="X772" s="54"/>
      <c r="Y772" s="54"/>
      <c r="Z772" s="54"/>
      <c r="AA772" s="54"/>
      <c r="AB772" s="54"/>
      <c r="AC772" s="54"/>
      <c r="AD772" s="54"/>
      <c r="AE772" s="54"/>
      <c r="AF772" s="54"/>
      <c r="AG772" s="54"/>
      <c r="AH772" s="54"/>
      <c r="AI772" s="54"/>
    </row>
    <row r="773" ht="14.25" customHeight="1">
      <c r="X773" s="54"/>
      <c r="Y773" s="54"/>
      <c r="Z773" s="54"/>
      <c r="AA773" s="54"/>
      <c r="AB773" s="54"/>
      <c r="AC773" s="54"/>
      <c r="AD773" s="54"/>
      <c r="AE773" s="54"/>
      <c r="AF773" s="54"/>
      <c r="AG773" s="54"/>
      <c r="AH773" s="54"/>
      <c r="AI773" s="54"/>
    </row>
    <row r="774" ht="14.25" customHeight="1">
      <c r="X774" s="54"/>
      <c r="Y774" s="54"/>
      <c r="Z774" s="54"/>
      <c r="AA774" s="54"/>
      <c r="AB774" s="54"/>
      <c r="AC774" s="54"/>
      <c r="AD774" s="54"/>
      <c r="AE774" s="54"/>
      <c r="AF774" s="54"/>
      <c r="AG774" s="54"/>
      <c r="AH774" s="54"/>
      <c r="AI774" s="54"/>
    </row>
    <row r="775" ht="14.25" customHeight="1">
      <c r="X775" s="54"/>
      <c r="Y775" s="54"/>
      <c r="Z775" s="54"/>
      <c r="AA775" s="54"/>
      <c r="AB775" s="54"/>
      <c r="AC775" s="54"/>
      <c r="AD775" s="54"/>
      <c r="AE775" s="54"/>
      <c r="AF775" s="54"/>
      <c r="AG775" s="54"/>
      <c r="AH775" s="54"/>
      <c r="AI775" s="54"/>
    </row>
    <row r="776" ht="14.25" customHeight="1">
      <c r="X776" s="54"/>
      <c r="Y776" s="54"/>
      <c r="Z776" s="54"/>
      <c r="AA776" s="54"/>
      <c r="AB776" s="54"/>
      <c r="AC776" s="54"/>
      <c r="AD776" s="54"/>
      <c r="AE776" s="54"/>
      <c r="AF776" s="54"/>
      <c r="AG776" s="54"/>
      <c r="AH776" s="54"/>
      <c r="AI776" s="54"/>
    </row>
    <row r="777" ht="14.25" customHeight="1">
      <c r="X777" s="54"/>
      <c r="Y777" s="54"/>
      <c r="Z777" s="54"/>
      <c r="AA777" s="54"/>
      <c r="AB777" s="54"/>
      <c r="AC777" s="54"/>
      <c r="AD777" s="54"/>
      <c r="AE777" s="54"/>
      <c r="AF777" s="54"/>
      <c r="AG777" s="54"/>
      <c r="AH777" s="54"/>
      <c r="AI777" s="54"/>
    </row>
    <row r="778" ht="14.25" customHeight="1">
      <c r="X778" s="54"/>
      <c r="Y778" s="54"/>
      <c r="Z778" s="54"/>
      <c r="AA778" s="54"/>
      <c r="AB778" s="54"/>
      <c r="AC778" s="54"/>
      <c r="AD778" s="54"/>
      <c r="AE778" s="54"/>
      <c r="AF778" s="54"/>
      <c r="AG778" s="54"/>
      <c r="AH778" s="54"/>
      <c r="AI778" s="54"/>
    </row>
    <row r="779" ht="14.25" customHeight="1">
      <c r="X779" s="54"/>
      <c r="Y779" s="54"/>
      <c r="Z779" s="54"/>
      <c r="AA779" s="54"/>
      <c r="AB779" s="54"/>
      <c r="AC779" s="54"/>
      <c r="AD779" s="54"/>
      <c r="AE779" s="54"/>
      <c r="AF779" s="54"/>
      <c r="AG779" s="54"/>
      <c r="AH779" s="54"/>
      <c r="AI779" s="54"/>
    </row>
    <row r="780" ht="14.25" customHeight="1">
      <c r="X780" s="54"/>
      <c r="Y780" s="54"/>
      <c r="Z780" s="54"/>
      <c r="AA780" s="54"/>
      <c r="AB780" s="54"/>
      <c r="AC780" s="54"/>
      <c r="AD780" s="54"/>
      <c r="AE780" s="54"/>
      <c r="AF780" s="54"/>
      <c r="AG780" s="54"/>
      <c r="AH780" s="54"/>
      <c r="AI780" s="54"/>
    </row>
    <row r="781" ht="14.25" customHeight="1">
      <c r="X781" s="54"/>
      <c r="Y781" s="54"/>
      <c r="Z781" s="54"/>
      <c r="AA781" s="54"/>
      <c r="AB781" s="54"/>
      <c r="AC781" s="54"/>
      <c r="AD781" s="54"/>
      <c r="AE781" s="54"/>
      <c r="AF781" s="54"/>
      <c r="AG781" s="54"/>
      <c r="AH781" s="54"/>
      <c r="AI781" s="54"/>
    </row>
    <row r="782" ht="14.25" customHeight="1">
      <c r="X782" s="54"/>
      <c r="Y782" s="54"/>
      <c r="Z782" s="54"/>
      <c r="AA782" s="54"/>
      <c r="AB782" s="54"/>
      <c r="AC782" s="54"/>
      <c r="AD782" s="54"/>
      <c r="AE782" s="54"/>
      <c r="AF782" s="54"/>
      <c r="AG782" s="54"/>
      <c r="AH782" s="54"/>
      <c r="AI782" s="54"/>
    </row>
    <row r="783" ht="14.25" customHeight="1">
      <c r="X783" s="54"/>
      <c r="Y783" s="54"/>
      <c r="Z783" s="54"/>
      <c r="AA783" s="54"/>
      <c r="AB783" s="54"/>
      <c r="AC783" s="54"/>
      <c r="AD783" s="54"/>
      <c r="AE783" s="54"/>
      <c r="AF783" s="54"/>
      <c r="AG783" s="54"/>
      <c r="AH783" s="54"/>
      <c r="AI783" s="54"/>
    </row>
    <row r="784" ht="14.25" customHeight="1">
      <c r="X784" s="54"/>
      <c r="Y784" s="54"/>
      <c r="Z784" s="54"/>
      <c r="AA784" s="54"/>
      <c r="AB784" s="54"/>
      <c r="AC784" s="54"/>
      <c r="AD784" s="54"/>
      <c r="AE784" s="54"/>
      <c r="AF784" s="54"/>
      <c r="AG784" s="54"/>
      <c r="AH784" s="54"/>
      <c r="AI784" s="54"/>
    </row>
    <row r="785" ht="14.25" customHeight="1">
      <c r="X785" s="54"/>
      <c r="Y785" s="54"/>
      <c r="Z785" s="54"/>
      <c r="AA785" s="54"/>
      <c r="AB785" s="54"/>
      <c r="AC785" s="54"/>
      <c r="AD785" s="54"/>
      <c r="AE785" s="54"/>
      <c r="AF785" s="54"/>
      <c r="AG785" s="54"/>
      <c r="AH785" s="54"/>
      <c r="AI785" s="54"/>
    </row>
    <row r="786" ht="14.25" customHeight="1">
      <c r="X786" s="54"/>
      <c r="Y786" s="54"/>
      <c r="Z786" s="54"/>
      <c r="AA786" s="54"/>
      <c r="AB786" s="54"/>
      <c r="AC786" s="54"/>
      <c r="AD786" s="54"/>
      <c r="AE786" s="54"/>
      <c r="AF786" s="54"/>
      <c r="AG786" s="54"/>
      <c r="AH786" s="54"/>
      <c r="AI786" s="54"/>
    </row>
    <row r="787" ht="14.25" customHeight="1">
      <c r="X787" s="54"/>
      <c r="Y787" s="54"/>
      <c r="Z787" s="54"/>
      <c r="AA787" s="54"/>
      <c r="AB787" s="54"/>
      <c r="AC787" s="54"/>
      <c r="AD787" s="54"/>
      <c r="AE787" s="54"/>
      <c r="AF787" s="54"/>
      <c r="AG787" s="54"/>
      <c r="AH787" s="54"/>
      <c r="AI787" s="54"/>
    </row>
    <row r="788" ht="14.25" customHeight="1">
      <c r="X788" s="54"/>
      <c r="Y788" s="54"/>
      <c r="Z788" s="54"/>
      <c r="AA788" s="54"/>
      <c r="AB788" s="54"/>
      <c r="AC788" s="54"/>
      <c r="AD788" s="54"/>
      <c r="AE788" s="54"/>
      <c r="AF788" s="54"/>
      <c r="AG788" s="54"/>
      <c r="AH788" s="54"/>
      <c r="AI788" s="54"/>
    </row>
    <row r="789" ht="14.25" customHeight="1">
      <c r="X789" s="54"/>
      <c r="Y789" s="54"/>
      <c r="Z789" s="54"/>
      <c r="AA789" s="54"/>
      <c r="AB789" s="54"/>
      <c r="AC789" s="54"/>
      <c r="AD789" s="54"/>
      <c r="AE789" s="54"/>
      <c r="AF789" s="54"/>
      <c r="AG789" s="54"/>
      <c r="AH789" s="54"/>
      <c r="AI789" s="54"/>
    </row>
    <row r="790" ht="14.25" customHeight="1">
      <c r="X790" s="54"/>
      <c r="Y790" s="54"/>
      <c r="Z790" s="54"/>
      <c r="AA790" s="54"/>
      <c r="AB790" s="54"/>
      <c r="AC790" s="54"/>
      <c r="AD790" s="54"/>
      <c r="AE790" s="54"/>
      <c r="AF790" s="54"/>
      <c r="AG790" s="54"/>
      <c r="AH790" s="54"/>
      <c r="AI790" s="54"/>
    </row>
    <row r="791" ht="14.25" customHeight="1">
      <c r="X791" s="54"/>
      <c r="Y791" s="54"/>
      <c r="Z791" s="54"/>
      <c r="AA791" s="54"/>
      <c r="AB791" s="54"/>
      <c r="AC791" s="54"/>
      <c r="AD791" s="54"/>
      <c r="AE791" s="54"/>
      <c r="AF791" s="54"/>
      <c r="AG791" s="54"/>
      <c r="AH791" s="54"/>
      <c r="AI791" s="54"/>
    </row>
    <row r="792" ht="14.25" customHeight="1">
      <c r="X792" s="54"/>
      <c r="Y792" s="54"/>
      <c r="Z792" s="54"/>
      <c r="AA792" s="54"/>
      <c r="AB792" s="54"/>
      <c r="AC792" s="54"/>
      <c r="AD792" s="54"/>
      <c r="AE792" s="54"/>
      <c r="AF792" s="54"/>
      <c r="AG792" s="54"/>
      <c r="AH792" s="54"/>
      <c r="AI792" s="54"/>
    </row>
    <row r="793" ht="14.25" customHeight="1">
      <c r="X793" s="54"/>
      <c r="Y793" s="54"/>
      <c r="Z793" s="54"/>
      <c r="AA793" s="54"/>
      <c r="AB793" s="54"/>
      <c r="AC793" s="54"/>
      <c r="AD793" s="54"/>
      <c r="AE793" s="54"/>
      <c r="AF793" s="54"/>
      <c r="AG793" s="54"/>
      <c r="AH793" s="54"/>
      <c r="AI793" s="54"/>
    </row>
    <row r="794" ht="14.25" customHeight="1">
      <c r="X794" s="54"/>
      <c r="Y794" s="54"/>
      <c r="Z794" s="54"/>
      <c r="AA794" s="54"/>
      <c r="AB794" s="54"/>
      <c r="AC794" s="54"/>
      <c r="AD794" s="54"/>
      <c r="AE794" s="54"/>
      <c r="AF794" s="54"/>
      <c r="AG794" s="54"/>
      <c r="AH794" s="54"/>
      <c r="AI794" s="54"/>
    </row>
    <row r="795" ht="14.25" customHeight="1">
      <c r="X795" s="54"/>
      <c r="Y795" s="54"/>
      <c r="Z795" s="54"/>
      <c r="AA795" s="54"/>
      <c r="AB795" s="54"/>
      <c r="AC795" s="54"/>
      <c r="AD795" s="54"/>
      <c r="AE795" s="54"/>
      <c r="AF795" s="54"/>
      <c r="AG795" s="54"/>
      <c r="AH795" s="54"/>
      <c r="AI795" s="54"/>
    </row>
    <row r="796" ht="14.25" customHeight="1">
      <c r="X796" s="54"/>
      <c r="Y796" s="54"/>
      <c r="Z796" s="54"/>
      <c r="AA796" s="54"/>
      <c r="AB796" s="54"/>
      <c r="AC796" s="54"/>
      <c r="AD796" s="54"/>
      <c r="AE796" s="54"/>
      <c r="AF796" s="54"/>
      <c r="AG796" s="54"/>
      <c r="AH796" s="54"/>
      <c r="AI796" s="54"/>
    </row>
    <row r="797" ht="14.25" customHeight="1">
      <c r="X797" s="54"/>
      <c r="Y797" s="54"/>
      <c r="Z797" s="54"/>
      <c r="AA797" s="54"/>
      <c r="AB797" s="54"/>
      <c r="AC797" s="54"/>
      <c r="AD797" s="54"/>
      <c r="AE797" s="54"/>
      <c r="AF797" s="54"/>
      <c r="AG797" s="54"/>
      <c r="AH797" s="54"/>
      <c r="AI797" s="54"/>
    </row>
    <row r="798" ht="14.25" customHeight="1">
      <c r="X798" s="54"/>
      <c r="Y798" s="54"/>
      <c r="Z798" s="54"/>
      <c r="AA798" s="54"/>
      <c r="AB798" s="54"/>
      <c r="AC798" s="54"/>
      <c r="AD798" s="54"/>
      <c r="AE798" s="54"/>
      <c r="AF798" s="54"/>
      <c r="AG798" s="54"/>
      <c r="AH798" s="54"/>
      <c r="AI798" s="54"/>
    </row>
    <row r="799" ht="14.25" customHeight="1">
      <c r="X799" s="54"/>
      <c r="Y799" s="54"/>
      <c r="Z799" s="54"/>
      <c r="AA799" s="54"/>
      <c r="AB799" s="54"/>
      <c r="AC799" s="54"/>
      <c r="AD799" s="54"/>
      <c r="AE799" s="54"/>
      <c r="AF799" s="54"/>
      <c r="AG799" s="54"/>
      <c r="AH799" s="54"/>
      <c r="AI799" s="54"/>
    </row>
    <row r="800" ht="14.25" customHeight="1">
      <c r="X800" s="54"/>
      <c r="Y800" s="54"/>
      <c r="Z800" s="54"/>
      <c r="AA800" s="54"/>
      <c r="AB800" s="54"/>
      <c r="AC800" s="54"/>
      <c r="AD800" s="54"/>
      <c r="AE800" s="54"/>
      <c r="AF800" s="54"/>
      <c r="AG800" s="54"/>
      <c r="AH800" s="54"/>
      <c r="AI800" s="54"/>
    </row>
    <row r="801" ht="14.25" customHeight="1">
      <c r="X801" s="54"/>
      <c r="Y801" s="54"/>
      <c r="Z801" s="54"/>
      <c r="AA801" s="54"/>
      <c r="AB801" s="54"/>
      <c r="AC801" s="54"/>
      <c r="AD801" s="54"/>
      <c r="AE801" s="54"/>
      <c r="AF801" s="54"/>
      <c r="AG801" s="54"/>
      <c r="AH801" s="54"/>
      <c r="AI801" s="54"/>
    </row>
    <row r="802" ht="14.25" customHeight="1">
      <c r="X802" s="54"/>
      <c r="Y802" s="54"/>
      <c r="Z802" s="54"/>
      <c r="AA802" s="54"/>
      <c r="AB802" s="54"/>
      <c r="AC802" s="54"/>
      <c r="AD802" s="54"/>
      <c r="AE802" s="54"/>
      <c r="AF802" s="54"/>
      <c r="AG802" s="54"/>
      <c r="AH802" s="54"/>
      <c r="AI802" s="54"/>
    </row>
    <row r="803" ht="14.25" customHeight="1">
      <c r="X803" s="54"/>
      <c r="Y803" s="54"/>
      <c r="Z803" s="54"/>
      <c r="AA803" s="54"/>
      <c r="AB803" s="54"/>
      <c r="AC803" s="54"/>
      <c r="AD803" s="54"/>
      <c r="AE803" s="54"/>
      <c r="AF803" s="54"/>
      <c r="AG803" s="54"/>
      <c r="AH803" s="54"/>
      <c r="AI803" s="54"/>
    </row>
    <row r="804" ht="14.25" customHeight="1">
      <c r="X804" s="54"/>
      <c r="Y804" s="54"/>
      <c r="Z804" s="54"/>
      <c r="AA804" s="54"/>
      <c r="AB804" s="54"/>
      <c r="AC804" s="54"/>
      <c r="AD804" s="54"/>
      <c r="AE804" s="54"/>
      <c r="AF804" s="54"/>
      <c r="AG804" s="54"/>
      <c r="AH804" s="54"/>
      <c r="AI804" s="54"/>
    </row>
    <row r="805" ht="14.25" customHeight="1">
      <c r="X805" s="54"/>
      <c r="Y805" s="54"/>
      <c r="Z805" s="54"/>
      <c r="AA805" s="54"/>
      <c r="AB805" s="54"/>
      <c r="AC805" s="54"/>
      <c r="AD805" s="54"/>
      <c r="AE805" s="54"/>
      <c r="AF805" s="54"/>
      <c r="AG805" s="54"/>
      <c r="AH805" s="54"/>
      <c r="AI805" s="54"/>
    </row>
    <row r="806" ht="14.25" customHeight="1">
      <c r="X806" s="54"/>
      <c r="Y806" s="54"/>
      <c r="Z806" s="54"/>
      <c r="AA806" s="54"/>
      <c r="AB806" s="54"/>
      <c r="AC806" s="54"/>
      <c r="AD806" s="54"/>
      <c r="AE806" s="54"/>
      <c r="AF806" s="54"/>
      <c r="AG806" s="54"/>
      <c r="AH806" s="54"/>
      <c r="AI806" s="54"/>
    </row>
    <row r="807" ht="14.25" customHeight="1">
      <c r="X807" s="54"/>
      <c r="Y807" s="54"/>
      <c r="Z807" s="54"/>
      <c r="AA807" s="54"/>
      <c r="AB807" s="54"/>
      <c r="AC807" s="54"/>
      <c r="AD807" s="54"/>
      <c r="AE807" s="54"/>
      <c r="AF807" s="54"/>
      <c r="AG807" s="54"/>
      <c r="AH807" s="54"/>
      <c r="AI807" s="54"/>
    </row>
    <row r="808" ht="14.25" customHeight="1">
      <c r="X808" s="54"/>
      <c r="Y808" s="54"/>
      <c r="Z808" s="54"/>
      <c r="AA808" s="54"/>
      <c r="AB808" s="54"/>
      <c r="AC808" s="54"/>
      <c r="AD808" s="54"/>
      <c r="AE808" s="54"/>
      <c r="AF808" s="54"/>
      <c r="AG808" s="54"/>
      <c r="AH808" s="54"/>
      <c r="AI808" s="54"/>
    </row>
    <row r="809" ht="14.25" customHeight="1">
      <c r="X809" s="54"/>
      <c r="Y809" s="54"/>
      <c r="Z809" s="54"/>
      <c r="AA809" s="54"/>
      <c r="AB809" s="54"/>
      <c r="AC809" s="54"/>
      <c r="AD809" s="54"/>
      <c r="AE809" s="54"/>
      <c r="AF809" s="54"/>
      <c r="AG809" s="54"/>
      <c r="AH809" s="54"/>
      <c r="AI809" s="54"/>
    </row>
    <row r="810" ht="14.25" customHeight="1">
      <c r="X810" s="54"/>
      <c r="Y810" s="54"/>
      <c r="Z810" s="54"/>
      <c r="AA810" s="54"/>
      <c r="AB810" s="54"/>
      <c r="AC810" s="54"/>
      <c r="AD810" s="54"/>
      <c r="AE810" s="54"/>
      <c r="AF810" s="54"/>
      <c r="AG810" s="54"/>
      <c r="AH810" s="54"/>
      <c r="AI810" s="54"/>
    </row>
    <row r="811" ht="14.25" customHeight="1">
      <c r="X811" s="54"/>
      <c r="Y811" s="54"/>
      <c r="Z811" s="54"/>
      <c r="AA811" s="54"/>
      <c r="AB811" s="54"/>
      <c r="AC811" s="54"/>
      <c r="AD811" s="54"/>
      <c r="AE811" s="54"/>
      <c r="AF811" s="54"/>
      <c r="AG811" s="54"/>
      <c r="AH811" s="54"/>
      <c r="AI811" s="54"/>
    </row>
    <row r="812" ht="14.25" customHeight="1">
      <c r="X812" s="54"/>
      <c r="Y812" s="54"/>
      <c r="Z812" s="54"/>
      <c r="AA812" s="54"/>
      <c r="AB812" s="54"/>
      <c r="AC812" s="54"/>
      <c r="AD812" s="54"/>
      <c r="AE812" s="54"/>
      <c r="AF812" s="54"/>
      <c r="AG812" s="54"/>
      <c r="AH812" s="54"/>
      <c r="AI812" s="54"/>
    </row>
    <row r="813" ht="14.25" customHeight="1">
      <c r="X813" s="54"/>
      <c r="Y813" s="54"/>
      <c r="Z813" s="54"/>
      <c r="AA813" s="54"/>
      <c r="AB813" s="54"/>
      <c r="AC813" s="54"/>
      <c r="AD813" s="54"/>
      <c r="AE813" s="54"/>
      <c r="AF813" s="54"/>
      <c r="AG813" s="54"/>
      <c r="AH813" s="54"/>
      <c r="AI813" s="54"/>
    </row>
    <row r="814" ht="14.25" customHeight="1">
      <c r="X814" s="54"/>
      <c r="Y814" s="54"/>
      <c r="Z814" s="54"/>
      <c r="AA814" s="54"/>
      <c r="AB814" s="54"/>
      <c r="AC814" s="54"/>
      <c r="AD814" s="54"/>
      <c r="AE814" s="54"/>
      <c r="AF814" s="54"/>
      <c r="AG814" s="54"/>
      <c r="AH814" s="54"/>
      <c r="AI814" s="54"/>
    </row>
    <row r="815" ht="14.25" customHeight="1">
      <c r="X815" s="54"/>
      <c r="Y815" s="54"/>
      <c r="Z815" s="54"/>
      <c r="AA815" s="54"/>
      <c r="AB815" s="54"/>
      <c r="AC815" s="54"/>
      <c r="AD815" s="54"/>
      <c r="AE815" s="54"/>
      <c r="AF815" s="54"/>
      <c r="AG815" s="54"/>
      <c r="AH815" s="54"/>
      <c r="AI815" s="54"/>
    </row>
    <row r="816" ht="14.25" customHeight="1">
      <c r="X816" s="54"/>
      <c r="Y816" s="54"/>
      <c r="Z816" s="54"/>
      <c r="AA816" s="54"/>
      <c r="AB816" s="54"/>
      <c r="AC816" s="54"/>
      <c r="AD816" s="54"/>
      <c r="AE816" s="54"/>
      <c r="AF816" s="54"/>
      <c r="AG816" s="54"/>
      <c r="AH816" s="54"/>
      <c r="AI816" s="54"/>
    </row>
    <row r="817" ht="14.25" customHeight="1">
      <c r="X817" s="54"/>
      <c r="Y817" s="54"/>
      <c r="Z817" s="54"/>
      <c r="AA817" s="54"/>
      <c r="AB817" s="54"/>
      <c r="AC817" s="54"/>
      <c r="AD817" s="54"/>
      <c r="AE817" s="54"/>
      <c r="AF817" s="54"/>
      <c r="AG817" s="54"/>
      <c r="AH817" s="54"/>
      <c r="AI817" s="54"/>
    </row>
    <row r="818" ht="14.25" customHeight="1">
      <c r="X818" s="54"/>
      <c r="Y818" s="54"/>
      <c r="Z818" s="54"/>
      <c r="AA818" s="54"/>
      <c r="AB818" s="54"/>
      <c r="AC818" s="54"/>
      <c r="AD818" s="54"/>
      <c r="AE818" s="54"/>
      <c r="AF818" s="54"/>
      <c r="AG818" s="54"/>
      <c r="AH818" s="54"/>
      <c r="AI818" s="54"/>
    </row>
    <row r="819" ht="14.25" customHeight="1">
      <c r="X819" s="54"/>
      <c r="Y819" s="54"/>
      <c r="Z819" s="54"/>
      <c r="AA819" s="54"/>
      <c r="AB819" s="54"/>
      <c r="AC819" s="54"/>
      <c r="AD819" s="54"/>
      <c r="AE819" s="54"/>
      <c r="AF819" s="54"/>
      <c r="AG819" s="54"/>
      <c r="AH819" s="54"/>
      <c r="AI819" s="54"/>
    </row>
    <row r="820" ht="14.25" customHeight="1">
      <c r="X820" s="54"/>
      <c r="Y820" s="54"/>
      <c r="Z820" s="54"/>
      <c r="AA820" s="54"/>
      <c r="AB820" s="54"/>
      <c r="AC820" s="54"/>
      <c r="AD820" s="54"/>
      <c r="AE820" s="54"/>
      <c r="AF820" s="54"/>
      <c r="AG820" s="54"/>
      <c r="AH820" s="54"/>
      <c r="AI820" s="54"/>
    </row>
    <row r="821" ht="14.25" customHeight="1">
      <c r="X821" s="54"/>
      <c r="Y821" s="54"/>
      <c r="Z821" s="54"/>
      <c r="AA821" s="54"/>
      <c r="AB821" s="54"/>
      <c r="AC821" s="54"/>
      <c r="AD821" s="54"/>
      <c r="AE821" s="54"/>
      <c r="AF821" s="54"/>
      <c r="AG821" s="54"/>
      <c r="AH821" s="54"/>
      <c r="AI821" s="54"/>
    </row>
    <row r="822" ht="14.25" customHeight="1">
      <c r="X822" s="54"/>
      <c r="Y822" s="54"/>
      <c r="Z822" s="54"/>
      <c r="AA822" s="54"/>
      <c r="AB822" s="54"/>
      <c r="AC822" s="54"/>
      <c r="AD822" s="54"/>
      <c r="AE822" s="54"/>
      <c r="AF822" s="54"/>
      <c r="AG822" s="54"/>
      <c r="AH822" s="54"/>
      <c r="AI822" s="54"/>
    </row>
    <row r="823" ht="14.25" customHeight="1">
      <c r="X823" s="54"/>
      <c r="Y823" s="54"/>
      <c r="Z823" s="54"/>
      <c r="AA823" s="54"/>
      <c r="AB823" s="54"/>
      <c r="AC823" s="54"/>
      <c r="AD823" s="54"/>
      <c r="AE823" s="54"/>
      <c r="AF823" s="54"/>
      <c r="AG823" s="54"/>
      <c r="AH823" s="54"/>
      <c r="AI823" s="54"/>
    </row>
    <row r="824" ht="14.25" customHeight="1">
      <c r="X824" s="54"/>
      <c r="Y824" s="54"/>
      <c r="Z824" s="54"/>
      <c r="AA824" s="54"/>
      <c r="AB824" s="54"/>
      <c r="AC824" s="54"/>
      <c r="AD824" s="54"/>
      <c r="AE824" s="54"/>
      <c r="AF824" s="54"/>
      <c r="AG824" s="54"/>
      <c r="AH824" s="54"/>
      <c r="AI824" s="54"/>
    </row>
    <row r="825" ht="14.25" customHeight="1">
      <c r="X825" s="54"/>
      <c r="Y825" s="54"/>
      <c r="Z825" s="54"/>
      <c r="AA825" s="54"/>
      <c r="AB825" s="54"/>
      <c r="AC825" s="54"/>
      <c r="AD825" s="54"/>
      <c r="AE825" s="54"/>
      <c r="AF825" s="54"/>
      <c r="AG825" s="54"/>
      <c r="AH825" s="54"/>
      <c r="AI825" s="54"/>
    </row>
    <row r="826" ht="14.25" customHeight="1">
      <c r="X826" s="54"/>
      <c r="Y826" s="54"/>
      <c r="Z826" s="54"/>
      <c r="AA826" s="54"/>
      <c r="AB826" s="54"/>
      <c r="AC826" s="54"/>
      <c r="AD826" s="54"/>
      <c r="AE826" s="54"/>
      <c r="AF826" s="54"/>
      <c r="AG826" s="54"/>
      <c r="AH826" s="54"/>
      <c r="AI826" s="54"/>
    </row>
    <row r="827" ht="14.25" customHeight="1">
      <c r="X827" s="54"/>
      <c r="Y827" s="54"/>
      <c r="Z827" s="54"/>
      <c r="AA827" s="54"/>
      <c r="AB827" s="54"/>
      <c r="AC827" s="54"/>
      <c r="AD827" s="54"/>
      <c r="AE827" s="54"/>
      <c r="AF827" s="54"/>
      <c r="AG827" s="54"/>
      <c r="AH827" s="54"/>
      <c r="AI827" s="54"/>
    </row>
    <row r="828" ht="14.25" customHeight="1">
      <c r="X828" s="54"/>
      <c r="Y828" s="54"/>
      <c r="Z828" s="54"/>
      <c r="AA828" s="54"/>
      <c r="AB828" s="54"/>
      <c r="AC828" s="54"/>
      <c r="AD828" s="54"/>
      <c r="AE828" s="54"/>
      <c r="AF828" s="54"/>
      <c r="AG828" s="54"/>
      <c r="AH828" s="54"/>
      <c r="AI828" s="54"/>
    </row>
    <row r="829" ht="14.25" customHeight="1">
      <c r="X829" s="54"/>
      <c r="Y829" s="54"/>
      <c r="Z829" s="54"/>
      <c r="AA829" s="54"/>
      <c r="AB829" s="54"/>
      <c r="AC829" s="54"/>
      <c r="AD829" s="54"/>
      <c r="AE829" s="54"/>
      <c r="AF829" s="54"/>
      <c r="AG829" s="54"/>
      <c r="AH829" s="54"/>
      <c r="AI829" s="54"/>
    </row>
    <row r="830" ht="14.25" customHeight="1">
      <c r="X830" s="54"/>
      <c r="Y830" s="54"/>
      <c r="Z830" s="54"/>
      <c r="AA830" s="54"/>
      <c r="AB830" s="54"/>
      <c r="AC830" s="54"/>
      <c r="AD830" s="54"/>
      <c r="AE830" s="54"/>
      <c r="AF830" s="54"/>
      <c r="AG830" s="54"/>
      <c r="AH830" s="54"/>
      <c r="AI830" s="54"/>
    </row>
    <row r="831" ht="14.25" customHeight="1">
      <c r="X831" s="54"/>
      <c r="Y831" s="54"/>
      <c r="Z831" s="54"/>
      <c r="AA831" s="54"/>
      <c r="AB831" s="54"/>
      <c r="AC831" s="54"/>
      <c r="AD831" s="54"/>
      <c r="AE831" s="54"/>
      <c r="AF831" s="54"/>
      <c r="AG831" s="54"/>
      <c r="AH831" s="54"/>
      <c r="AI831" s="54"/>
    </row>
    <row r="832" ht="14.25" customHeight="1">
      <c r="X832" s="54"/>
      <c r="Y832" s="54"/>
      <c r="Z832" s="54"/>
      <c r="AA832" s="54"/>
      <c r="AB832" s="54"/>
      <c r="AC832" s="54"/>
      <c r="AD832" s="54"/>
      <c r="AE832" s="54"/>
      <c r="AF832" s="54"/>
      <c r="AG832" s="54"/>
      <c r="AH832" s="54"/>
      <c r="AI832" s="54"/>
    </row>
    <row r="833" ht="14.25" customHeight="1">
      <c r="X833" s="54"/>
      <c r="Y833" s="54"/>
      <c r="Z833" s="54"/>
      <c r="AA833" s="54"/>
      <c r="AB833" s="54"/>
      <c r="AC833" s="54"/>
      <c r="AD833" s="54"/>
      <c r="AE833" s="54"/>
      <c r="AF833" s="54"/>
      <c r="AG833" s="54"/>
      <c r="AH833" s="54"/>
      <c r="AI833" s="54"/>
    </row>
    <row r="834" ht="14.25" customHeight="1">
      <c r="X834" s="54"/>
      <c r="Y834" s="54"/>
      <c r="Z834" s="54"/>
      <c r="AA834" s="54"/>
      <c r="AB834" s="54"/>
      <c r="AC834" s="54"/>
      <c r="AD834" s="54"/>
      <c r="AE834" s="54"/>
      <c r="AF834" s="54"/>
      <c r="AG834" s="54"/>
      <c r="AH834" s="54"/>
      <c r="AI834" s="54"/>
    </row>
    <row r="835" ht="14.25" customHeight="1">
      <c r="X835" s="54"/>
      <c r="Y835" s="54"/>
      <c r="Z835" s="54"/>
      <c r="AA835" s="54"/>
      <c r="AB835" s="54"/>
      <c r="AC835" s="54"/>
      <c r="AD835" s="54"/>
      <c r="AE835" s="54"/>
      <c r="AF835" s="54"/>
      <c r="AG835" s="54"/>
      <c r="AH835" s="54"/>
      <c r="AI835" s="54"/>
    </row>
    <row r="836" ht="14.25" customHeight="1">
      <c r="X836" s="54"/>
      <c r="Y836" s="54"/>
      <c r="Z836" s="54"/>
      <c r="AA836" s="54"/>
      <c r="AB836" s="54"/>
      <c r="AC836" s="54"/>
      <c r="AD836" s="54"/>
      <c r="AE836" s="54"/>
      <c r="AF836" s="54"/>
      <c r="AG836" s="54"/>
      <c r="AH836" s="54"/>
      <c r="AI836" s="54"/>
    </row>
    <row r="837" ht="14.25" customHeight="1">
      <c r="X837" s="54"/>
      <c r="Y837" s="54"/>
      <c r="Z837" s="54"/>
      <c r="AA837" s="54"/>
      <c r="AB837" s="54"/>
      <c r="AC837" s="54"/>
      <c r="AD837" s="54"/>
      <c r="AE837" s="54"/>
      <c r="AF837" s="54"/>
      <c r="AG837" s="54"/>
      <c r="AH837" s="54"/>
      <c r="AI837" s="54"/>
    </row>
    <row r="838" ht="14.25" customHeight="1">
      <c r="X838" s="54"/>
      <c r="Y838" s="54"/>
      <c r="Z838" s="54"/>
      <c r="AA838" s="54"/>
      <c r="AB838" s="54"/>
      <c r="AC838" s="54"/>
      <c r="AD838" s="54"/>
      <c r="AE838" s="54"/>
      <c r="AF838" s="54"/>
      <c r="AG838" s="54"/>
      <c r="AH838" s="54"/>
      <c r="AI838" s="54"/>
    </row>
    <row r="839" ht="14.25" customHeight="1">
      <c r="X839" s="54"/>
      <c r="Y839" s="54"/>
      <c r="Z839" s="54"/>
      <c r="AA839" s="54"/>
      <c r="AB839" s="54"/>
      <c r="AC839" s="54"/>
      <c r="AD839" s="54"/>
      <c r="AE839" s="54"/>
      <c r="AF839" s="54"/>
      <c r="AG839" s="54"/>
      <c r="AH839" s="54"/>
      <c r="AI839" s="54"/>
    </row>
    <row r="840" ht="14.25" customHeight="1">
      <c r="X840" s="54"/>
      <c r="Y840" s="54"/>
      <c r="Z840" s="54"/>
      <c r="AA840" s="54"/>
      <c r="AB840" s="54"/>
      <c r="AC840" s="54"/>
      <c r="AD840" s="54"/>
      <c r="AE840" s="54"/>
      <c r="AF840" s="54"/>
      <c r="AG840" s="54"/>
      <c r="AH840" s="54"/>
      <c r="AI840" s="54"/>
    </row>
    <row r="841" ht="14.25" customHeight="1">
      <c r="X841" s="54"/>
      <c r="Y841" s="54"/>
      <c r="Z841" s="54"/>
      <c r="AA841" s="54"/>
      <c r="AB841" s="54"/>
      <c r="AC841" s="54"/>
      <c r="AD841" s="54"/>
      <c r="AE841" s="54"/>
      <c r="AF841" s="54"/>
      <c r="AG841" s="54"/>
      <c r="AH841" s="54"/>
      <c r="AI841" s="54"/>
    </row>
    <row r="842" ht="14.25" customHeight="1">
      <c r="X842" s="54"/>
      <c r="Y842" s="54"/>
      <c r="Z842" s="54"/>
      <c r="AA842" s="54"/>
      <c r="AB842" s="54"/>
      <c r="AC842" s="54"/>
      <c r="AD842" s="54"/>
      <c r="AE842" s="54"/>
      <c r="AF842" s="54"/>
      <c r="AG842" s="54"/>
      <c r="AH842" s="54"/>
      <c r="AI842" s="54"/>
    </row>
    <row r="843" ht="14.25" customHeight="1">
      <c r="X843" s="54"/>
      <c r="Y843" s="54"/>
      <c r="Z843" s="54"/>
      <c r="AA843" s="54"/>
      <c r="AB843" s="54"/>
      <c r="AC843" s="54"/>
      <c r="AD843" s="54"/>
      <c r="AE843" s="54"/>
      <c r="AF843" s="54"/>
      <c r="AG843" s="54"/>
      <c r="AH843" s="54"/>
      <c r="AI843" s="54"/>
    </row>
    <row r="844" ht="14.25" customHeight="1">
      <c r="X844" s="54"/>
      <c r="Y844" s="54"/>
      <c r="Z844" s="54"/>
      <c r="AA844" s="54"/>
      <c r="AB844" s="54"/>
      <c r="AC844" s="54"/>
      <c r="AD844" s="54"/>
      <c r="AE844" s="54"/>
      <c r="AF844" s="54"/>
      <c r="AG844" s="54"/>
      <c r="AH844" s="54"/>
      <c r="AI844" s="54"/>
    </row>
    <row r="845" ht="14.25" customHeight="1">
      <c r="X845" s="54"/>
      <c r="Y845" s="54"/>
      <c r="Z845" s="54"/>
      <c r="AA845" s="54"/>
      <c r="AB845" s="54"/>
      <c r="AC845" s="54"/>
      <c r="AD845" s="54"/>
      <c r="AE845" s="54"/>
      <c r="AF845" s="54"/>
      <c r="AG845" s="54"/>
      <c r="AH845" s="54"/>
      <c r="AI845" s="54"/>
    </row>
    <row r="846" ht="14.25" customHeight="1">
      <c r="X846" s="54"/>
      <c r="Y846" s="54"/>
      <c r="Z846" s="54"/>
      <c r="AA846" s="54"/>
      <c r="AB846" s="54"/>
      <c r="AC846" s="54"/>
      <c r="AD846" s="54"/>
      <c r="AE846" s="54"/>
      <c r="AF846" s="54"/>
      <c r="AG846" s="54"/>
      <c r="AH846" s="54"/>
      <c r="AI846" s="54"/>
    </row>
    <row r="847" ht="14.25" customHeight="1">
      <c r="X847" s="54"/>
      <c r="Y847" s="54"/>
      <c r="Z847" s="54"/>
      <c r="AA847" s="54"/>
      <c r="AB847" s="54"/>
      <c r="AC847" s="54"/>
      <c r="AD847" s="54"/>
      <c r="AE847" s="54"/>
      <c r="AF847" s="54"/>
      <c r="AG847" s="54"/>
      <c r="AH847" s="54"/>
      <c r="AI847" s="54"/>
    </row>
    <row r="848" ht="14.25" customHeight="1">
      <c r="X848" s="54"/>
      <c r="Y848" s="54"/>
      <c r="Z848" s="54"/>
      <c r="AA848" s="54"/>
      <c r="AB848" s="54"/>
      <c r="AC848" s="54"/>
      <c r="AD848" s="54"/>
      <c r="AE848" s="54"/>
      <c r="AF848" s="54"/>
      <c r="AG848" s="54"/>
      <c r="AH848" s="54"/>
      <c r="AI848" s="54"/>
    </row>
    <row r="849" ht="14.25" customHeight="1">
      <c r="X849" s="54"/>
      <c r="Y849" s="54"/>
      <c r="Z849" s="54"/>
      <c r="AA849" s="54"/>
      <c r="AB849" s="54"/>
      <c r="AC849" s="54"/>
      <c r="AD849" s="54"/>
      <c r="AE849" s="54"/>
      <c r="AF849" s="54"/>
      <c r="AG849" s="54"/>
      <c r="AH849" s="54"/>
      <c r="AI849" s="54"/>
    </row>
    <row r="850" ht="14.25" customHeight="1">
      <c r="X850" s="54"/>
      <c r="Y850" s="54"/>
      <c r="Z850" s="54"/>
      <c r="AA850" s="54"/>
      <c r="AB850" s="54"/>
      <c r="AC850" s="54"/>
      <c r="AD850" s="54"/>
      <c r="AE850" s="54"/>
      <c r="AF850" s="54"/>
      <c r="AG850" s="54"/>
      <c r="AH850" s="54"/>
      <c r="AI850" s="54"/>
    </row>
    <row r="851" ht="14.25" customHeight="1">
      <c r="X851" s="54"/>
      <c r="Y851" s="54"/>
      <c r="Z851" s="54"/>
      <c r="AA851" s="54"/>
      <c r="AB851" s="54"/>
      <c r="AC851" s="54"/>
      <c r="AD851" s="54"/>
      <c r="AE851" s="54"/>
      <c r="AF851" s="54"/>
      <c r="AG851" s="54"/>
      <c r="AH851" s="54"/>
      <c r="AI851" s="54"/>
    </row>
    <row r="852" ht="14.25" customHeight="1">
      <c r="X852" s="54"/>
      <c r="Y852" s="54"/>
      <c r="Z852" s="54"/>
      <c r="AA852" s="54"/>
      <c r="AB852" s="54"/>
      <c r="AC852" s="54"/>
      <c r="AD852" s="54"/>
      <c r="AE852" s="54"/>
      <c r="AF852" s="54"/>
      <c r="AG852" s="54"/>
      <c r="AH852" s="54"/>
      <c r="AI852" s="54"/>
    </row>
    <row r="853" ht="14.25" customHeight="1">
      <c r="X853" s="54"/>
      <c r="Y853" s="54"/>
      <c r="Z853" s="54"/>
      <c r="AA853" s="54"/>
      <c r="AB853" s="54"/>
      <c r="AC853" s="54"/>
      <c r="AD853" s="54"/>
      <c r="AE853" s="54"/>
      <c r="AF853" s="54"/>
      <c r="AG853" s="54"/>
      <c r="AH853" s="54"/>
      <c r="AI853" s="54"/>
    </row>
    <row r="854" ht="14.25" customHeight="1">
      <c r="X854" s="54"/>
      <c r="Y854" s="54"/>
      <c r="Z854" s="54"/>
      <c r="AA854" s="54"/>
      <c r="AB854" s="54"/>
      <c r="AC854" s="54"/>
      <c r="AD854" s="54"/>
      <c r="AE854" s="54"/>
      <c r="AF854" s="54"/>
      <c r="AG854" s="54"/>
      <c r="AH854" s="54"/>
      <c r="AI854" s="54"/>
    </row>
    <row r="855" ht="14.25" customHeight="1">
      <c r="X855" s="54"/>
      <c r="Y855" s="54"/>
      <c r="Z855" s="54"/>
      <c r="AA855" s="54"/>
      <c r="AB855" s="54"/>
      <c r="AC855" s="54"/>
      <c r="AD855" s="54"/>
      <c r="AE855" s="54"/>
      <c r="AF855" s="54"/>
      <c r="AG855" s="54"/>
      <c r="AH855" s="54"/>
      <c r="AI855" s="54"/>
    </row>
    <row r="856" ht="14.25" customHeight="1">
      <c r="X856" s="54"/>
      <c r="Y856" s="54"/>
      <c r="Z856" s="54"/>
      <c r="AA856" s="54"/>
      <c r="AB856" s="54"/>
      <c r="AC856" s="54"/>
      <c r="AD856" s="54"/>
      <c r="AE856" s="54"/>
      <c r="AF856" s="54"/>
      <c r="AG856" s="54"/>
      <c r="AH856" s="54"/>
      <c r="AI856" s="54"/>
    </row>
    <row r="857" ht="14.25" customHeight="1">
      <c r="X857" s="54"/>
      <c r="Y857" s="54"/>
      <c r="Z857" s="54"/>
      <c r="AA857" s="54"/>
      <c r="AB857" s="54"/>
      <c r="AC857" s="54"/>
      <c r="AD857" s="54"/>
      <c r="AE857" s="54"/>
      <c r="AF857" s="54"/>
      <c r="AG857" s="54"/>
      <c r="AH857" s="54"/>
      <c r="AI857" s="54"/>
    </row>
    <row r="858" ht="14.25" customHeight="1">
      <c r="X858" s="54"/>
      <c r="Y858" s="54"/>
      <c r="Z858" s="54"/>
      <c r="AA858" s="54"/>
      <c r="AB858" s="54"/>
      <c r="AC858" s="54"/>
      <c r="AD858" s="54"/>
      <c r="AE858" s="54"/>
      <c r="AF858" s="54"/>
      <c r="AG858" s="54"/>
      <c r="AH858" s="54"/>
      <c r="AI858" s="54"/>
    </row>
    <row r="859" ht="14.25" customHeight="1">
      <c r="X859" s="54"/>
      <c r="Y859" s="54"/>
      <c r="Z859" s="54"/>
      <c r="AA859" s="54"/>
      <c r="AB859" s="54"/>
      <c r="AC859" s="54"/>
      <c r="AD859" s="54"/>
      <c r="AE859" s="54"/>
      <c r="AF859" s="54"/>
      <c r="AG859" s="54"/>
      <c r="AH859" s="54"/>
      <c r="AI859" s="54"/>
    </row>
    <row r="860" ht="14.25" customHeight="1">
      <c r="X860" s="54"/>
      <c r="Y860" s="54"/>
      <c r="Z860" s="54"/>
      <c r="AA860" s="54"/>
      <c r="AB860" s="54"/>
      <c r="AC860" s="54"/>
      <c r="AD860" s="54"/>
      <c r="AE860" s="54"/>
      <c r="AF860" s="54"/>
      <c r="AG860" s="54"/>
      <c r="AH860" s="54"/>
      <c r="AI860" s="54"/>
    </row>
    <row r="861" ht="14.25" customHeight="1">
      <c r="X861" s="54"/>
      <c r="Y861" s="54"/>
      <c r="Z861" s="54"/>
      <c r="AA861" s="54"/>
      <c r="AB861" s="54"/>
      <c r="AC861" s="54"/>
      <c r="AD861" s="54"/>
      <c r="AE861" s="54"/>
      <c r="AF861" s="54"/>
      <c r="AG861" s="54"/>
      <c r="AH861" s="54"/>
      <c r="AI861" s="54"/>
    </row>
    <row r="862" ht="14.25" customHeight="1">
      <c r="X862" s="54"/>
      <c r="Y862" s="54"/>
      <c r="Z862" s="54"/>
      <c r="AA862" s="54"/>
      <c r="AB862" s="54"/>
      <c r="AC862" s="54"/>
      <c r="AD862" s="54"/>
      <c r="AE862" s="54"/>
      <c r="AF862" s="54"/>
      <c r="AG862" s="54"/>
      <c r="AH862" s="54"/>
      <c r="AI862" s="54"/>
    </row>
    <row r="863" ht="14.25" customHeight="1">
      <c r="X863" s="54"/>
      <c r="Y863" s="54"/>
      <c r="Z863" s="54"/>
      <c r="AA863" s="54"/>
      <c r="AB863" s="54"/>
      <c r="AC863" s="54"/>
      <c r="AD863" s="54"/>
      <c r="AE863" s="54"/>
      <c r="AF863" s="54"/>
      <c r="AG863" s="54"/>
      <c r="AH863" s="54"/>
      <c r="AI863" s="54"/>
    </row>
    <row r="864" ht="14.25" customHeight="1">
      <c r="X864" s="54"/>
      <c r="Y864" s="54"/>
      <c r="Z864" s="54"/>
      <c r="AA864" s="54"/>
      <c r="AB864" s="54"/>
      <c r="AC864" s="54"/>
      <c r="AD864" s="54"/>
      <c r="AE864" s="54"/>
      <c r="AF864" s="54"/>
      <c r="AG864" s="54"/>
      <c r="AH864" s="54"/>
      <c r="AI864" s="54"/>
    </row>
    <row r="865" ht="14.25" customHeight="1">
      <c r="X865" s="54"/>
      <c r="Y865" s="54"/>
      <c r="Z865" s="54"/>
      <c r="AA865" s="54"/>
      <c r="AB865" s="54"/>
      <c r="AC865" s="54"/>
      <c r="AD865" s="54"/>
      <c r="AE865" s="54"/>
      <c r="AF865" s="54"/>
      <c r="AG865" s="54"/>
      <c r="AH865" s="54"/>
      <c r="AI865" s="54"/>
    </row>
    <row r="866" ht="14.25" customHeight="1">
      <c r="X866" s="54"/>
      <c r="Y866" s="54"/>
      <c r="Z866" s="54"/>
      <c r="AA866" s="54"/>
      <c r="AB866" s="54"/>
      <c r="AC866" s="54"/>
      <c r="AD866" s="54"/>
      <c r="AE866" s="54"/>
      <c r="AF866" s="54"/>
      <c r="AG866" s="54"/>
      <c r="AH866" s="54"/>
      <c r="AI866" s="54"/>
    </row>
    <row r="867" ht="14.25" customHeight="1">
      <c r="X867" s="54"/>
      <c r="Y867" s="54"/>
      <c r="Z867" s="54"/>
      <c r="AA867" s="54"/>
      <c r="AB867" s="54"/>
      <c r="AC867" s="54"/>
      <c r="AD867" s="54"/>
      <c r="AE867" s="54"/>
      <c r="AF867" s="54"/>
      <c r="AG867" s="54"/>
      <c r="AH867" s="54"/>
      <c r="AI867" s="54"/>
    </row>
    <row r="868" ht="14.25" customHeight="1">
      <c r="X868" s="54"/>
      <c r="Y868" s="54"/>
      <c r="Z868" s="54"/>
      <c r="AA868" s="54"/>
      <c r="AB868" s="54"/>
      <c r="AC868" s="54"/>
      <c r="AD868" s="54"/>
      <c r="AE868" s="54"/>
      <c r="AF868" s="54"/>
      <c r="AG868" s="54"/>
      <c r="AH868" s="54"/>
      <c r="AI868" s="54"/>
    </row>
    <row r="869" ht="14.25" customHeight="1">
      <c r="X869" s="54"/>
      <c r="Y869" s="54"/>
      <c r="Z869" s="54"/>
      <c r="AA869" s="54"/>
      <c r="AB869" s="54"/>
      <c r="AC869" s="54"/>
      <c r="AD869" s="54"/>
      <c r="AE869" s="54"/>
      <c r="AF869" s="54"/>
      <c r="AG869" s="54"/>
      <c r="AH869" s="54"/>
      <c r="AI869" s="54"/>
    </row>
    <row r="870" ht="14.25" customHeight="1">
      <c r="X870" s="54"/>
      <c r="Y870" s="54"/>
      <c r="Z870" s="54"/>
      <c r="AA870" s="54"/>
      <c r="AB870" s="54"/>
      <c r="AC870" s="54"/>
      <c r="AD870" s="54"/>
      <c r="AE870" s="54"/>
      <c r="AF870" s="54"/>
      <c r="AG870" s="54"/>
      <c r="AH870" s="54"/>
      <c r="AI870" s="54"/>
    </row>
    <row r="871" ht="14.25" customHeight="1">
      <c r="X871" s="54"/>
      <c r="Y871" s="54"/>
      <c r="Z871" s="54"/>
      <c r="AA871" s="54"/>
      <c r="AB871" s="54"/>
      <c r="AC871" s="54"/>
      <c r="AD871" s="54"/>
      <c r="AE871" s="54"/>
      <c r="AF871" s="54"/>
      <c r="AG871" s="54"/>
      <c r="AH871" s="54"/>
      <c r="AI871" s="54"/>
    </row>
    <row r="872" ht="14.25" customHeight="1">
      <c r="X872" s="54"/>
      <c r="Y872" s="54"/>
      <c r="Z872" s="54"/>
      <c r="AA872" s="54"/>
      <c r="AB872" s="54"/>
      <c r="AC872" s="54"/>
      <c r="AD872" s="54"/>
      <c r="AE872" s="54"/>
      <c r="AF872" s="54"/>
      <c r="AG872" s="54"/>
      <c r="AH872" s="54"/>
      <c r="AI872" s="54"/>
    </row>
    <row r="873" ht="14.25" customHeight="1">
      <c r="X873" s="54"/>
      <c r="Y873" s="54"/>
      <c r="Z873" s="54"/>
      <c r="AA873" s="54"/>
      <c r="AB873" s="54"/>
      <c r="AC873" s="54"/>
      <c r="AD873" s="54"/>
      <c r="AE873" s="54"/>
      <c r="AF873" s="54"/>
      <c r="AG873" s="54"/>
      <c r="AH873" s="54"/>
      <c r="AI873" s="54"/>
    </row>
    <row r="874" ht="14.25" customHeight="1">
      <c r="X874" s="54"/>
      <c r="Y874" s="54"/>
      <c r="Z874" s="54"/>
      <c r="AA874" s="54"/>
      <c r="AB874" s="54"/>
      <c r="AC874" s="54"/>
      <c r="AD874" s="54"/>
      <c r="AE874" s="54"/>
      <c r="AF874" s="54"/>
      <c r="AG874" s="54"/>
      <c r="AH874" s="54"/>
      <c r="AI874" s="54"/>
    </row>
    <row r="875" ht="14.25" customHeight="1">
      <c r="X875" s="54"/>
      <c r="Y875" s="54"/>
      <c r="Z875" s="54"/>
      <c r="AA875" s="54"/>
      <c r="AB875" s="54"/>
      <c r="AC875" s="54"/>
      <c r="AD875" s="54"/>
      <c r="AE875" s="54"/>
      <c r="AF875" s="54"/>
      <c r="AG875" s="54"/>
      <c r="AH875" s="54"/>
      <c r="AI875" s="54"/>
    </row>
    <row r="876" ht="14.25" customHeight="1">
      <c r="X876" s="54"/>
      <c r="Y876" s="54"/>
      <c r="Z876" s="54"/>
      <c r="AA876" s="54"/>
      <c r="AB876" s="54"/>
      <c r="AC876" s="54"/>
      <c r="AD876" s="54"/>
      <c r="AE876" s="54"/>
      <c r="AF876" s="54"/>
      <c r="AG876" s="54"/>
      <c r="AH876" s="54"/>
      <c r="AI876" s="54"/>
    </row>
    <row r="877" ht="14.25" customHeight="1">
      <c r="X877" s="54"/>
      <c r="Y877" s="54"/>
      <c r="Z877" s="54"/>
      <c r="AA877" s="54"/>
      <c r="AB877" s="54"/>
      <c r="AC877" s="54"/>
      <c r="AD877" s="54"/>
      <c r="AE877" s="54"/>
      <c r="AF877" s="54"/>
      <c r="AG877" s="54"/>
      <c r="AH877" s="54"/>
      <c r="AI877" s="54"/>
    </row>
    <row r="878" ht="14.25" customHeight="1">
      <c r="X878" s="54"/>
      <c r="Y878" s="54"/>
      <c r="Z878" s="54"/>
      <c r="AA878" s="54"/>
      <c r="AB878" s="54"/>
      <c r="AC878" s="54"/>
      <c r="AD878" s="54"/>
      <c r="AE878" s="54"/>
      <c r="AF878" s="54"/>
      <c r="AG878" s="54"/>
      <c r="AH878" s="54"/>
      <c r="AI878" s="54"/>
    </row>
    <row r="879" ht="14.25" customHeight="1">
      <c r="X879" s="54"/>
      <c r="Y879" s="54"/>
      <c r="Z879" s="54"/>
      <c r="AA879" s="54"/>
      <c r="AB879" s="54"/>
      <c r="AC879" s="54"/>
      <c r="AD879" s="54"/>
      <c r="AE879" s="54"/>
      <c r="AF879" s="54"/>
      <c r="AG879" s="54"/>
      <c r="AH879" s="54"/>
      <c r="AI879" s="54"/>
    </row>
    <row r="880" ht="14.25" customHeight="1">
      <c r="X880" s="54"/>
      <c r="Y880" s="54"/>
      <c r="Z880" s="54"/>
      <c r="AA880" s="54"/>
      <c r="AB880" s="54"/>
      <c r="AC880" s="54"/>
      <c r="AD880" s="54"/>
      <c r="AE880" s="54"/>
      <c r="AF880" s="54"/>
      <c r="AG880" s="54"/>
      <c r="AH880" s="54"/>
      <c r="AI880" s="54"/>
    </row>
    <row r="881" ht="14.25" customHeight="1">
      <c r="X881" s="54"/>
      <c r="Y881" s="54"/>
      <c r="Z881" s="54"/>
      <c r="AA881" s="54"/>
      <c r="AB881" s="54"/>
      <c r="AC881" s="54"/>
      <c r="AD881" s="54"/>
      <c r="AE881" s="54"/>
      <c r="AF881" s="54"/>
      <c r="AG881" s="54"/>
      <c r="AH881" s="54"/>
      <c r="AI881" s="54"/>
    </row>
    <row r="882" ht="14.25" customHeight="1">
      <c r="X882" s="54"/>
      <c r="Y882" s="54"/>
      <c r="Z882" s="54"/>
      <c r="AA882" s="54"/>
      <c r="AB882" s="54"/>
      <c r="AC882" s="54"/>
      <c r="AD882" s="54"/>
      <c r="AE882" s="54"/>
      <c r="AF882" s="54"/>
      <c r="AG882" s="54"/>
      <c r="AH882" s="54"/>
      <c r="AI882" s="54"/>
    </row>
    <row r="883" ht="14.25" customHeight="1">
      <c r="X883" s="54"/>
      <c r="Y883" s="54"/>
      <c r="Z883" s="54"/>
      <c r="AA883" s="54"/>
      <c r="AB883" s="54"/>
      <c r="AC883" s="54"/>
      <c r="AD883" s="54"/>
      <c r="AE883" s="54"/>
      <c r="AF883" s="54"/>
      <c r="AG883" s="54"/>
      <c r="AH883" s="54"/>
      <c r="AI883" s="54"/>
    </row>
    <row r="884" ht="14.25" customHeight="1">
      <c r="X884" s="54"/>
      <c r="Y884" s="54"/>
      <c r="Z884" s="54"/>
      <c r="AA884" s="54"/>
      <c r="AB884" s="54"/>
      <c r="AC884" s="54"/>
      <c r="AD884" s="54"/>
      <c r="AE884" s="54"/>
      <c r="AF884" s="54"/>
      <c r="AG884" s="54"/>
      <c r="AH884" s="54"/>
      <c r="AI884" s="54"/>
    </row>
    <row r="885" ht="14.25" customHeight="1">
      <c r="X885" s="54"/>
      <c r="Y885" s="54"/>
      <c r="Z885" s="54"/>
      <c r="AA885" s="54"/>
      <c r="AB885" s="54"/>
      <c r="AC885" s="54"/>
      <c r="AD885" s="54"/>
      <c r="AE885" s="54"/>
      <c r="AF885" s="54"/>
      <c r="AG885" s="54"/>
      <c r="AH885" s="54"/>
      <c r="AI885" s="54"/>
    </row>
    <row r="886" ht="14.25" customHeight="1">
      <c r="X886" s="54"/>
      <c r="Y886" s="54"/>
      <c r="Z886" s="54"/>
      <c r="AA886" s="54"/>
      <c r="AB886" s="54"/>
      <c r="AC886" s="54"/>
      <c r="AD886" s="54"/>
      <c r="AE886" s="54"/>
      <c r="AF886" s="54"/>
      <c r="AG886" s="54"/>
      <c r="AH886" s="54"/>
      <c r="AI886" s="54"/>
    </row>
    <row r="887" ht="14.25" customHeight="1">
      <c r="X887" s="54"/>
      <c r="Y887" s="54"/>
      <c r="Z887" s="54"/>
      <c r="AA887" s="54"/>
      <c r="AB887" s="54"/>
      <c r="AC887" s="54"/>
      <c r="AD887" s="54"/>
      <c r="AE887" s="54"/>
      <c r="AF887" s="54"/>
      <c r="AG887" s="54"/>
      <c r="AH887" s="54"/>
      <c r="AI887" s="54"/>
    </row>
    <row r="888" ht="14.25" customHeight="1">
      <c r="X888" s="54"/>
      <c r="Y888" s="54"/>
      <c r="Z888" s="54"/>
      <c r="AA888" s="54"/>
      <c r="AB888" s="54"/>
      <c r="AC888" s="54"/>
      <c r="AD888" s="54"/>
      <c r="AE888" s="54"/>
      <c r="AF888" s="54"/>
      <c r="AG888" s="54"/>
      <c r="AH888" s="54"/>
      <c r="AI888" s="54"/>
    </row>
    <row r="889" ht="14.25" customHeight="1">
      <c r="X889" s="54"/>
      <c r="Y889" s="54"/>
      <c r="Z889" s="54"/>
      <c r="AA889" s="54"/>
      <c r="AB889" s="54"/>
      <c r="AC889" s="54"/>
      <c r="AD889" s="54"/>
      <c r="AE889" s="54"/>
      <c r="AF889" s="54"/>
      <c r="AG889" s="54"/>
      <c r="AH889" s="54"/>
      <c r="AI889" s="54"/>
    </row>
    <row r="890" ht="14.25" customHeight="1">
      <c r="X890" s="54"/>
      <c r="Y890" s="54"/>
      <c r="Z890" s="54"/>
      <c r="AA890" s="54"/>
      <c r="AB890" s="54"/>
      <c r="AC890" s="54"/>
      <c r="AD890" s="54"/>
      <c r="AE890" s="54"/>
      <c r="AF890" s="54"/>
      <c r="AG890" s="54"/>
      <c r="AH890" s="54"/>
      <c r="AI890" s="54"/>
    </row>
    <row r="891" ht="14.25" customHeight="1">
      <c r="X891" s="54"/>
      <c r="Y891" s="54"/>
      <c r="Z891" s="54"/>
      <c r="AA891" s="54"/>
      <c r="AB891" s="54"/>
      <c r="AC891" s="54"/>
      <c r="AD891" s="54"/>
      <c r="AE891" s="54"/>
      <c r="AF891" s="54"/>
      <c r="AG891" s="54"/>
      <c r="AH891" s="54"/>
      <c r="AI891" s="54"/>
    </row>
    <row r="892" ht="14.25" customHeight="1">
      <c r="X892" s="54"/>
      <c r="Y892" s="54"/>
      <c r="Z892" s="54"/>
      <c r="AA892" s="54"/>
      <c r="AB892" s="54"/>
      <c r="AC892" s="54"/>
      <c r="AD892" s="54"/>
      <c r="AE892" s="54"/>
      <c r="AF892" s="54"/>
      <c r="AG892" s="54"/>
      <c r="AH892" s="54"/>
      <c r="AI892" s="54"/>
    </row>
    <row r="893" ht="14.25" customHeight="1">
      <c r="X893" s="54"/>
      <c r="Y893" s="54"/>
      <c r="Z893" s="54"/>
      <c r="AA893" s="54"/>
      <c r="AB893" s="54"/>
      <c r="AC893" s="54"/>
      <c r="AD893" s="54"/>
      <c r="AE893" s="54"/>
      <c r="AF893" s="54"/>
      <c r="AG893" s="54"/>
      <c r="AH893" s="54"/>
      <c r="AI893" s="54"/>
    </row>
    <row r="894" ht="14.25" customHeight="1">
      <c r="X894" s="54"/>
      <c r="Y894" s="54"/>
      <c r="Z894" s="54"/>
      <c r="AA894" s="54"/>
      <c r="AB894" s="54"/>
      <c r="AC894" s="54"/>
      <c r="AD894" s="54"/>
      <c r="AE894" s="54"/>
      <c r="AF894" s="54"/>
      <c r="AG894" s="54"/>
      <c r="AH894" s="54"/>
      <c r="AI894" s="54"/>
    </row>
    <row r="895" ht="14.25" customHeight="1">
      <c r="X895" s="54"/>
      <c r="Y895" s="54"/>
      <c r="Z895" s="54"/>
      <c r="AA895" s="54"/>
      <c r="AB895" s="54"/>
      <c r="AC895" s="54"/>
      <c r="AD895" s="54"/>
      <c r="AE895" s="54"/>
      <c r="AF895" s="54"/>
      <c r="AG895" s="54"/>
      <c r="AH895" s="54"/>
      <c r="AI895" s="54"/>
    </row>
    <row r="896" ht="14.25" customHeight="1">
      <c r="X896" s="54"/>
      <c r="Y896" s="54"/>
      <c r="Z896" s="54"/>
      <c r="AA896" s="54"/>
      <c r="AB896" s="54"/>
      <c r="AC896" s="54"/>
      <c r="AD896" s="54"/>
      <c r="AE896" s="54"/>
      <c r="AF896" s="54"/>
      <c r="AG896" s="54"/>
      <c r="AH896" s="54"/>
      <c r="AI896" s="54"/>
    </row>
    <row r="897" ht="14.25" customHeight="1">
      <c r="X897" s="54"/>
      <c r="Y897" s="54"/>
      <c r="Z897" s="54"/>
      <c r="AA897" s="54"/>
      <c r="AB897" s="54"/>
      <c r="AC897" s="54"/>
      <c r="AD897" s="54"/>
      <c r="AE897" s="54"/>
      <c r="AF897" s="54"/>
      <c r="AG897" s="54"/>
      <c r="AH897" s="54"/>
      <c r="AI897" s="54"/>
    </row>
    <row r="898" ht="14.25" customHeight="1">
      <c r="X898" s="54"/>
      <c r="Y898" s="54"/>
      <c r="Z898" s="54"/>
      <c r="AA898" s="54"/>
      <c r="AB898" s="54"/>
      <c r="AC898" s="54"/>
      <c r="AD898" s="54"/>
      <c r="AE898" s="54"/>
      <c r="AF898" s="54"/>
      <c r="AG898" s="54"/>
      <c r="AH898" s="54"/>
      <c r="AI898" s="54"/>
    </row>
    <row r="899" ht="14.25" customHeight="1">
      <c r="X899" s="54"/>
      <c r="Y899" s="54"/>
      <c r="Z899" s="54"/>
      <c r="AA899" s="54"/>
      <c r="AB899" s="54"/>
      <c r="AC899" s="54"/>
      <c r="AD899" s="54"/>
      <c r="AE899" s="54"/>
      <c r="AF899" s="54"/>
      <c r="AG899" s="54"/>
      <c r="AH899" s="54"/>
      <c r="AI899" s="54"/>
    </row>
    <row r="900" ht="14.25" customHeight="1">
      <c r="X900" s="54"/>
      <c r="Y900" s="54"/>
      <c r="Z900" s="54"/>
      <c r="AA900" s="54"/>
      <c r="AB900" s="54"/>
      <c r="AC900" s="54"/>
      <c r="AD900" s="54"/>
      <c r="AE900" s="54"/>
      <c r="AF900" s="54"/>
      <c r="AG900" s="54"/>
      <c r="AH900" s="54"/>
      <c r="AI900" s="54"/>
    </row>
    <row r="901" ht="14.25" customHeight="1">
      <c r="X901" s="54"/>
      <c r="Y901" s="54"/>
      <c r="Z901" s="54"/>
      <c r="AA901" s="54"/>
      <c r="AB901" s="54"/>
      <c r="AC901" s="54"/>
      <c r="AD901" s="54"/>
      <c r="AE901" s="54"/>
      <c r="AF901" s="54"/>
      <c r="AG901" s="54"/>
      <c r="AH901" s="54"/>
      <c r="AI901" s="54"/>
    </row>
    <row r="902" ht="14.25" customHeight="1">
      <c r="X902" s="54"/>
      <c r="Y902" s="54"/>
      <c r="Z902" s="54"/>
      <c r="AA902" s="54"/>
      <c r="AB902" s="54"/>
      <c r="AC902" s="54"/>
      <c r="AD902" s="54"/>
      <c r="AE902" s="54"/>
      <c r="AF902" s="54"/>
      <c r="AG902" s="54"/>
      <c r="AH902" s="54"/>
      <c r="AI902" s="54"/>
    </row>
    <row r="903" ht="14.25" customHeight="1">
      <c r="X903" s="54"/>
      <c r="Y903" s="54"/>
      <c r="Z903" s="54"/>
      <c r="AA903" s="54"/>
      <c r="AB903" s="54"/>
      <c r="AC903" s="54"/>
      <c r="AD903" s="54"/>
      <c r="AE903" s="54"/>
      <c r="AF903" s="54"/>
      <c r="AG903" s="54"/>
      <c r="AH903" s="54"/>
      <c r="AI903" s="54"/>
    </row>
    <row r="904" ht="14.25" customHeight="1">
      <c r="X904" s="54"/>
      <c r="Y904" s="54"/>
      <c r="Z904" s="54"/>
      <c r="AA904" s="54"/>
      <c r="AB904" s="54"/>
      <c r="AC904" s="54"/>
      <c r="AD904" s="54"/>
      <c r="AE904" s="54"/>
      <c r="AF904" s="54"/>
      <c r="AG904" s="54"/>
      <c r="AH904" s="54"/>
      <c r="AI904" s="54"/>
    </row>
    <row r="905" ht="14.25" customHeight="1">
      <c r="X905" s="54"/>
      <c r="Y905" s="54"/>
      <c r="Z905" s="54"/>
      <c r="AA905" s="54"/>
      <c r="AB905" s="54"/>
      <c r="AC905" s="54"/>
      <c r="AD905" s="54"/>
      <c r="AE905" s="54"/>
      <c r="AF905" s="54"/>
      <c r="AG905" s="54"/>
      <c r="AH905" s="54"/>
      <c r="AI905" s="54"/>
    </row>
    <row r="906" ht="14.25" customHeight="1">
      <c r="X906" s="54"/>
      <c r="Y906" s="54"/>
      <c r="Z906" s="54"/>
      <c r="AA906" s="54"/>
      <c r="AB906" s="54"/>
      <c r="AC906" s="54"/>
      <c r="AD906" s="54"/>
      <c r="AE906" s="54"/>
      <c r="AF906" s="54"/>
      <c r="AG906" s="54"/>
      <c r="AH906" s="54"/>
      <c r="AI906" s="54"/>
    </row>
    <row r="907" ht="14.25" customHeight="1">
      <c r="X907" s="54"/>
      <c r="Y907" s="54"/>
      <c r="Z907" s="54"/>
      <c r="AA907" s="54"/>
      <c r="AB907" s="54"/>
      <c r="AC907" s="54"/>
      <c r="AD907" s="54"/>
      <c r="AE907" s="54"/>
      <c r="AF907" s="54"/>
      <c r="AG907" s="54"/>
      <c r="AH907" s="54"/>
      <c r="AI907" s="54"/>
    </row>
    <row r="908" ht="14.25" customHeight="1">
      <c r="X908" s="54"/>
      <c r="Y908" s="54"/>
      <c r="Z908" s="54"/>
      <c r="AA908" s="54"/>
      <c r="AB908" s="54"/>
      <c r="AC908" s="54"/>
      <c r="AD908" s="54"/>
      <c r="AE908" s="54"/>
      <c r="AF908" s="54"/>
      <c r="AG908" s="54"/>
      <c r="AH908" s="54"/>
      <c r="AI908" s="54"/>
    </row>
    <row r="909" ht="14.25" customHeight="1">
      <c r="X909" s="54"/>
      <c r="Y909" s="54"/>
      <c r="Z909" s="54"/>
      <c r="AA909" s="54"/>
      <c r="AB909" s="54"/>
      <c r="AC909" s="54"/>
      <c r="AD909" s="54"/>
      <c r="AE909" s="54"/>
      <c r="AF909" s="54"/>
      <c r="AG909" s="54"/>
      <c r="AH909" s="54"/>
      <c r="AI909" s="54"/>
    </row>
    <row r="910" ht="14.25" customHeight="1">
      <c r="X910" s="54"/>
      <c r="Y910" s="54"/>
      <c r="Z910" s="54"/>
      <c r="AA910" s="54"/>
      <c r="AB910" s="54"/>
      <c r="AC910" s="54"/>
      <c r="AD910" s="54"/>
      <c r="AE910" s="54"/>
      <c r="AF910" s="54"/>
      <c r="AG910" s="54"/>
      <c r="AH910" s="54"/>
      <c r="AI910" s="54"/>
    </row>
    <row r="911" ht="14.25" customHeight="1">
      <c r="X911" s="54"/>
      <c r="Y911" s="54"/>
      <c r="Z911" s="54"/>
      <c r="AA911" s="54"/>
      <c r="AB911" s="54"/>
      <c r="AC911" s="54"/>
      <c r="AD911" s="54"/>
      <c r="AE911" s="54"/>
      <c r="AF911" s="54"/>
      <c r="AG911" s="54"/>
      <c r="AH911" s="54"/>
      <c r="AI911" s="54"/>
    </row>
    <row r="912" ht="14.25" customHeight="1">
      <c r="X912" s="54"/>
      <c r="Y912" s="54"/>
      <c r="Z912" s="54"/>
      <c r="AA912" s="54"/>
      <c r="AB912" s="54"/>
      <c r="AC912" s="54"/>
      <c r="AD912" s="54"/>
      <c r="AE912" s="54"/>
      <c r="AF912" s="54"/>
      <c r="AG912" s="54"/>
      <c r="AH912" s="54"/>
      <c r="AI912" s="54"/>
    </row>
    <row r="913" ht="14.25" customHeight="1">
      <c r="X913" s="54"/>
      <c r="Y913" s="54"/>
      <c r="Z913" s="54"/>
      <c r="AA913" s="54"/>
      <c r="AB913" s="54"/>
      <c r="AC913" s="54"/>
      <c r="AD913" s="54"/>
      <c r="AE913" s="54"/>
      <c r="AF913" s="54"/>
      <c r="AG913" s="54"/>
      <c r="AH913" s="54"/>
      <c r="AI913" s="54"/>
    </row>
    <row r="914" ht="14.25" customHeight="1">
      <c r="X914" s="54"/>
      <c r="Y914" s="54"/>
      <c r="Z914" s="54"/>
      <c r="AA914" s="54"/>
      <c r="AB914" s="54"/>
      <c r="AC914" s="54"/>
      <c r="AD914" s="54"/>
      <c r="AE914" s="54"/>
      <c r="AF914" s="54"/>
      <c r="AG914" s="54"/>
      <c r="AH914" s="54"/>
      <c r="AI914" s="54"/>
    </row>
    <row r="915" ht="14.25" customHeight="1">
      <c r="X915" s="54"/>
      <c r="Y915" s="54"/>
      <c r="Z915" s="54"/>
      <c r="AA915" s="54"/>
      <c r="AB915" s="54"/>
      <c r="AC915" s="54"/>
      <c r="AD915" s="54"/>
      <c r="AE915" s="54"/>
      <c r="AF915" s="54"/>
      <c r="AG915" s="54"/>
      <c r="AH915" s="54"/>
      <c r="AI915" s="54"/>
    </row>
    <row r="916" ht="14.25" customHeight="1">
      <c r="X916" s="54"/>
      <c r="Y916" s="54"/>
      <c r="Z916" s="54"/>
      <c r="AA916" s="54"/>
      <c r="AB916" s="54"/>
      <c r="AC916" s="54"/>
      <c r="AD916" s="54"/>
      <c r="AE916" s="54"/>
      <c r="AF916" s="54"/>
      <c r="AG916" s="54"/>
      <c r="AH916" s="54"/>
      <c r="AI916" s="54"/>
    </row>
    <row r="917" ht="14.25" customHeight="1">
      <c r="X917" s="54"/>
      <c r="Y917" s="54"/>
      <c r="Z917" s="54"/>
      <c r="AA917" s="54"/>
      <c r="AB917" s="54"/>
      <c r="AC917" s="54"/>
      <c r="AD917" s="54"/>
      <c r="AE917" s="54"/>
      <c r="AF917" s="54"/>
      <c r="AG917" s="54"/>
      <c r="AH917" s="54"/>
      <c r="AI917" s="54"/>
    </row>
    <row r="918" ht="14.25" customHeight="1">
      <c r="X918" s="54"/>
      <c r="Y918" s="54"/>
      <c r="Z918" s="54"/>
      <c r="AA918" s="54"/>
      <c r="AB918" s="54"/>
      <c r="AC918" s="54"/>
      <c r="AD918" s="54"/>
      <c r="AE918" s="54"/>
      <c r="AF918" s="54"/>
      <c r="AG918" s="54"/>
      <c r="AH918" s="54"/>
      <c r="AI918" s="54"/>
    </row>
    <row r="919" ht="14.25" customHeight="1">
      <c r="X919" s="54"/>
      <c r="Y919" s="54"/>
      <c r="Z919" s="54"/>
      <c r="AA919" s="54"/>
      <c r="AB919" s="54"/>
      <c r="AC919" s="54"/>
      <c r="AD919" s="54"/>
      <c r="AE919" s="54"/>
      <c r="AF919" s="54"/>
      <c r="AG919" s="54"/>
      <c r="AH919" s="54"/>
      <c r="AI919" s="54"/>
    </row>
    <row r="920" ht="14.25" customHeight="1">
      <c r="X920" s="54"/>
      <c r="Y920" s="54"/>
      <c r="Z920" s="54"/>
      <c r="AA920" s="54"/>
      <c r="AB920" s="54"/>
      <c r="AC920" s="54"/>
      <c r="AD920" s="54"/>
      <c r="AE920" s="54"/>
      <c r="AF920" s="54"/>
      <c r="AG920" s="54"/>
      <c r="AH920" s="54"/>
      <c r="AI920" s="54"/>
    </row>
    <row r="921" ht="14.25" customHeight="1">
      <c r="X921" s="54"/>
      <c r="Y921" s="54"/>
      <c r="Z921" s="54"/>
      <c r="AA921" s="54"/>
      <c r="AB921" s="54"/>
      <c r="AC921" s="54"/>
      <c r="AD921" s="54"/>
      <c r="AE921" s="54"/>
      <c r="AF921" s="54"/>
      <c r="AG921" s="54"/>
      <c r="AH921" s="54"/>
      <c r="AI921" s="54"/>
    </row>
    <row r="922" ht="14.25" customHeight="1">
      <c r="X922" s="54"/>
      <c r="Y922" s="54"/>
      <c r="Z922" s="54"/>
      <c r="AA922" s="54"/>
      <c r="AB922" s="54"/>
      <c r="AC922" s="54"/>
      <c r="AD922" s="54"/>
      <c r="AE922" s="54"/>
      <c r="AF922" s="54"/>
      <c r="AG922" s="54"/>
      <c r="AH922" s="54"/>
      <c r="AI922" s="54"/>
    </row>
    <row r="923" ht="14.25" customHeight="1">
      <c r="X923" s="54"/>
      <c r="Y923" s="54"/>
      <c r="Z923" s="54"/>
      <c r="AA923" s="54"/>
      <c r="AB923" s="54"/>
      <c r="AC923" s="54"/>
      <c r="AD923" s="54"/>
      <c r="AE923" s="54"/>
      <c r="AF923" s="54"/>
      <c r="AG923" s="54"/>
      <c r="AH923" s="54"/>
      <c r="AI923" s="54"/>
    </row>
    <row r="924" ht="14.25" customHeight="1">
      <c r="X924" s="54"/>
      <c r="Y924" s="54"/>
      <c r="Z924" s="54"/>
      <c r="AA924" s="54"/>
      <c r="AB924" s="54"/>
      <c r="AC924" s="54"/>
      <c r="AD924" s="54"/>
      <c r="AE924" s="54"/>
      <c r="AF924" s="54"/>
      <c r="AG924" s="54"/>
      <c r="AH924" s="54"/>
      <c r="AI924" s="54"/>
    </row>
    <row r="925" ht="14.25" customHeight="1">
      <c r="X925" s="54"/>
      <c r="Y925" s="54"/>
      <c r="Z925" s="54"/>
      <c r="AA925" s="54"/>
      <c r="AB925" s="54"/>
      <c r="AC925" s="54"/>
      <c r="AD925" s="54"/>
      <c r="AE925" s="54"/>
      <c r="AF925" s="54"/>
      <c r="AG925" s="54"/>
      <c r="AH925" s="54"/>
      <c r="AI925" s="54"/>
    </row>
    <row r="926" ht="14.25" customHeight="1">
      <c r="X926" s="54"/>
      <c r="Y926" s="54"/>
      <c r="Z926" s="54"/>
      <c r="AA926" s="54"/>
      <c r="AB926" s="54"/>
      <c r="AC926" s="54"/>
      <c r="AD926" s="54"/>
      <c r="AE926" s="54"/>
      <c r="AF926" s="54"/>
      <c r="AG926" s="54"/>
      <c r="AH926" s="54"/>
      <c r="AI926" s="54"/>
    </row>
    <row r="927" ht="14.25" customHeight="1">
      <c r="X927" s="54"/>
      <c r="Y927" s="54"/>
      <c r="Z927" s="54"/>
      <c r="AA927" s="54"/>
      <c r="AB927" s="54"/>
      <c r="AC927" s="54"/>
      <c r="AD927" s="54"/>
      <c r="AE927" s="54"/>
      <c r="AF927" s="54"/>
      <c r="AG927" s="54"/>
      <c r="AH927" s="54"/>
      <c r="AI927" s="54"/>
    </row>
    <row r="928" ht="14.25" customHeight="1">
      <c r="X928" s="54"/>
      <c r="Y928" s="54"/>
      <c r="Z928" s="54"/>
      <c r="AA928" s="54"/>
      <c r="AB928" s="54"/>
      <c r="AC928" s="54"/>
      <c r="AD928" s="54"/>
      <c r="AE928" s="54"/>
      <c r="AF928" s="54"/>
      <c r="AG928" s="54"/>
      <c r="AH928" s="54"/>
      <c r="AI928" s="54"/>
    </row>
    <row r="929" ht="14.25" customHeight="1">
      <c r="X929" s="54"/>
      <c r="Y929" s="54"/>
      <c r="Z929" s="54"/>
      <c r="AA929" s="54"/>
      <c r="AB929" s="54"/>
      <c r="AC929" s="54"/>
      <c r="AD929" s="54"/>
      <c r="AE929" s="54"/>
      <c r="AF929" s="54"/>
      <c r="AG929" s="54"/>
      <c r="AH929" s="54"/>
      <c r="AI929" s="54"/>
    </row>
    <row r="930" ht="14.25" customHeight="1">
      <c r="X930" s="54"/>
      <c r="Y930" s="54"/>
      <c r="Z930" s="54"/>
      <c r="AA930" s="54"/>
      <c r="AB930" s="54"/>
      <c r="AC930" s="54"/>
      <c r="AD930" s="54"/>
      <c r="AE930" s="54"/>
      <c r="AF930" s="54"/>
      <c r="AG930" s="54"/>
      <c r="AH930" s="54"/>
      <c r="AI930" s="54"/>
    </row>
    <row r="931" ht="14.25" customHeight="1">
      <c r="X931" s="54"/>
      <c r="Y931" s="54"/>
      <c r="Z931" s="54"/>
      <c r="AA931" s="54"/>
      <c r="AB931" s="54"/>
      <c r="AC931" s="54"/>
      <c r="AD931" s="54"/>
      <c r="AE931" s="54"/>
      <c r="AF931" s="54"/>
      <c r="AG931" s="54"/>
      <c r="AH931" s="54"/>
      <c r="AI931" s="54"/>
    </row>
    <row r="932" ht="14.25" customHeight="1">
      <c r="X932" s="54"/>
      <c r="Y932" s="54"/>
      <c r="Z932" s="54"/>
      <c r="AA932" s="54"/>
      <c r="AB932" s="54"/>
      <c r="AC932" s="54"/>
      <c r="AD932" s="54"/>
      <c r="AE932" s="54"/>
      <c r="AF932" s="54"/>
      <c r="AG932" s="54"/>
      <c r="AH932" s="54"/>
      <c r="AI932" s="54"/>
    </row>
    <row r="933" ht="14.25" customHeight="1">
      <c r="X933" s="54"/>
      <c r="Y933" s="54"/>
      <c r="Z933" s="54"/>
      <c r="AA933" s="54"/>
      <c r="AB933" s="54"/>
      <c r="AC933" s="54"/>
      <c r="AD933" s="54"/>
      <c r="AE933" s="54"/>
      <c r="AF933" s="54"/>
      <c r="AG933" s="54"/>
      <c r="AH933" s="54"/>
      <c r="AI933" s="54"/>
    </row>
    <row r="934" ht="14.25" customHeight="1">
      <c r="X934" s="54"/>
      <c r="Y934" s="54"/>
      <c r="Z934" s="54"/>
      <c r="AA934" s="54"/>
      <c r="AB934" s="54"/>
      <c r="AC934" s="54"/>
      <c r="AD934" s="54"/>
      <c r="AE934" s="54"/>
      <c r="AF934" s="54"/>
      <c r="AG934" s="54"/>
      <c r="AH934" s="54"/>
      <c r="AI934" s="54"/>
    </row>
    <row r="935" ht="14.25" customHeight="1">
      <c r="X935" s="54"/>
      <c r="Y935" s="54"/>
      <c r="Z935" s="54"/>
      <c r="AA935" s="54"/>
      <c r="AB935" s="54"/>
      <c r="AC935" s="54"/>
      <c r="AD935" s="54"/>
      <c r="AE935" s="54"/>
      <c r="AF935" s="54"/>
      <c r="AG935" s="54"/>
      <c r="AH935" s="54"/>
      <c r="AI935" s="54"/>
    </row>
    <row r="936" ht="14.25" customHeight="1">
      <c r="X936" s="54"/>
      <c r="Y936" s="54"/>
      <c r="Z936" s="54"/>
      <c r="AA936" s="54"/>
      <c r="AB936" s="54"/>
      <c r="AC936" s="54"/>
      <c r="AD936" s="54"/>
      <c r="AE936" s="54"/>
      <c r="AF936" s="54"/>
      <c r="AG936" s="54"/>
      <c r="AH936" s="54"/>
      <c r="AI936" s="54"/>
    </row>
    <row r="937" ht="14.25" customHeight="1">
      <c r="X937" s="54"/>
      <c r="Y937" s="54"/>
      <c r="Z937" s="54"/>
      <c r="AA937" s="54"/>
      <c r="AB937" s="54"/>
      <c r="AC937" s="54"/>
      <c r="AD937" s="54"/>
      <c r="AE937" s="54"/>
      <c r="AF937" s="54"/>
      <c r="AG937" s="54"/>
      <c r="AH937" s="54"/>
      <c r="AI937" s="54"/>
    </row>
    <row r="938" ht="14.25" customHeight="1">
      <c r="X938" s="54"/>
      <c r="Y938" s="54"/>
      <c r="Z938" s="54"/>
      <c r="AA938" s="54"/>
      <c r="AB938" s="54"/>
      <c r="AC938" s="54"/>
      <c r="AD938" s="54"/>
      <c r="AE938" s="54"/>
      <c r="AF938" s="54"/>
      <c r="AG938" s="54"/>
      <c r="AH938" s="54"/>
      <c r="AI938" s="54"/>
    </row>
    <row r="939" ht="14.25" customHeight="1">
      <c r="X939" s="54"/>
      <c r="Y939" s="54"/>
      <c r="Z939" s="54"/>
      <c r="AA939" s="54"/>
      <c r="AB939" s="54"/>
      <c r="AC939" s="54"/>
      <c r="AD939" s="54"/>
      <c r="AE939" s="54"/>
      <c r="AF939" s="54"/>
      <c r="AG939" s="54"/>
      <c r="AH939" s="54"/>
      <c r="AI939" s="54"/>
    </row>
    <row r="940" ht="14.25" customHeight="1">
      <c r="X940" s="54"/>
      <c r="Y940" s="54"/>
      <c r="Z940" s="54"/>
      <c r="AA940" s="54"/>
      <c r="AB940" s="54"/>
      <c r="AC940" s="54"/>
      <c r="AD940" s="54"/>
      <c r="AE940" s="54"/>
      <c r="AF940" s="54"/>
      <c r="AG940" s="54"/>
      <c r="AH940" s="54"/>
      <c r="AI940" s="54"/>
    </row>
    <row r="941" ht="14.25" customHeight="1">
      <c r="X941" s="54"/>
      <c r="Y941" s="54"/>
      <c r="Z941" s="54"/>
      <c r="AA941" s="54"/>
      <c r="AB941" s="54"/>
      <c r="AC941" s="54"/>
      <c r="AD941" s="54"/>
      <c r="AE941" s="54"/>
      <c r="AF941" s="54"/>
      <c r="AG941" s="54"/>
      <c r="AH941" s="54"/>
      <c r="AI941" s="54"/>
    </row>
    <row r="942" ht="14.25" customHeight="1">
      <c r="X942" s="54"/>
      <c r="Y942" s="54"/>
      <c r="Z942" s="54"/>
      <c r="AA942" s="54"/>
      <c r="AB942" s="54"/>
      <c r="AC942" s="54"/>
      <c r="AD942" s="54"/>
      <c r="AE942" s="54"/>
      <c r="AF942" s="54"/>
      <c r="AG942" s="54"/>
      <c r="AH942" s="54"/>
      <c r="AI942" s="54"/>
    </row>
    <row r="943" ht="14.25" customHeight="1">
      <c r="X943" s="54"/>
      <c r="Y943" s="54"/>
      <c r="Z943" s="54"/>
      <c r="AA943" s="54"/>
      <c r="AB943" s="54"/>
      <c r="AC943" s="54"/>
      <c r="AD943" s="54"/>
      <c r="AE943" s="54"/>
      <c r="AF943" s="54"/>
      <c r="AG943" s="54"/>
      <c r="AH943" s="54"/>
      <c r="AI943" s="54"/>
    </row>
    <row r="944" ht="14.25" customHeight="1">
      <c r="X944" s="54"/>
      <c r="Y944" s="54"/>
      <c r="Z944" s="54"/>
      <c r="AA944" s="54"/>
      <c r="AB944" s="54"/>
      <c r="AC944" s="54"/>
      <c r="AD944" s="54"/>
      <c r="AE944" s="54"/>
      <c r="AF944" s="54"/>
      <c r="AG944" s="54"/>
      <c r="AH944" s="54"/>
      <c r="AI944" s="54"/>
    </row>
    <row r="945" ht="14.25" customHeight="1">
      <c r="X945" s="54"/>
      <c r="Y945" s="54"/>
      <c r="Z945" s="54"/>
      <c r="AA945" s="54"/>
      <c r="AB945" s="54"/>
      <c r="AC945" s="54"/>
      <c r="AD945" s="54"/>
      <c r="AE945" s="54"/>
      <c r="AF945" s="54"/>
      <c r="AG945" s="54"/>
      <c r="AH945" s="54"/>
      <c r="AI945" s="54"/>
    </row>
    <row r="946" ht="14.25" customHeight="1">
      <c r="X946" s="54"/>
      <c r="Y946" s="54"/>
      <c r="Z946" s="54"/>
      <c r="AA946" s="54"/>
      <c r="AB946" s="54"/>
      <c r="AC946" s="54"/>
      <c r="AD946" s="54"/>
      <c r="AE946" s="54"/>
      <c r="AF946" s="54"/>
      <c r="AG946" s="54"/>
      <c r="AH946" s="54"/>
      <c r="AI946" s="54"/>
    </row>
    <row r="947" ht="14.25" customHeight="1">
      <c r="X947" s="54"/>
      <c r="Y947" s="54"/>
      <c r="Z947" s="54"/>
      <c r="AA947" s="54"/>
      <c r="AB947" s="54"/>
      <c r="AC947" s="54"/>
      <c r="AD947" s="54"/>
      <c r="AE947" s="54"/>
      <c r="AF947" s="54"/>
      <c r="AG947" s="54"/>
      <c r="AH947" s="54"/>
      <c r="AI947" s="54"/>
    </row>
    <row r="948" ht="14.25" customHeight="1">
      <c r="X948" s="54"/>
      <c r="Y948" s="54"/>
      <c r="Z948" s="54"/>
      <c r="AA948" s="54"/>
      <c r="AB948" s="54"/>
      <c r="AC948" s="54"/>
      <c r="AD948" s="54"/>
      <c r="AE948" s="54"/>
      <c r="AF948" s="54"/>
      <c r="AG948" s="54"/>
      <c r="AH948" s="54"/>
      <c r="AI948" s="54"/>
    </row>
    <row r="949" ht="14.25" customHeight="1">
      <c r="X949" s="54"/>
      <c r="Y949" s="54"/>
      <c r="Z949" s="54"/>
      <c r="AA949" s="54"/>
      <c r="AB949" s="54"/>
      <c r="AC949" s="54"/>
      <c r="AD949" s="54"/>
      <c r="AE949" s="54"/>
      <c r="AF949" s="54"/>
      <c r="AG949" s="54"/>
      <c r="AH949" s="54"/>
      <c r="AI949" s="54"/>
    </row>
    <row r="950" ht="14.25" customHeight="1">
      <c r="X950" s="54"/>
      <c r="Y950" s="54"/>
      <c r="Z950" s="54"/>
      <c r="AA950" s="54"/>
      <c r="AB950" s="54"/>
      <c r="AC950" s="54"/>
      <c r="AD950" s="54"/>
      <c r="AE950" s="54"/>
      <c r="AF950" s="54"/>
      <c r="AG950" s="54"/>
      <c r="AH950" s="54"/>
      <c r="AI950" s="54"/>
    </row>
    <row r="951" ht="14.25" customHeight="1">
      <c r="X951" s="54"/>
      <c r="Y951" s="54"/>
      <c r="Z951" s="54"/>
      <c r="AA951" s="54"/>
      <c r="AB951" s="54"/>
      <c r="AC951" s="54"/>
      <c r="AD951" s="54"/>
      <c r="AE951" s="54"/>
      <c r="AF951" s="54"/>
      <c r="AG951" s="54"/>
      <c r="AH951" s="54"/>
      <c r="AI951" s="54"/>
    </row>
    <row r="952" ht="14.25" customHeight="1">
      <c r="X952" s="54"/>
      <c r="Y952" s="54"/>
      <c r="Z952" s="54"/>
      <c r="AA952" s="54"/>
      <c r="AB952" s="54"/>
      <c r="AC952" s="54"/>
      <c r="AD952" s="54"/>
      <c r="AE952" s="54"/>
      <c r="AF952" s="54"/>
      <c r="AG952" s="54"/>
      <c r="AH952" s="54"/>
      <c r="AI952" s="54"/>
    </row>
    <row r="953" ht="14.25" customHeight="1">
      <c r="X953" s="54"/>
      <c r="Y953" s="54"/>
      <c r="Z953" s="54"/>
      <c r="AA953" s="54"/>
      <c r="AB953" s="54"/>
      <c r="AC953" s="54"/>
      <c r="AD953" s="54"/>
      <c r="AE953" s="54"/>
      <c r="AF953" s="54"/>
      <c r="AG953" s="54"/>
      <c r="AH953" s="54"/>
      <c r="AI953" s="54"/>
    </row>
    <row r="954" ht="14.25" customHeight="1">
      <c r="X954" s="54"/>
      <c r="Y954" s="54"/>
      <c r="Z954" s="54"/>
      <c r="AA954" s="54"/>
      <c r="AB954" s="54"/>
      <c r="AC954" s="54"/>
      <c r="AD954" s="54"/>
      <c r="AE954" s="54"/>
      <c r="AF954" s="54"/>
      <c r="AG954" s="54"/>
      <c r="AH954" s="54"/>
      <c r="AI954" s="54"/>
    </row>
    <row r="955" ht="14.25" customHeight="1">
      <c r="X955" s="54"/>
      <c r="Y955" s="54"/>
      <c r="Z955" s="54"/>
      <c r="AA955" s="54"/>
      <c r="AB955" s="54"/>
      <c r="AC955" s="54"/>
      <c r="AD955" s="54"/>
      <c r="AE955" s="54"/>
      <c r="AF955" s="54"/>
      <c r="AG955" s="54"/>
      <c r="AH955" s="54"/>
      <c r="AI955" s="54"/>
    </row>
    <row r="956" ht="14.25" customHeight="1">
      <c r="X956" s="54"/>
      <c r="Y956" s="54"/>
      <c r="Z956" s="54"/>
      <c r="AA956" s="54"/>
      <c r="AB956" s="54"/>
      <c r="AC956" s="54"/>
      <c r="AD956" s="54"/>
      <c r="AE956" s="54"/>
      <c r="AF956" s="54"/>
      <c r="AG956" s="54"/>
      <c r="AH956" s="54"/>
      <c r="AI956" s="54"/>
    </row>
    <row r="957" ht="14.25" customHeight="1">
      <c r="X957" s="54"/>
      <c r="Y957" s="54"/>
      <c r="Z957" s="54"/>
      <c r="AA957" s="54"/>
      <c r="AB957" s="54"/>
      <c r="AC957" s="54"/>
      <c r="AD957" s="54"/>
      <c r="AE957" s="54"/>
      <c r="AF957" s="54"/>
      <c r="AG957" s="54"/>
      <c r="AH957" s="54"/>
      <c r="AI957" s="54"/>
    </row>
    <row r="958" ht="14.25" customHeight="1">
      <c r="X958" s="54"/>
      <c r="Y958" s="54"/>
      <c r="Z958" s="54"/>
      <c r="AA958" s="54"/>
      <c r="AB958" s="54"/>
      <c r="AC958" s="54"/>
      <c r="AD958" s="54"/>
      <c r="AE958" s="54"/>
      <c r="AF958" s="54"/>
      <c r="AG958" s="54"/>
      <c r="AH958" s="54"/>
      <c r="AI958" s="54"/>
    </row>
    <row r="959" ht="14.25" customHeight="1">
      <c r="X959" s="54"/>
      <c r="Y959" s="54"/>
      <c r="Z959" s="54"/>
      <c r="AA959" s="54"/>
      <c r="AB959" s="54"/>
      <c r="AC959" s="54"/>
      <c r="AD959" s="54"/>
      <c r="AE959" s="54"/>
      <c r="AF959" s="54"/>
      <c r="AG959" s="54"/>
      <c r="AH959" s="54"/>
      <c r="AI959" s="54"/>
    </row>
    <row r="960" ht="14.25" customHeight="1">
      <c r="X960" s="54"/>
      <c r="Y960" s="54"/>
      <c r="Z960" s="54"/>
      <c r="AA960" s="54"/>
      <c r="AB960" s="54"/>
      <c r="AC960" s="54"/>
      <c r="AD960" s="54"/>
      <c r="AE960" s="54"/>
      <c r="AF960" s="54"/>
      <c r="AG960" s="54"/>
      <c r="AH960" s="54"/>
      <c r="AI960" s="54"/>
    </row>
    <row r="961" ht="14.25" customHeight="1">
      <c r="X961" s="54"/>
      <c r="Y961" s="54"/>
      <c r="Z961" s="54"/>
      <c r="AA961" s="54"/>
      <c r="AB961" s="54"/>
      <c r="AC961" s="54"/>
      <c r="AD961" s="54"/>
      <c r="AE961" s="54"/>
      <c r="AF961" s="54"/>
      <c r="AG961" s="54"/>
      <c r="AH961" s="54"/>
      <c r="AI961" s="54"/>
    </row>
    <row r="962" ht="14.25" customHeight="1">
      <c r="X962" s="54"/>
      <c r="Y962" s="54"/>
      <c r="Z962" s="54"/>
      <c r="AA962" s="54"/>
      <c r="AB962" s="54"/>
      <c r="AC962" s="54"/>
      <c r="AD962" s="54"/>
      <c r="AE962" s="54"/>
      <c r="AF962" s="54"/>
      <c r="AG962" s="54"/>
      <c r="AH962" s="54"/>
      <c r="AI962" s="54"/>
    </row>
    <row r="963" ht="14.25" customHeight="1">
      <c r="X963" s="54"/>
      <c r="Y963" s="54"/>
      <c r="Z963" s="54"/>
      <c r="AA963" s="54"/>
      <c r="AB963" s="54"/>
      <c r="AC963" s="54"/>
      <c r="AD963" s="54"/>
      <c r="AE963" s="54"/>
      <c r="AF963" s="54"/>
      <c r="AG963" s="54"/>
      <c r="AH963" s="54"/>
      <c r="AI963" s="54"/>
    </row>
    <row r="964" ht="14.25" customHeight="1">
      <c r="X964" s="54"/>
      <c r="Y964" s="54"/>
      <c r="Z964" s="54"/>
      <c r="AA964" s="54"/>
      <c r="AB964" s="54"/>
      <c r="AC964" s="54"/>
      <c r="AD964" s="54"/>
      <c r="AE964" s="54"/>
      <c r="AF964" s="54"/>
      <c r="AG964" s="54"/>
      <c r="AH964" s="54"/>
      <c r="AI964" s="54"/>
    </row>
    <row r="965" ht="14.25" customHeight="1">
      <c r="X965" s="54"/>
      <c r="Y965" s="54"/>
      <c r="Z965" s="54"/>
      <c r="AA965" s="54"/>
      <c r="AB965" s="54"/>
      <c r="AC965" s="54"/>
      <c r="AD965" s="54"/>
      <c r="AE965" s="54"/>
      <c r="AF965" s="54"/>
      <c r="AG965" s="54"/>
      <c r="AH965" s="54"/>
      <c r="AI965" s="54"/>
    </row>
    <row r="966" ht="14.25" customHeight="1">
      <c r="X966" s="54"/>
      <c r="Y966" s="54"/>
      <c r="Z966" s="54"/>
      <c r="AA966" s="54"/>
      <c r="AB966" s="54"/>
      <c r="AC966" s="54"/>
      <c r="AD966" s="54"/>
      <c r="AE966" s="54"/>
      <c r="AF966" s="54"/>
      <c r="AG966" s="54"/>
      <c r="AH966" s="54"/>
      <c r="AI966" s="54"/>
    </row>
    <row r="967" ht="14.25" customHeight="1">
      <c r="X967" s="54"/>
      <c r="Y967" s="54"/>
      <c r="Z967" s="54"/>
      <c r="AA967" s="54"/>
      <c r="AB967" s="54"/>
      <c r="AC967" s="54"/>
      <c r="AD967" s="54"/>
      <c r="AE967" s="54"/>
      <c r="AF967" s="54"/>
      <c r="AG967" s="54"/>
      <c r="AH967" s="54"/>
      <c r="AI967" s="54"/>
    </row>
    <row r="968" ht="14.25" customHeight="1">
      <c r="X968" s="54"/>
      <c r="Y968" s="54"/>
      <c r="Z968" s="54"/>
      <c r="AA968" s="54"/>
      <c r="AB968" s="54"/>
      <c r="AC968" s="54"/>
      <c r="AD968" s="54"/>
      <c r="AE968" s="54"/>
      <c r="AF968" s="54"/>
      <c r="AG968" s="54"/>
      <c r="AH968" s="54"/>
      <c r="AI968" s="54"/>
    </row>
    <row r="969" ht="14.25" customHeight="1">
      <c r="X969" s="54"/>
      <c r="Y969" s="54"/>
      <c r="Z969" s="54"/>
      <c r="AA969" s="54"/>
      <c r="AB969" s="54"/>
      <c r="AC969" s="54"/>
      <c r="AD969" s="54"/>
      <c r="AE969" s="54"/>
      <c r="AF969" s="54"/>
      <c r="AG969" s="54"/>
      <c r="AH969" s="54"/>
      <c r="AI969" s="54"/>
    </row>
    <row r="970" ht="14.25" customHeight="1">
      <c r="X970" s="54"/>
      <c r="Y970" s="54"/>
      <c r="Z970" s="54"/>
      <c r="AA970" s="54"/>
      <c r="AB970" s="54"/>
      <c r="AC970" s="54"/>
      <c r="AD970" s="54"/>
      <c r="AE970" s="54"/>
      <c r="AF970" s="54"/>
      <c r="AG970" s="54"/>
      <c r="AH970" s="54"/>
      <c r="AI970" s="54"/>
    </row>
    <row r="971" ht="14.25" customHeight="1">
      <c r="X971" s="54"/>
      <c r="Y971" s="54"/>
      <c r="Z971" s="54"/>
      <c r="AA971" s="54"/>
      <c r="AB971" s="54"/>
      <c r="AC971" s="54"/>
      <c r="AD971" s="54"/>
      <c r="AE971" s="54"/>
      <c r="AF971" s="54"/>
      <c r="AG971" s="54"/>
      <c r="AH971" s="54"/>
      <c r="AI971" s="54"/>
    </row>
    <row r="972" ht="14.25" customHeight="1">
      <c r="X972" s="54"/>
      <c r="Y972" s="54"/>
      <c r="Z972" s="54"/>
      <c r="AA972" s="54"/>
      <c r="AB972" s="54"/>
      <c r="AC972" s="54"/>
      <c r="AD972" s="54"/>
      <c r="AE972" s="54"/>
      <c r="AF972" s="54"/>
      <c r="AG972" s="54"/>
      <c r="AH972" s="54"/>
      <c r="AI972" s="54"/>
    </row>
    <row r="973" ht="14.25" customHeight="1">
      <c r="X973" s="54"/>
      <c r="Y973" s="54"/>
      <c r="Z973" s="54"/>
      <c r="AA973" s="54"/>
      <c r="AB973" s="54"/>
      <c r="AC973" s="54"/>
      <c r="AD973" s="54"/>
      <c r="AE973" s="54"/>
      <c r="AF973" s="54"/>
      <c r="AG973" s="54"/>
      <c r="AH973" s="54"/>
      <c r="AI973" s="54"/>
    </row>
    <row r="974" ht="14.25" customHeight="1">
      <c r="X974" s="54"/>
      <c r="Y974" s="54"/>
      <c r="Z974" s="54"/>
      <c r="AA974" s="54"/>
      <c r="AB974" s="54"/>
      <c r="AC974" s="54"/>
      <c r="AD974" s="54"/>
      <c r="AE974" s="54"/>
      <c r="AF974" s="54"/>
      <c r="AG974" s="54"/>
      <c r="AH974" s="54"/>
      <c r="AI974" s="54"/>
    </row>
    <row r="975" ht="14.25" customHeight="1">
      <c r="X975" s="54"/>
      <c r="Y975" s="54"/>
      <c r="Z975" s="54"/>
      <c r="AA975" s="54"/>
      <c r="AB975" s="54"/>
      <c r="AC975" s="54"/>
      <c r="AD975" s="54"/>
      <c r="AE975" s="54"/>
      <c r="AF975" s="54"/>
      <c r="AG975" s="54"/>
      <c r="AH975" s="54"/>
      <c r="AI975" s="54"/>
    </row>
    <row r="976" ht="14.25" customHeight="1">
      <c r="X976" s="54"/>
      <c r="Y976" s="54"/>
      <c r="Z976" s="54"/>
      <c r="AA976" s="54"/>
      <c r="AB976" s="54"/>
      <c r="AC976" s="54"/>
      <c r="AD976" s="54"/>
      <c r="AE976" s="54"/>
      <c r="AF976" s="54"/>
      <c r="AG976" s="54"/>
      <c r="AH976" s="54"/>
      <c r="AI976" s="54"/>
    </row>
    <row r="977" ht="14.25" customHeight="1">
      <c r="X977" s="54"/>
      <c r="Y977" s="54"/>
      <c r="Z977" s="54"/>
      <c r="AA977" s="54"/>
      <c r="AB977" s="54"/>
      <c r="AC977" s="54"/>
      <c r="AD977" s="54"/>
      <c r="AE977" s="54"/>
      <c r="AF977" s="54"/>
      <c r="AG977" s="54"/>
      <c r="AH977" s="54"/>
      <c r="AI977" s="54"/>
    </row>
    <row r="978" ht="14.25" customHeight="1">
      <c r="X978" s="54"/>
      <c r="Y978" s="54"/>
      <c r="Z978" s="54"/>
      <c r="AA978" s="54"/>
      <c r="AB978" s="54"/>
      <c r="AC978" s="54"/>
      <c r="AD978" s="54"/>
      <c r="AE978" s="54"/>
      <c r="AF978" s="54"/>
      <c r="AG978" s="54"/>
      <c r="AH978" s="54"/>
      <c r="AI978" s="54"/>
    </row>
    <row r="979" ht="14.25" customHeight="1">
      <c r="X979" s="54"/>
      <c r="Y979" s="54"/>
      <c r="Z979" s="54"/>
      <c r="AA979" s="54"/>
      <c r="AB979" s="54"/>
      <c r="AC979" s="54"/>
      <c r="AD979" s="54"/>
      <c r="AE979" s="54"/>
      <c r="AF979" s="54"/>
      <c r="AG979" s="54"/>
      <c r="AH979" s="54"/>
      <c r="AI979" s="54"/>
    </row>
    <row r="980" ht="14.25" customHeight="1">
      <c r="X980" s="54"/>
      <c r="Y980" s="54"/>
      <c r="Z980" s="54"/>
      <c r="AA980" s="54"/>
      <c r="AB980" s="54"/>
      <c r="AC980" s="54"/>
      <c r="AD980" s="54"/>
      <c r="AE980" s="54"/>
      <c r="AF980" s="54"/>
      <c r="AG980" s="54"/>
      <c r="AH980" s="54"/>
      <c r="AI980" s="54"/>
    </row>
    <row r="981" ht="14.25" customHeight="1">
      <c r="X981" s="54"/>
      <c r="Y981" s="54"/>
      <c r="Z981" s="54"/>
      <c r="AA981" s="54"/>
      <c r="AB981" s="54"/>
      <c r="AC981" s="54"/>
      <c r="AD981" s="54"/>
      <c r="AE981" s="54"/>
      <c r="AF981" s="54"/>
      <c r="AG981" s="54"/>
      <c r="AH981" s="54"/>
      <c r="AI981" s="54"/>
    </row>
    <row r="982" ht="14.25" customHeight="1">
      <c r="X982" s="54"/>
      <c r="Y982" s="54"/>
      <c r="Z982" s="54"/>
      <c r="AA982" s="54"/>
      <c r="AB982" s="54"/>
      <c r="AC982" s="54"/>
      <c r="AD982" s="54"/>
      <c r="AE982" s="54"/>
      <c r="AF982" s="54"/>
      <c r="AG982" s="54"/>
      <c r="AH982" s="54"/>
      <c r="AI982" s="54"/>
    </row>
    <row r="983" ht="14.25" customHeight="1">
      <c r="X983" s="54"/>
      <c r="Y983" s="54"/>
      <c r="Z983" s="54"/>
      <c r="AA983" s="54"/>
      <c r="AB983" s="54"/>
      <c r="AC983" s="54"/>
      <c r="AD983" s="54"/>
      <c r="AE983" s="54"/>
      <c r="AF983" s="54"/>
      <c r="AG983" s="54"/>
      <c r="AH983" s="54"/>
      <c r="AI983" s="54"/>
    </row>
    <row r="984" ht="14.25" customHeight="1">
      <c r="X984" s="54"/>
      <c r="Y984" s="54"/>
      <c r="Z984" s="54"/>
      <c r="AA984" s="54"/>
      <c r="AB984" s="54"/>
      <c r="AC984" s="54"/>
      <c r="AD984" s="54"/>
      <c r="AE984" s="54"/>
      <c r="AF984" s="54"/>
      <c r="AG984" s="54"/>
      <c r="AH984" s="54"/>
      <c r="AI984" s="54"/>
    </row>
    <row r="985" ht="14.25" customHeight="1">
      <c r="X985" s="54"/>
      <c r="Y985" s="54"/>
      <c r="Z985" s="54"/>
      <c r="AA985" s="54"/>
      <c r="AB985" s="54"/>
      <c r="AC985" s="54"/>
      <c r="AD985" s="54"/>
      <c r="AE985" s="54"/>
      <c r="AF985" s="54"/>
      <c r="AG985" s="54"/>
      <c r="AH985" s="54"/>
      <c r="AI985" s="54"/>
    </row>
    <row r="986" ht="14.25" customHeight="1">
      <c r="X986" s="54"/>
      <c r="Y986" s="54"/>
      <c r="Z986" s="54"/>
      <c r="AA986" s="54"/>
      <c r="AB986" s="54"/>
      <c r="AC986" s="54"/>
      <c r="AD986" s="54"/>
      <c r="AE986" s="54"/>
      <c r="AF986" s="54"/>
      <c r="AG986" s="54"/>
      <c r="AH986" s="54"/>
      <c r="AI986" s="54"/>
    </row>
    <row r="987" ht="14.25" customHeight="1">
      <c r="X987" s="54"/>
      <c r="Y987" s="54"/>
      <c r="Z987" s="54"/>
      <c r="AA987" s="54"/>
      <c r="AB987" s="54"/>
      <c r="AC987" s="54"/>
      <c r="AD987" s="54"/>
      <c r="AE987" s="54"/>
      <c r="AF987" s="54"/>
      <c r="AG987" s="54"/>
      <c r="AH987" s="54"/>
      <c r="AI987" s="54"/>
    </row>
    <row r="988" ht="14.25" customHeight="1">
      <c r="X988" s="54"/>
      <c r="Y988" s="54"/>
      <c r="Z988" s="54"/>
      <c r="AA988" s="54"/>
      <c r="AB988" s="54"/>
      <c r="AC988" s="54"/>
      <c r="AD988" s="54"/>
      <c r="AE988" s="54"/>
      <c r="AF988" s="54"/>
      <c r="AG988" s="54"/>
      <c r="AH988" s="54"/>
      <c r="AI988" s="54"/>
    </row>
    <row r="989" ht="14.25" customHeight="1">
      <c r="X989" s="54"/>
      <c r="Y989" s="54"/>
      <c r="Z989" s="54"/>
      <c r="AA989" s="54"/>
      <c r="AB989" s="54"/>
      <c r="AC989" s="54"/>
      <c r="AD989" s="54"/>
      <c r="AE989" s="54"/>
      <c r="AF989" s="54"/>
      <c r="AG989" s="54"/>
      <c r="AH989" s="54"/>
      <c r="AI989" s="54"/>
    </row>
    <row r="990" ht="14.25" customHeight="1">
      <c r="X990" s="54"/>
      <c r="Y990" s="54"/>
      <c r="Z990" s="54"/>
      <c r="AA990" s="54"/>
      <c r="AB990" s="54"/>
      <c r="AC990" s="54"/>
      <c r="AD990" s="54"/>
      <c r="AE990" s="54"/>
      <c r="AF990" s="54"/>
      <c r="AG990" s="54"/>
      <c r="AH990" s="54"/>
      <c r="AI990" s="54"/>
    </row>
    <row r="991" ht="14.25" customHeight="1">
      <c r="X991" s="54"/>
      <c r="Y991" s="54"/>
      <c r="Z991" s="54"/>
      <c r="AA991" s="54"/>
      <c r="AB991" s="54"/>
      <c r="AC991" s="54"/>
      <c r="AD991" s="54"/>
      <c r="AE991" s="54"/>
      <c r="AF991" s="54"/>
      <c r="AG991" s="54"/>
      <c r="AH991" s="54"/>
      <c r="AI991" s="54"/>
    </row>
    <row r="992" ht="14.25" customHeight="1">
      <c r="X992" s="54"/>
      <c r="Y992" s="54"/>
      <c r="Z992" s="54"/>
      <c r="AA992" s="54"/>
      <c r="AB992" s="54"/>
      <c r="AC992" s="54"/>
      <c r="AD992" s="54"/>
      <c r="AE992" s="54"/>
      <c r="AF992" s="54"/>
      <c r="AG992" s="54"/>
      <c r="AH992" s="54"/>
      <c r="AI992" s="54"/>
    </row>
    <row r="993" ht="14.25" customHeight="1">
      <c r="X993" s="54"/>
      <c r="Y993" s="54"/>
      <c r="Z993" s="54"/>
      <c r="AA993" s="54"/>
      <c r="AB993" s="54"/>
      <c r="AC993" s="54"/>
      <c r="AD993" s="54"/>
      <c r="AE993" s="54"/>
      <c r="AF993" s="54"/>
      <c r="AG993" s="54"/>
      <c r="AH993" s="54"/>
      <c r="AI993" s="54"/>
    </row>
    <row r="994" ht="14.25" customHeight="1">
      <c r="X994" s="54"/>
      <c r="Y994" s="54"/>
      <c r="Z994" s="54"/>
      <c r="AA994" s="54"/>
      <c r="AB994" s="54"/>
      <c r="AC994" s="54"/>
      <c r="AD994" s="54"/>
      <c r="AE994" s="54"/>
      <c r="AF994" s="54"/>
      <c r="AG994" s="54"/>
      <c r="AH994" s="54"/>
      <c r="AI994" s="54"/>
    </row>
    <row r="995" ht="14.25" customHeight="1">
      <c r="X995" s="54"/>
      <c r="Y995" s="54"/>
      <c r="Z995" s="54"/>
      <c r="AA995" s="54"/>
      <c r="AB995" s="54"/>
      <c r="AC995" s="54"/>
      <c r="AD995" s="54"/>
      <c r="AE995" s="54"/>
      <c r="AF995" s="54"/>
      <c r="AG995" s="54"/>
      <c r="AH995" s="54"/>
      <c r="AI995" s="54"/>
    </row>
    <row r="996" ht="14.25" customHeight="1">
      <c r="X996" s="54"/>
      <c r="Y996" s="54"/>
      <c r="Z996" s="54"/>
      <c r="AA996" s="54"/>
      <c r="AB996" s="54"/>
      <c r="AC996" s="54"/>
      <c r="AD996" s="54"/>
      <c r="AE996" s="54"/>
      <c r="AF996" s="54"/>
      <c r="AG996" s="54"/>
      <c r="AH996" s="54"/>
      <c r="AI996" s="54"/>
    </row>
    <row r="997" ht="14.25" customHeight="1">
      <c r="X997" s="54"/>
      <c r="Y997" s="54"/>
      <c r="Z997" s="54"/>
      <c r="AA997" s="54"/>
      <c r="AB997" s="54"/>
      <c r="AC997" s="54"/>
      <c r="AD997" s="54"/>
      <c r="AE997" s="54"/>
      <c r="AF997" s="54"/>
      <c r="AG997" s="54"/>
      <c r="AH997" s="54"/>
      <c r="AI997" s="54"/>
    </row>
    <row r="998" ht="14.25" customHeight="1">
      <c r="X998" s="54"/>
      <c r="Y998" s="54"/>
      <c r="Z998" s="54"/>
      <c r="AA998" s="54"/>
      <c r="AB998" s="54"/>
      <c r="AC998" s="54"/>
      <c r="AD998" s="54"/>
      <c r="AE998" s="54"/>
      <c r="AF998" s="54"/>
      <c r="AG998" s="54"/>
      <c r="AH998" s="54"/>
      <c r="AI998" s="54"/>
    </row>
    <row r="999" ht="14.25" customHeight="1">
      <c r="X999" s="54"/>
      <c r="Y999" s="54"/>
      <c r="Z999" s="54"/>
      <c r="AA999" s="54"/>
      <c r="AB999" s="54"/>
      <c r="AC999" s="54"/>
      <c r="AD999" s="54"/>
      <c r="AE999" s="54"/>
      <c r="AF999" s="54"/>
      <c r="AG999" s="54"/>
      <c r="AH999" s="54"/>
      <c r="AI999" s="54"/>
    </row>
    <row r="1000" ht="14.25" customHeight="1">
      <c r="X1000" s="54"/>
      <c r="Y1000" s="54"/>
      <c r="Z1000" s="54"/>
      <c r="AA1000" s="54"/>
      <c r="AB1000" s="54"/>
      <c r="AC1000" s="54"/>
      <c r="AD1000" s="54"/>
      <c r="AE1000" s="54"/>
      <c r="AF1000" s="54"/>
      <c r="AG1000" s="54"/>
      <c r="AH1000" s="54"/>
      <c r="AI1000" s="54"/>
    </row>
  </sheetData>
  <mergeCells count="2">
    <mergeCell ref="P2:Q2"/>
    <mergeCell ref="R2:S2"/>
  </mergeCells>
  <hyperlinks>
    <hyperlink r:id="rId1" ref="AP3"/>
    <hyperlink r:id="rId2" ref="AP4"/>
    <hyperlink r:id="rId3" ref="AP6"/>
    <hyperlink r:id="rId4" ref="AP7"/>
    <hyperlink r:id="rId5" ref="AP9"/>
    <hyperlink r:id="rId6" ref="AP10"/>
    <hyperlink r:id="rId7" ref="AP11"/>
    <hyperlink r:id="rId8" ref="AP12"/>
    <hyperlink r:id="rId9" ref="AP13"/>
    <hyperlink r:id="rId10" ref="AP14"/>
    <hyperlink r:id="rId11" ref="AP15"/>
    <hyperlink r:id="rId12" ref="AP16"/>
    <hyperlink r:id="rId13" ref="AP17"/>
    <hyperlink r:id="rId14" ref="AP18"/>
    <hyperlink r:id="rId15" ref="AP20"/>
    <hyperlink r:id="rId16" ref="AP21"/>
    <hyperlink r:id="rId17" ref="AP23"/>
    <hyperlink r:id="rId18" ref="AP24"/>
    <hyperlink r:id="rId19" ref="AP25"/>
  </hyperlinks>
  <printOptions/>
  <pageMargins bottom="0.75" footer="0.0" header="0.0" left="0.7" right="0.7" top="0.75"/>
  <pageSetup paperSize="9" orientation="portrait"/>
  <drawing r:id="rId2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3" width="18.29"/>
    <col customWidth="1" hidden="1" min="4" max="4" width="18.29"/>
    <col customWidth="1" min="5" max="5" width="8.0"/>
    <col customWidth="1" hidden="1" min="6" max="6" width="8.0"/>
    <col customWidth="1" hidden="1" min="7" max="7" width="26.29"/>
    <col customWidth="1" hidden="1" min="8" max="8" width="25.43"/>
    <col customWidth="1" hidden="1" min="9" max="9" width="29.29"/>
    <col customWidth="1" min="10" max="10" width="31.86"/>
    <col customWidth="1" hidden="1" min="11" max="11" width="31.29"/>
    <col customWidth="1" min="12" max="12" width="20.0"/>
    <col customWidth="1" hidden="1" min="13" max="13" width="10.57"/>
    <col customWidth="1" hidden="1" min="14" max="14" width="18.29"/>
    <col customWidth="1" min="15" max="15" width="18.29"/>
    <col customWidth="1" hidden="1" min="16" max="19" width="15.71"/>
    <col customWidth="1" hidden="1" min="20" max="20" width="18.29"/>
    <col customWidth="1" hidden="1" min="21" max="21" width="9.57"/>
    <col customWidth="1" hidden="1" min="22" max="23" width="11.71"/>
    <col customWidth="1" hidden="1" min="24" max="25" width="18.29"/>
    <col customWidth="1" hidden="1" min="26" max="26" width="19.57"/>
    <col customWidth="1" hidden="1" min="27" max="28" width="18.29"/>
    <col customWidth="1" min="29" max="32" width="18.29"/>
    <col customWidth="1" min="33" max="36" width="16.29"/>
    <col customWidth="1" min="37" max="37" width="13.86"/>
    <col customWidth="1" min="38" max="38" width="9.86"/>
    <col customWidth="1" min="39" max="39" width="60.14"/>
    <col customWidth="1" min="40" max="40" width="34.29"/>
    <col customWidth="1" min="41" max="41" width="27.43"/>
    <col customWidth="1" min="42" max="42" width="36.71"/>
    <col customWidth="1" min="43" max="43" width="22.71"/>
    <col customWidth="1" min="44" max="44" width="33.86"/>
    <col customWidth="1" min="45" max="53" width="18.29"/>
    <col customWidth="1" min="54" max="55" width="9.0"/>
  </cols>
  <sheetData>
    <row r="1" ht="50.25" customHeight="1">
      <c r="A1" s="1"/>
      <c r="B1" s="1"/>
      <c r="C1" s="2" t="s">
        <v>0</v>
      </c>
      <c r="D1" s="1"/>
      <c r="E1" s="3"/>
      <c r="F1" s="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3"/>
      <c r="U1" s="3"/>
      <c r="V1" s="1"/>
      <c r="W1" s="1"/>
      <c r="X1" s="1"/>
      <c r="Y1" s="1"/>
      <c r="Z1" s="1"/>
      <c r="AA1" s="1"/>
      <c r="AB1" s="1"/>
      <c r="AC1" s="3"/>
      <c r="AD1" s="1"/>
      <c r="AE1" s="3"/>
      <c r="AF1" s="1"/>
      <c r="AG1" s="3"/>
      <c r="AH1" s="3"/>
      <c r="AI1" s="3"/>
      <c r="AJ1" s="3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ht="30.75" customHeight="1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6" t="s">
        <v>6</v>
      </c>
      <c r="G2" s="5" t="s">
        <v>7</v>
      </c>
      <c r="H2" s="5" t="s">
        <v>7</v>
      </c>
      <c r="I2" s="5" t="s">
        <v>7</v>
      </c>
      <c r="J2" s="5" t="s">
        <v>8</v>
      </c>
      <c r="K2" s="5" t="s">
        <v>10</v>
      </c>
      <c r="L2" s="5" t="s">
        <v>11</v>
      </c>
      <c r="M2" s="5" t="s">
        <v>12</v>
      </c>
      <c r="N2" s="7" t="s">
        <v>13</v>
      </c>
      <c r="O2" s="5" t="s">
        <v>14</v>
      </c>
      <c r="P2" s="8" t="s">
        <v>15</v>
      </c>
      <c r="Q2" s="9"/>
      <c r="R2" s="8" t="s">
        <v>16</v>
      </c>
      <c r="S2" s="9"/>
      <c r="T2" s="5" t="s">
        <v>17</v>
      </c>
      <c r="U2" s="5" t="s">
        <v>18</v>
      </c>
      <c r="V2" s="5" t="s">
        <v>19</v>
      </c>
      <c r="W2" s="5" t="s">
        <v>20</v>
      </c>
      <c r="X2" s="5" t="s">
        <v>21</v>
      </c>
      <c r="Y2" s="5" t="s">
        <v>22</v>
      </c>
      <c r="Z2" s="5" t="s">
        <v>23</v>
      </c>
      <c r="AA2" s="5" t="s">
        <v>24</v>
      </c>
      <c r="AB2" s="5" t="s">
        <v>23</v>
      </c>
      <c r="AC2" s="5" t="s">
        <v>26</v>
      </c>
      <c r="AD2" s="5" t="s">
        <v>27</v>
      </c>
      <c r="AE2" s="10" t="s">
        <v>28</v>
      </c>
      <c r="AF2" s="5" t="s">
        <v>29</v>
      </c>
      <c r="AG2" s="5" t="s">
        <v>30</v>
      </c>
      <c r="AH2" s="11" t="s">
        <v>31</v>
      </c>
      <c r="AI2" s="11" t="s">
        <v>32</v>
      </c>
      <c r="AJ2" s="5" t="s">
        <v>33</v>
      </c>
      <c r="AK2" s="5" t="s">
        <v>34</v>
      </c>
      <c r="AL2" s="5" t="s">
        <v>35</v>
      </c>
      <c r="AM2" s="5" t="s">
        <v>36</v>
      </c>
      <c r="AN2" s="5" t="s">
        <v>37</v>
      </c>
      <c r="AO2" s="5" t="s">
        <v>38</v>
      </c>
      <c r="AP2" s="5" t="s">
        <v>39</v>
      </c>
      <c r="AQ2" s="10" t="s">
        <v>40</v>
      </c>
      <c r="AR2" s="5" t="s">
        <v>41</v>
      </c>
      <c r="AS2" s="5" t="s">
        <v>42</v>
      </c>
      <c r="AT2" s="5" t="s">
        <v>43</v>
      </c>
      <c r="AU2" s="5" t="s">
        <v>44</v>
      </c>
      <c r="AV2" s="5" t="s">
        <v>45</v>
      </c>
      <c r="AW2" s="10" t="s">
        <v>46</v>
      </c>
      <c r="AX2" s="5" t="s">
        <v>47</v>
      </c>
      <c r="AY2" s="5" t="s">
        <v>48</v>
      </c>
      <c r="AZ2" s="5" t="s">
        <v>49</v>
      </c>
      <c r="BA2" s="5" t="s">
        <v>50</v>
      </c>
    </row>
    <row r="3" ht="14.25" hidden="1" customHeight="1">
      <c r="A3" s="14"/>
      <c r="B3" s="15" t="s">
        <v>428</v>
      </c>
      <c r="C3" s="15" t="s">
        <v>429</v>
      </c>
      <c r="D3" s="15" t="s">
        <v>430</v>
      </c>
      <c r="E3" s="17" t="s">
        <v>394</v>
      </c>
      <c r="F3" s="17"/>
      <c r="G3" s="16" t="str">
        <f t="shared" ref="G3:G27" si="1">CONCATENATE(B3,", ",C3," ",E3,".")</f>
        <v>Macairap, Ruben S.</v>
      </c>
      <c r="H3" s="16" t="str">
        <f t="shared" ref="H3:H27" si="2">CONCATENATE(C3," ",E3,". ",B3)</f>
        <v>Ruben S. Macairap</v>
      </c>
      <c r="I3" s="16" t="str">
        <f t="shared" ref="I3:I27" si="3">CONCATENATE(B3,", ",C3," ",D3)</f>
        <v>Macairap, Ruben Suniega</v>
      </c>
      <c r="J3" s="19" t="s">
        <v>431</v>
      </c>
      <c r="K3" s="19" t="s">
        <v>432</v>
      </c>
      <c r="L3" s="19" t="s">
        <v>433</v>
      </c>
      <c r="M3" s="19" t="s">
        <v>58</v>
      </c>
      <c r="N3" s="19"/>
      <c r="O3" s="19"/>
      <c r="P3" s="19"/>
      <c r="Q3" s="19"/>
      <c r="R3" s="19"/>
      <c r="S3" s="19"/>
      <c r="T3" s="19"/>
      <c r="U3" s="19"/>
      <c r="V3" s="16"/>
      <c r="W3" s="16"/>
      <c r="X3" s="16"/>
      <c r="Y3" s="16"/>
      <c r="Z3" s="16"/>
      <c r="AA3" s="16"/>
      <c r="AB3" s="16"/>
      <c r="AC3" s="19"/>
      <c r="AD3" s="16"/>
      <c r="AE3" s="19"/>
      <c r="AF3" s="16"/>
      <c r="AG3" s="19"/>
      <c r="AH3" s="24"/>
      <c r="AI3" s="24"/>
      <c r="AJ3" s="19"/>
      <c r="AK3" s="19">
        <v>15711.0</v>
      </c>
      <c r="AL3" s="25">
        <f t="shared" ref="AL3:AL39" si="4">((TODAY()-AK3)/365)</f>
        <v>83.34520548</v>
      </c>
      <c r="AM3" s="19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86"/>
      <c r="BB3" s="29"/>
      <c r="BC3" s="29"/>
    </row>
    <row r="4" ht="14.25" customHeight="1">
      <c r="A4" s="14">
        <v>1.0</v>
      </c>
      <c r="B4" s="15" t="s">
        <v>92</v>
      </c>
      <c r="C4" s="15" t="s">
        <v>434</v>
      </c>
      <c r="D4" s="15" t="s">
        <v>435</v>
      </c>
      <c r="E4" s="17" t="s">
        <v>102</v>
      </c>
      <c r="F4" s="17"/>
      <c r="G4" s="16" t="str">
        <f t="shared" si="1"/>
        <v>Tan, Laurence A.</v>
      </c>
      <c r="H4" s="16" t="str">
        <f t="shared" si="2"/>
        <v>Laurence A. Tan</v>
      </c>
      <c r="I4" s="16" t="str">
        <f t="shared" si="3"/>
        <v>Tan, Laurence Aquino</v>
      </c>
      <c r="J4" s="19" t="s">
        <v>436</v>
      </c>
      <c r="K4" s="19" t="s">
        <v>56</v>
      </c>
      <c r="L4" s="19" t="s">
        <v>57</v>
      </c>
      <c r="M4" s="19" t="s">
        <v>58</v>
      </c>
      <c r="N4" s="19">
        <v>1.120104087E9</v>
      </c>
      <c r="O4" s="20">
        <v>38322.0</v>
      </c>
      <c r="P4" s="20"/>
      <c r="Q4" s="20"/>
      <c r="R4" s="20"/>
      <c r="S4" s="20"/>
      <c r="T4" s="20">
        <f t="shared" ref="T4:T39" si="5">TODAY()</f>
        <v>46132</v>
      </c>
      <c r="U4" s="21">
        <f t="shared" ref="U4:U39" si="6">DATEDIF(O4,T4,"y")</f>
        <v>21</v>
      </c>
      <c r="V4" s="19">
        <f t="shared" ref="V4:V39" si="7">DATEDIF(O4,T4,"ym")</f>
        <v>4</v>
      </c>
      <c r="W4" s="19">
        <f t="shared" ref="W4:W39" si="8">DATEDIF(O4,T4,"MD")</f>
        <v>19</v>
      </c>
      <c r="X4" s="74">
        <v>38508.0</v>
      </c>
      <c r="Y4" s="16"/>
      <c r="Z4" s="16"/>
      <c r="AA4" s="16"/>
      <c r="AB4" s="16"/>
      <c r="AC4" s="22">
        <f>29503.75+1216.66-6000</f>
        <v>24720.41</v>
      </c>
      <c r="AD4" s="23"/>
      <c r="AE4" s="22">
        <f t="shared" ref="AE4:AE39" si="9">SUM(AC4:AD4)</f>
        <v>24720.41</v>
      </c>
      <c r="AF4" s="22">
        <f t="shared" ref="AF4:AF21" si="10">AE4*12/365</f>
        <v>812.7258082</v>
      </c>
      <c r="AG4" s="19" t="s">
        <v>59</v>
      </c>
      <c r="AH4" s="24" t="s">
        <v>437</v>
      </c>
      <c r="AI4" s="24" t="s">
        <v>61</v>
      </c>
      <c r="AJ4" s="19" t="s">
        <v>107</v>
      </c>
      <c r="AK4" s="19">
        <v>25007.0</v>
      </c>
      <c r="AL4" s="25">
        <f t="shared" si="4"/>
        <v>57.87671233</v>
      </c>
      <c r="AM4" s="19" t="s">
        <v>438</v>
      </c>
      <c r="AN4" s="16"/>
      <c r="AO4" s="71">
        <v>9.196143061E9</v>
      </c>
      <c r="AP4" s="87" t="s">
        <v>439</v>
      </c>
      <c r="AQ4" s="16" t="s">
        <v>440</v>
      </c>
      <c r="AR4" s="16" t="s">
        <v>441</v>
      </c>
      <c r="AS4" s="19" t="s">
        <v>442</v>
      </c>
      <c r="AT4" s="19" t="s">
        <v>443</v>
      </c>
      <c r="AU4" s="19" t="s">
        <v>444</v>
      </c>
      <c r="AV4" s="19" t="s">
        <v>445</v>
      </c>
      <c r="AW4" s="16"/>
      <c r="AX4" s="16" t="s">
        <v>446</v>
      </c>
      <c r="AY4" s="16" t="s">
        <v>117</v>
      </c>
      <c r="AZ4" s="16">
        <v>9.286597545E9</v>
      </c>
      <c r="BA4" s="86"/>
      <c r="BB4" s="29"/>
      <c r="BC4" s="29"/>
    </row>
    <row r="5" ht="14.25" customHeight="1">
      <c r="A5" s="14">
        <f t="shared" ref="A5:A39" si="11">+A4+1</f>
        <v>2</v>
      </c>
      <c r="B5" s="15" t="s">
        <v>447</v>
      </c>
      <c r="C5" s="15" t="s">
        <v>448</v>
      </c>
      <c r="D5" s="15" t="s">
        <v>449</v>
      </c>
      <c r="E5" s="17" t="s">
        <v>450</v>
      </c>
      <c r="F5" s="17"/>
      <c r="G5" s="16" t="str">
        <f t="shared" si="1"/>
        <v>Gumapac, Mark Laurence I.</v>
      </c>
      <c r="H5" s="16" t="str">
        <f t="shared" si="2"/>
        <v>Mark Laurence I. Gumapac</v>
      </c>
      <c r="I5" s="16" t="str">
        <f t="shared" si="3"/>
        <v>Gumapac, Mark Laurence Ibañez</v>
      </c>
      <c r="J5" s="19" t="s">
        <v>95</v>
      </c>
      <c r="K5" s="19" t="s">
        <v>451</v>
      </c>
      <c r="L5" s="19" t="s">
        <v>57</v>
      </c>
      <c r="M5" s="19" t="s">
        <v>58</v>
      </c>
      <c r="N5" s="19">
        <v>1.100107045E9</v>
      </c>
      <c r="O5" s="20">
        <v>39356.0</v>
      </c>
      <c r="P5" s="20"/>
      <c r="Q5" s="20"/>
      <c r="R5" s="20"/>
      <c r="S5" s="20"/>
      <c r="T5" s="20">
        <f t="shared" si="5"/>
        <v>46132</v>
      </c>
      <c r="U5" s="21">
        <f t="shared" si="6"/>
        <v>18</v>
      </c>
      <c r="V5" s="19">
        <f t="shared" si="7"/>
        <v>6</v>
      </c>
      <c r="W5" s="19">
        <f t="shared" si="8"/>
        <v>19</v>
      </c>
      <c r="X5" s="74">
        <v>39355.0</v>
      </c>
      <c r="Y5" s="16"/>
      <c r="Z5" s="16"/>
      <c r="AA5" s="16"/>
      <c r="AB5" s="16"/>
      <c r="AC5" s="22">
        <f>19703.75+1216.66</f>
        <v>20920.41</v>
      </c>
      <c r="AD5" s="23"/>
      <c r="AE5" s="22">
        <f t="shared" si="9"/>
        <v>20920.41</v>
      </c>
      <c r="AF5" s="22">
        <f t="shared" si="10"/>
        <v>687.7943014</v>
      </c>
      <c r="AG5" s="19" t="s">
        <v>59</v>
      </c>
      <c r="AH5" s="24" t="s">
        <v>452</v>
      </c>
      <c r="AI5" s="24" t="s">
        <v>61</v>
      </c>
      <c r="AJ5" s="19" t="s">
        <v>62</v>
      </c>
      <c r="AK5" s="19">
        <v>32078.0</v>
      </c>
      <c r="AL5" s="25">
        <f t="shared" si="4"/>
        <v>38.50410959</v>
      </c>
      <c r="AM5" s="19" t="s">
        <v>453</v>
      </c>
      <c r="AN5" s="16"/>
      <c r="AO5" s="88">
        <v>9.473838045E9</v>
      </c>
      <c r="AP5" s="89" t="s">
        <v>454</v>
      </c>
      <c r="AQ5" s="16" t="s">
        <v>66</v>
      </c>
      <c r="AR5" s="26" t="s">
        <v>455</v>
      </c>
      <c r="AS5" s="19" t="s">
        <v>456</v>
      </c>
      <c r="AT5" s="19" t="s">
        <v>457</v>
      </c>
      <c r="AU5" s="19" t="s">
        <v>458</v>
      </c>
      <c r="AV5" s="19" t="s">
        <v>459</v>
      </c>
      <c r="AW5" s="16"/>
      <c r="AX5" s="16" t="s">
        <v>460</v>
      </c>
      <c r="AY5" s="16" t="s">
        <v>213</v>
      </c>
      <c r="AZ5" s="16">
        <v>9.502011325E9</v>
      </c>
      <c r="BA5" s="86"/>
      <c r="BB5" s="29"/>
      <c r="BC5" s="29"/>
    </row>
    <row r="6" ht="14.25" customHeight="1">
      <c r="A6" s="14">
        <f t="shared" si="11"/>
        <v>3</v>
      </c>
      <c r="B6" s="15" t="s">
        <v>461</v>
      </c>
      <c r="C6" s="15" t="s">
        <v>462</v>
      </c>
      <c r="D6" s="15" t="s">
        <v>463</v>
      </c>
      <c r="E6" s="17" t="s">
        <v>308</v>
      </c>
      <c r="F6" s="17"/>
      <c r="G6" s="16" t="str">
        <f t="shared" si="1"/>
        <v>Mariano, Raymund B.</v>
      </c>
      <c r="H6" s="16" t="str">
        <f t="shared" si="2"/>
        <v>Raymund B. Mariano</v>
      </c>
      <c r="I6" s="16" t="str">
        <f t="shared" si="3"/>
        <v>Mariano, Raymund Baquiran</v>
      </c>
      <c r="J6" s="19" t="s">
        <v>464</v>
      </c>
      <c r="K6" s="19" t="s">
        <v>451</v>
      </c>
      <c r="L6" s="19" t="s">
        <v>57</v>
      </c>
      <c r="M6" s="19" t="s">
        <v>58</v>
      </c>
      <c r="N6" s="19">
        <v>1.090108065E9</v>
      </c>
      <c r="O6" s="20">
        <v>39692.0</v>
      </c>
      <c r="P6" s="90"/>
      <c r="Q6" s="90"/>
      <c r="R6" s="90"/>
      <c r="S6" s="90"/>
      <c r="T6" s="20">
        <f t="shared" si="5"/>
        <v>46132</v>
      </c>
      <c r="U6" s="21">
        <f t="shared" si="6"/>
        <v>17</v>
      </c>
      <c r="V6" s="19">
        <f t="shared" si="7"/>
        <v>7</v>
      </c>
      <c r="W6" s="19">
        <f t="shared" si="8"/>
        <v>19</v>
      </c>
      <c r="X6" s="74">
        <v>39692.0</v>
      </c>
      <c r="Y6" s="16"/>
      <c r="Z6" s="16"/>
      <c r="AA6" s="16"/>
      <c r="AB6" s="16"/>
      <c r="AC6" s="22">
        <f>36003.75+1216.66-12200</f>
        <v>25020.41</v>
      </c>
      <c r="AD6" s="23"/>
      <c r="AE6" s="22">
        <f t="shared" si="9"/>
        <v>25020.41</v>
      </c>
      <c r="AF6" s="22">
        <f t="shared" si="10"/>
        <v>822.5888219</v>
      </c>
      <c r="AG6" s="19" t="s">
        <v>59</v>
      </c>
      <c r="AH6" s="24" t="s">
        <v>465</v>
      </c>
      <c r="AI6" s="24" t="s">
        <v>61</v>
      </c>
      <c r="AJ6" s="19" t="s">
        <v>107</v>
      </c>
      <c r="AK6" s="19">
        <v>24386.0</v>
      </c>
      <c r="AL6" s="25">
        <f t="shared" si="4"/>
        <v>59.57808219</v>
      </c>
      <c r="AM6" s="19" t="s">
        <v>466</v>
      </c>
      <c r="AN6" s="16"/>
      <c r="AO6" s="91">
        <v>9.297956645E9</v>
      </c>
      <c r="AP6" s="92" t="s">
        <v>467</v>
      </c>
      <c r="AQ6" s="16" t="s">
        <v>468</v>
      </c>
      <c r="AR6" s="26" t="s">
        <v>469</v>
      </c>
      <c r="AS6" s="19" t="s">
        <v>470</v>
      </c>
      <c r="AT6" s="19" t="s">
        <v>471</v>
      </c>
      <c r="AU6" s="19" t="s">
        <v>472</v>
      </c>
      <c r="AV6" s="19" t="s">
        <v>473</v>
      </c>
      <c r="AW6" s="16"/>
      <c r="AX6" s="16" t="s">
        <v>474</v>
      </c>
      <c r="AY6" s="16" t="s">
        <v>117</v>
      </c>
      <c r="AZ6" s="16">
        <v>9.287570843E9</v>
      </c>
      <c r="BA6" s="86"/>
      <c r="BB6" s="29"/>
      <c r="BC6" s="29"/>
    </row>
    <row r="7" ht="14.25" customHeight="1">
      <c r="A7" s="14">
        <f t="shared" si="11"/>
        <v>4</v>
      </c>
      <c r="B7" s="15" t="s">
        <v>475</v>
      </c>
      <c r="C7" s="16" t="s">
        <v>476</v>
      </c>
      <c r="D7" s="16" t="s">
        <v>477</v>
      </c>
      <c r="E7" s="17" t="s">
        <v>81</v>
      </c>
      <c r="F7" s="17"/>
      <c r="G7" s="16" t="str">
        <f t="shared" si="1"/>
        <v>Tongson, Eduardo F.</v>
      </c>
      <c r="H7" s="16" t="str">
        <f t="shared" si="2"/>
        <v>Eduardo F. Tongson</v>
      </c>
      <c r="I7" s="16" t="str">
        <f t="shared" si="3"/>
        <v>Tongson, Eduardo Fabiaña</v>
      </c>
      <c r="J7" s="19" t="s">
        <v>478</v>
      </c>
      <c r="K7" s="19" t="s">
        <v>177</v>
      </c>
      <c r="L7" s="19" t="s">
        <v>57</v>
      </c>
      <c r="M7" s="19" t="s">
        <v>58</v>
      </c>
      <c r="N7" s="19">
        <v>1.101210088E9</v>
      </c>
      <c r="O7" s="20">
        <v>40463.0</v>
      </c>
      <c r="P7" s="20"/>
      <c r="Q7" s="20"/>
      <c r="R7" s="20"/>
      <c r="S7" s="20"/>
      <c r="T7" s="20">
        <f t="shared" si="5"/>
        <v>46132</v>
      </c>
      <c r="U7" s="21">
        <f t="shared" si="6"/>
        <v>15</v>
      </c>
      <c r="V7" s="19">
        <f t="shared" si="7"/>
        <v>6</v>
      </c>
      <c r="W7" s="19">
        <f t="shared" si="8"/>
        <v>8</v>
      </c>
      <c r="X7" s="74">
        <v>40878.0</v>
      </c>
      <c r="Y7" s="16"/>
      <c r="Z7" s="16"/>
      <c r="AA7" s="16"/>
      <c r="AB7" s="16"/>
      <c r="AC7" s="22">
        <f>19819.75+1216.66</f>
        <v>21036.41</v>
      </c>
      <c r="AD7" s="23"/>
      <c r="AE7" s="22">
        <f t="shared" si="9"/>
        <v>21036.41</v>
      </c>
      <c r="AF7" s="22">
        <f t="shared" si="10"/>
        <v>691.608</v>
      </c>
      <c r="AG7" s="19" t="s">
        <v>59</v>
      </c>
      <c r="AH7" s="24" t="s">
        <v>479</v>
      </c>
      <c r="AI7" s="24" t="s">
        <v>61</v>
      </c>
      <c r="AJ7" s="19" t="s">
        <v>107</v>
      </c>
      <c r="AK7" s="19">
        <v>26151.0</v>
      </c>
      <c r="AL7" s="25">
        <f t="shared" si="4"/>
        <v>54.74246575</v>
      </c>
      <c r="AM7" s="19" t="s">
        <v>480</v>
      </c>
      <c r="AN7" s="16"/>
      <c r="AO7" s="91">
        <v>9.564339176E9</v>
      </c>
      <c r="AP7" s="87" t="s">
        <v>481</v>
      </c>
      <c r="AQ7" s="16" t="s">
        <v>110</v>
      </c>
      <c r="AR7" s="16" t="s">
        <v>482</v>
      </c>
      <c r="AS7" s="19" t="s">
        <v>483</v>
      </c>
      <c r="AT7" s="19" t="s">
        <v>484</v>
      </c>
      <c r="AU7" s="19" t="s">
        <v>485</v>
      </c>
      <c r="AV7" s="19" t="s">
        <v>486</v>
      </c>
      <c r="AW7" s="16"/>
      <c r="AX7" s="16" t="s">
        <v>487</v>
      </c>
      <c r="AY7" s="16" t="s">
        <v>117</v>
      </c>
      <c r="AZ7" s="16" t="s">
        <v>488</v>
      </c>
      <c r="BA7" s="86"/>
      <c r="BB7" s="29"/>
      <c r="BC7" s="29"/>
    </row>
    <row r="8" ht="14.25" customHeight="1">
      <c r="A8" s="14">
        <f t="shared" si="11"/>
        <v>5</v>
      </c>
      <c r="B8" s="15" t="s">
        <v>489</v>
      </c>
      <c r="C8" s="15" t="s">
        <v>490</v>
      </c>
      <c r="D8" s="15" t="s">
        <v>491</v>
      </c>
      <c r="E8" s="17" t="s">
        <v>81</v>
      </c>
      <c r="F8" s="17"/>
      <c r="G8" s="16" t="str">
        <f t="shared" si="1"/>
        <v>Peñaranda, Anna Belle F.</v>
      </c>
      <c r="H8" s="16" t="str">
        <f t="shared" si="2"/>
        <v>Anna Belle F. Peñaranda</v>
      </c>
      <c r="I8" s="16" t="str">
        <f t="shared" si="3"/>
        <v>Peñaranda, Anna Belle Fabro</v>
      </c>
      <c r="J8" s="19" t="s">
        <v>492</v>
      </c>
      <c r="K8" s="19" t="s">
        <v>493</v>
      </c>
      <c r="L8" s="19" t="s">
        <v>57</v>
      </c>
      <c r="M8" s="19" t="s">
        <v>58</v>
      </c>
      <c r="N8" s="19">
        <v>1.111113173E9</v>
      </c>
      <c r="O8" s="20">
        <v>41589.0</v>
      </c>
      <c r="P8" s="90"/>
      <c r="Q8" s="90"/>
      <c r="R8" s="90"/>
      <c r="S8" s="90"/>
      <c r="T8" s="20">
        <f t="shared" si="5"/>
        <v>46132</v>
      </c>
      <c r="U8" s="21">
        <f t="shared" si="6"/>
        <v>12</v>
      </c>
      <c r="V8" s="19">
        <f t="shared" si="7"/>
        <v>5</v>
      </c>
      <c r="W8" s="19">
        <f t="shared" si="8"/>
        <v>9</v>
      </c>
      <c r="X8" s="74">
        <v>41923.0</v>
      </c>
      <c r="Y8" s="16"/>
      <c r="Z8" s="16"/>
      <c r="AA8" s="16"/>
      <c r="AB8" s="16"/>
      <c r="AC8" s="22">
        <f>19503.75+1216.66</f>
        <v>20720.41</v>
      </c>
      <c r="AD8" s="23"/>
      <c r="AE8" s="22">
        <f t="shared" si="9"/>
        <v>20720.41</v>
      </c>
      <c r="AF8" s="22">
        <f t="shared" si="10"/>
        <v>681.2189589</v>
      </c>
      <c r="AG8" s="19" t="s">
        <v>59</v>
      </c>
      <c r="AH8" s="24" t="s">
        <v>494</v>
      </c>
      <c r="AI8" s="24" t="s">
        <v>135</v>
      </c>
      <c r="AJ8" s="19" t="s">
        <v>62</v>
      </c>
      <c r="AK8" s="19">
        <v>29244.0</v>
      </c>
      <c r="AL8" s="25">
        <f t="shared" si="4"/>
        <v>46.26849315</v>
      </c>
      <c r="AM8" s="42" t="s">
        <v>495</v>
      </c>
      <c r="AN8" s="16"/>
      <c r="AO8" s="91">
        <v>9.155877556E9</v>
      </c>
      <c r="AP8" s="89" t="s">
        <v>496</v>
      </c>
      <c r="AQ8" s="16" t="s">
        <v>497</v>
      </c>
      <c r="AR8" s="26" t="s">
        <v>498</v>
      </c>
      <c r="AS8" s="19" t="s">
        <v>499</v>
      </c>
      <c r="AT8" s="21" t="s">
        <v>500</v>
      </c>
      <c r="AU8" s="21" t="s">
        <v>501</v>
      </c>
      <c r="AV8" s="19" t="s">
        <v>502</v>
      </c>
      <c r="AW8" s="16"/>
      <c r="AX8" s="16" t="s">
        <v>503</v>
      </c>
      <c r="AY8" s="16" t="s">
        <v>390</v>
      </c>
      <c r="AZ8" s="16">
        <v>9.163490536E9</v>
      </c>
      <c r="BA8" s="86"/>
      <c r="BB8" s="29"/>
      <c r="BC8" s="29"/>
    </row>
    <row r="9" ht="14.25" customHeight="1">
      <c r="A9" s="14">
        <f t="shared" si="11"/>
        <v>6</v>
      </c>
      <c r="B9" s="15" t="s">
        <v>504</v>
      </c>
      <c r="C9" s="15" t="s">
        <v>505</v>
      </c>
      <c r="D9" s="15" t="s">
        <v>506</v>
      </c>
      <c r="E9" s="17" t="s">
        <v>54</v>
      </c>
      <c r="F9" s="17"/>
      <c r="G9" s="16" t="str">
        <f t="shared" si="1"/>
        <v>Lino, Henson D.</v>
      </c>
      <c r="H9" s="16" t="str">
        <f t="shared" si="2"/>
        <v>Henson D. Lino</v>
      </c>
      <c r="I9" s="16" t="str">
        <f t="shared" si="3"/>
        <v>Lino, Henson De Guzman</v>
      </c>
      <c r="J9" s="19" t="s">
        <v>507</v>
      </c>
      <c r="K9" s="19" t="s">
        <v>508</v>
      </c>
      <c r="L9" s="19" t="s">
        <v>57</v>
      </c>
      <c r="M9" s="19" t="s">
        <v>58</v>
      </c>
      <c r="N9" s="19">
        <v>1.062509056E9</v>
      </c>
      <c r="O9" s="20">
        <v>42302.0</v>
      </c>
      <c r="P9" s="20"/>
      <c r="Q9" s="20"/>
      <c r="R9" s="20"/>
      <c r="S9" s="20"/>
      <c r="T9" s="20">
        <f t="shared" si="5"/>
        <v>46132</v>
      </c>
      <c r="U9" s="21">
        <f t="shared" si="6"/>
        <v>10</v>
      </c>
      <c r="V9" s="19">
        <f t="shared" si="7"/>
        <v>5</v>
      </c>
      <c r="W9" s="19">
        <f t="shared" si="8"/>
        <v>26</v>
      </c>
      <c r="X9" s="74">
        <v>42302.0</v>
      </c>
      <c r="Y9" s="16"/>
      <c r="Z9" s="16"/>
      <c r="AA9" s="16"/>
      <c r="AB9" s="16"/>
      <c r="AC9" s="22">
        <f>19063.75+1216.66</f>
        <v>20280.41</v>
      </c>
      <c r="AD9" s="23"/>
      <c r="AE9" s="22">
        <f t="shared" si="9"/>
        <v>20280.41</v>
      </c>
      <c r="AF9" s="22">
        <f t="shared" si="10"/>
        <v>666.7532055</v>
      </c>
      <c r="AG9" s="19" t="s">
        <v>59</v>
      </c>
      <c r="AH9" s="24" t="s">
        <v>509</v>
      </c>
      <c r="AI9" s="24" t="s">
        <v>61</v>
      </c>
      <c r="AJ9" s="19" t="s">
        <v>107</v>
      </c>
      <c r="AK9" s="19">
        <v>29068.0</v>
      </c>
      <c r="AL9" s="25">
        <f t="shared" si="4"/>
        <v>46.75068493</v>
      </c>
      <c r="AM9" s="19" t="s">
        <v>510</v>
      </c>
      <c r="AN9" s="16"/>
      <c r="AO9" s="91">
        <v>9.953920478E9</v>
      </c>
      <c r="AP9" s="87" t="s">
        <v>511</v>
      </c>
      <c r="AQ9" s="16" t="s">
        <v>512</v>
      </c>
      <c r="AR9" s="93" t="s">
        <v>513</v>
      </c>
      <c r="AS9" s="19" t="s">
        <v>514</v>
      </c>
      <c r="AT9" s="19" t="s">
        <v>515</v>
      </c>
      <c r="AU9" s="19" t="s">
        <v>516</v>
      </c>
      <c r="AV9" s="19" t="s">
        <v>517</v>
      </c>
      <c r="AW9" s="16"/>
      <c r="AX9" s="16" t="s">
        <v>518</v>
      </c>
      <c r="AY9" s="16" t="s">
        <v>117</v>
      </c>
      <c r="AZ9" s="16">
        <v>9.362069428E9</v>
      </c>
      <c r="BA9" s="86"/>
      <c r="BB9" s="29"/>
      <c r="BC9" s="29"/>
    </row>
    <row r="10" ht="14.25" customHeight="1">
      <c r="A10" s="14">
        <f t="shared" si="11"/>
        <v>7</v>
      </c>
      <c r="B10" s="15" t="s">
        <v>519</v>
      </c>
      <c r="C10" s="15" t="s">
        <v>520</v>
      </c>
      <c r="D10" s="15" t="s">
        <v>521</v>
      </c>
      <c r="E10" s="17" t="s">
        <v>394</v>
      </c>
      <c r="F10" s="17"/>
      <c r="G10" s="16" t="str">
        <f t="shared" si="1"/>
        <v>Piñgol, Raymond S.</v>
      </c>
      <c r="H10" s="16" t="str">
        <f t="shared" si="2"/>
        <v>Raymond S. Piñgol</v>
      </c>
      <c r="I10" s="16" t="str">
        <f t="shared" si="3"/>
        <v>Piñgol, Raymond Sevilla</v>
      </c>
      <c r="J10" s="19" t="s">
        <v>522</v>
      </c>
      <c r="K10" s="19" t="s">
        <v>451</v>
      </c>
      <c r="L10" s="19" t="s">
        <v>57</v>
      </c>
      <c r="M10" s="19" t="s">
        <v>58</v>
      </c>
      <c r="N10" s="19">
        <v>1.070218203E9</v>
      </c>
      <c r="O10" s="20">
        <v>43283.0</v>
      </c>
      <c r="P10" s="20"/>
      <c r="Q10" s="20"/>
      <c r="R10" s="19">
        <v>43283.0</v>
      </c>
      <c r="S10" s="19">
        <v>43466.0</v>
      </c>
      <c r="T10" s="20">
        <f t="shared" si="5"/>
        <v>46132</v>
      </c>
      <c r="U10" s="21">
        <f t="shared" si="6"/>
        <v>7</v>
      </c>
      <c r="V10" s="19">
        <f t="shared" si="7"/>
        <v>9</v>
      </c>
      <c r="W10" s="19">
        <f t="shared" si="8"/>
        <v>18</v>
      </c>
      <c r="X10" s="74">
        <v>43467.0</v>
      </c>
      <c r="Y10" s="16"/>
      <c r="Z10" s="16"/>
      <c r="AA10" s="16"/>
      <c r="AB10" s="16"/>
      <c r="AC10" s="22">
        <f>22003.75+1216.66</f>
        <v>23220.41</v>
      </c>
      <c r="AD10" s="23"/>
      <c r="AE10" s="22">
        <f t="shared" si="9"/>
        <v>23220.41</v>
      </c>
      <c r="AF10" s="22">
        <f t="shared" si="10"/>
        <v>763.4107397</v>
      </c>
      <c r="AG10" s="19" t="s">
        <v>59</v>
      </c>
      <c r="AH10" s="24" t="s">
        <v>523</v>
      </c>
      <c r="AI10" s="24" t="s">
        <v>61</v>
      </c>
      <c r="AJ10" s="19" t="s">
        <v>62</v>
      </c>
      <c r="AK10" s="19">
        <v>33886.0</v>
      </c>
      <c r="AL10" s="25">
        <f t="shared" si="4"/>
        <v>33.55068493</v>
      </c>
      <c r="AM10" s="19" t="s">
        <v>524</v>
      </c>
      <c r="AN10" s="16"/>
      <c r="AO10" s="71">
        <v>9.671353061E9</v>
      </c>
      <c r="AP10" s="92" t="s">
        <v>525</v>
      </c>
      <c r="AQ10" s="16" t="s">
        <v>110</v>
      </c>
      <c r="AR10" s="26" t="s">
        <v>526</v>
      </c>
      <c r="AS10" s="19" t="s">
        <v>527</v>
      </c>
      <c r="AT10" s="19" t="s">
        <v>528</v>
      </c>
      <c r="AU10" s="19" t="s">
        <v>529</v>
      </c>
      <c r="AV10" s="19" t="s">
        <v>530</v>
      </c>
      <c r="AW10" s="16"/>
      <c r="AX10" s="16" t="s">
        <v>531</v>
      </c>
      <c r="AY10" s="16" t="s">
        <v>318</v>
      </c>
      <c r="AZ10" s="16">
        <v>9.353369764E9</v>
      </c>
      <c r="BA10" s="86"/>
      <c r="BB10" s="29"/>
      <c r="BC10" s="29"/>
    </row>
    <row r="11" ht="14.25" customHeight="1">
      <c r="A11" s="14">
        <f t="shared" si="11"/>
        <v>8</v>
      </c>
      <c r="B11" s="15" t="s">
        <v>532</v>
      </c>
      <c r="C11" s="15" t="s">
        <v>533</v>
      </c>
      <c r="D11" s="15" t="s">
        <v>534</v>
      </c>
      <c r="E11" s="17" t="s">
        <v>535</v>
      </c>
      <c r="F11" s="17"/>
      <c r="G11" s="16" t="str">
        <f t="shared" si="1"/>
        <v>Grimaldo, Richard Z.</v>
      </c>
      <c r="H11" s="16" t="str">
        <f t="shared" si="2"/>
        <v>Richard Z. Grimaldo</v>
      </c>
      <c r="I11" s="16" t="str">
        <f t="shared" si="3"/>
        <v>Grimaldo, Richard Zapanta</v>
      </c>
      <c r="J11" s="17" t="s">
        <v>536</v>
      </c>
      <c r="K11" s="19" t="s">
        <v>537</v>
      </c>
      <c r="L11" s="19" t="s">
        <v>57</v>
      </c>
      <c r="M11" s="19" t="s">
        <v>58</v>
      </c>
      <c r="N11" s="19">
        <v>1.020919176E9</v>
      </c>
      <c r="O11" s="20">
        <v>43505.0</v>
      </c>
      <c r="P11" s="20"/>
      <c r="Q11" s="20"/>
      <c r="R11" s="20">
        <v>43505.0</v>
      </c>
      <c r="S11" s="20">
        <f>EDATE(R11-1,6)</f>
        <v>43685</v>
      </c>
      <c r="T11" s="20">
        <f t="shared" si="5"/>
        <v>46132</v>
      </c>
      <c r="U11" s="21">
        <f t="shared" si="6"/>
        <v>7</v>
      </c>
      <c r="V11" s="19">
        <f t="shared" si="7"/>
        <v>2</v>
      </c>
      <c r="W11" s="19">
        <f t="shared" si="8"/>
        <v>11</v>
      </c>
      <c r="X11" s="74">
        <v>43686.0</v>
      </c>
      <c r="Y11" s="16"/>
      <c r="Z11" s="16"/>
      <c r="AA11" s="16"/>
      <c r="AB11" s="16"/>
      <c r="AC11" s="22">
        <f>18853.75+1216.66</f>
        <v>20070.41</v>
      </c>
      <c r="AD11" s="23"/>
      <c r="AE11" s="22">
        <f t="shared" si="9"/>
        <v>20070.41</v>
      </c>
      <c r="AF11" s="22">
        <f t="shared" si="10"/>
        <v>659.8490959</v>
      </c>
      <c r="AG11" s="19" t="s">
        <v>59</v>
      </c>
      <c r="AH11" s="24" t="s">
        <v>538</v>
      </c>
      <c r="AI11" s="24" t="s">
        <v>61</v>
      </c>
      <c r="AJ11" s="19" t="s">
        <v>62</v>
      </c>
      <c r="AK11" s="19">
        <v>31718.0</v>
      </c>
      <c r="AL11" s="25">
        <f t="shared" si="4"/>
        <v>39.49041096</v>
      </c>
      <c r="AM11" s="94" t="s">
        <v>539</v>
      </c>
      <c r="AN11" s="16"/>
      <c r="AO11" s="91">
        <v>9.451227849E9</v>
      </c>
      <c r="AP11" s="92" t="s">
        <v>540</v>
      </c>
      <c r="AQ11" s="16" t="s">
        <v>110</v>
      </c>
      <c r="AR11" s="93" t="s">
        <v>541</v>
      </c>
      <c r="AS11" s="19" t="s">
        <v>542</v>
      </c>
      <c r="AT11" s="19" t="s">
        <v>543</v>
      </c>
      <c r="AU11" s="19" t="s">
        <v>544</v>
      </c>
      <c r="AV11" s="19" t="s">
        <v>545</v>
      </c>
      <c r="AW11" s="16"/>
      <c r="AX11" s="16" t="s">
        <v>546</v>
      </c>
      <c r="AY11" s="16" t="s">
        <v>213</v>
      </c>
      <c r="AZ11" s="33">
        <v>9.678236967E9</v>
      </c>
      <c r="BA11" s="86"/>
      <c r="BB11" s="29"/>
      <c r="BC11" s="29"/>
    </row>
    <row r="12" ht="14.25" customHeight="1">
      <c r="A12" s="14">
        <f t="shared" si="11"/>
        <v>9</v>
      </c>
      <c r="B12" s="15" t="s">
        <v>547</v>
      </c>
      <c r="C12" s="15" t="s">
        <v>548</v>
      </c>
      <c r="D12" s="15" t="s">
        <v>549</v>
      </c>
      <c r="E12" s="17" t="s">
        <v>308</v>
      </c>
      <c r="F12" s="17"/>
      <c r="G12" s="16" t="str">
        <f t="shared" si="1"/>
        <v>Batario, Roma Amor B.</v>
      </c>
      <c r="H12" s="16" t="str">
        <f t="shared" si="2"/>
        <v>Roma Amor B. Batario</v>
      </c>
      <c r="I12" s="16" t="str">
        <f t="shared" si="3"/>
        <v>Batario, Roma Amor Barco</v>
      </c>
      <c r="J12" s="19" t="s">
        <v>550</v>
      </c>
      <c r="K12" s="19" t="s">
        <v>451</v>
      </c>
      <c r="L12" s="19" t="s">
        <v>57</v>
      </c>
      <c r="M12" s="19" t="s">
        <v>58</v>
      </c>
      <c r="N12" s="19">
        <v>1.08022124E9</v>
      </c>
      <c r="O12" s="20">
        <v>44410.0</v>
      </c>
      <c r="P12" s="20"/>
      <c r="Q12" s="20"/>
      <c r="R12" s="19">
        <v>44410.0</v>
      </c>
      <c r="S12" s="19">
        <v>44593.0</v>
      </c>
      <c r="T12" s="20">
        <f t="shared" si="5"/>
        <v>46132</v>
      </c>
      <c r="U12" s="21">
        <f t="shared" si="6"/>
        <v>4</v>
      </c>
      <c r="V12" s="19">
        <f t="shared" si="7"/>
        <v>8</v>
      </c>
      <c r="W12" s="19">
        <f t="shared" si="8"/>
        <v>18</v>
      </c>
      <c r="X12" s="19">
        <v>44594.0</v>
      </c>
      <c r="Y12" s="16"/>
      <c r="Z12" s="16"/>
      <c r="AA12" s="16"/>
      <c r="AB12" s="16"/>
      <c r="AC12" s="22">
        <f>18903.94+1216.66</f>
        <v>20120.6</v>
      </c>
      <c r="AD12" s="23"/>
      <c r="AE12" s="22">
        <f t="shared" si="9"/>
        <v>20120.6</v>
      </c>
      <c r="AF12" s="22">
        <f t="shared" si="10"/>
        <v>661.4991781</v>
      </c>
      <c r="AG12" s="19" t="s">
        <v>59</v>
      </c>
      <c r="AH12" s="24"/>
      <c r="AI12" s="24" t="s">
        <v>135</v>
      </c>
      <c r="AJ12" s="19" t="s">
        <v>62</v>
      </c>
      <c r="AK12" s="19">
        <v>35863.0</v>
      </c>
      <c r="AL12" s="25">
        <f t="shared" si="4"/>
        <v>28.13424658</v>
      </c>
      <c r="AM12" s="94" t="s">
        <v>551</v>
      </c>
      <c r="AN12" s="16"/>
      <c r="AO12" s="91">
        <v>9.392110704E9</v>
      </c>
      <c r="AP12" s="92" t="s">
        <v>552</v>
      </c>
      <c r="AQ12" s="16" t="s">
        <v>110</v>
      </c>
      <c r="AR12" s="93" t="s">
        <v>526</v>
      </c>
      <c r="AS12" s="19" t="s">
        <v>553</v>
      </c>
      <c r="AT12" s="19" t="s">
        <v>554</v>
      </c>
      <c r="AU12" s="19" t="s">
        <v>555</v>
      </c>
      <c r="AV12" s="19" t="s">
        <v>556</v>
      </c>
      <c r="AW12" s="16"/>
      <c r="AX12" s="16" t="s">
        <v>557</v>
      </c>
      <c r="AY12" s="16" t="s">
        <v>213</v>
      </c>
      <c r="AZ12" s="16">
        <v>9.60690509E9</v>
      </c>
      <c r="BA12" s="86"/>
      <c r="BB12" s="29"/>
      <c r="BC12" s="29"/>
    </row>
    <row r="13" ht="14.25" customHeight="1">
      <c r="A13" s="14">
        <f t="shared" si="11"/>
        <v>10</v>
      </c>
      <c r="B13" s="16" t="s">
        <v>558</v>
      </c>
      <c r="C13" s="26" t="s">
        <v>559</v>
      </c>
      <c r="D13" s="16" t="s">
        <v>560</v>
      </c>
      <c r="E13" s="19" t="s">
        <v>132</v>
      </c>
      <c r="F13" s="19"/>
      <c r="G13" s="16" t="str">
        <f t="shared" si="1"/>
        <v>Balaoro, Royeth C.</v>
      </c>
      <c r="H13" s="16" t="str">
        <f t="shared" si="2"/>
        <v>Royeth C. Balaoro</v>
      </c>
      <c r="I13" s="16" t="str">
        <f t="shared" si="3"/>
        <v>Balaoro, Royeth Cantonjos</v>
      </c>
      <c r="J13" s="19" t="s">
        <v>561</v>
      </c>
      <c r="K13" s="19" t="s">
        <v>56</v>
      </c>
      <c r="L13" s="19" t="s">
        <v>57</v>
      </c>
      <c r="M13" s="19" t="s">
        <v>58</v>
      </c>
      <c r="N13" s="19">
        <v>1.050422226E9</v>
      </c>
      <c r="O13" s="20">
        <v>44685.0</v>
      </c>
      <c r="P13" s="19"/>
      <c r="Q13" s="19"/>
      <c r="R13" s="19">
        <v>44685.0</v>
      </c>
      <c r="S13" s="20">
        <f>EDATE(R13-1,6)</f>
        <v>44868</v>
      </c>
      <c r="T13" s="61">
        <f t="shared" si="5"/>
        <v>46132</v>
      </c>
      <c r="U13" s="19">
        <f t="shared" si="6"/>
        <v>3</v>
      </c>
      <c r="V13" s="19">
        <f t="shared" si="7"/>
        <v>11</v>
      </c>
      <c r="W13" s="19">
        <f t="shared" si="8"/>
        <v>16</v>
      </c>
      <c r="X13" s="19">
        <v>44869.0</v>
      </c>
      <c r="Y13" s="26" t="s">
        <v>82</v>
      </c>
      <c r="Z13" s="19" t="s">
        <v>562</v>
      </c>
      <c r="AA13" s="16" t="s">
        <v>563</v>
      </c>
      <c r="AB13" s="19" t="s">
        <v>564</v>
      </c>
      <c r="AC13" s="22">
        <f>17337.75+1216.41</f>
        <v>18554.16</v>
      </c>
      <c r="AD13" s="19"/>
      <c r="AE13" s="22">
        <f t="shared" si="9"/>
        <v>18554.16</v>
      </c>
      <c r="AF13" s="22">
        <f t="shared" si="10"/>
        <v>609.9997808</v>
      </c>
      <c r="AG13" s="19" t="s">
        <v>59</v>
      </c>
      <c r="AH13" s="24"/>
      <c r="AI13" s="19" t="s">
        <v>61</v>
      </c>
      <c r="AJ13" s="19" t="s">
        <v>62</v>
      </c>
      <c r="AK13" s="19">
        <v>34830.0</v>
      </c>
      <c r="AL13" s="62">
        <f t="shared" si="4"/>
        <v>30.96438356</v>
      </c>
      <c r="AM13" s="19" t="s">
        <v>565</v>
      </c>
      <c r="AN13" s="26" t="s">
        <v>566</v>
      </c>
      <c r="AO13" s="71">
        <v>9.756716973E9</v>
      </c>
      <c r="AP13" s="63" t="s">
        <v>567</v>
      </c>
      <c r="AQ13" s="16" t="s">
        <v>66</v>
      </c>
      <c r="AR13" s="16" t="s">
        <v>568</v>
      </c>
      <c r="AS13" s="64" t="s">
        <v>569</v>
      </c>
      <c r="AT13" s="64" t="s">
        <v>570</v>
      </c>
      <c r="AU13" s="64" t="s">
        <v>571</v>
      </c>
      <c r="AV13" s="64" t="s">
        <v>572</v>
      </c>
      <c r="AW13" s="19"/>
      <c r="AX13" s="26" t="s">
        <v>573</v>
      </c>
      <c r="AY13" s="26" t="s">
        <v>213</v>
      </c>
      <c r="AZ13" s="19">
        <v>9.054582335E9</v>
      </c>
      <c r="BA13" s="16"/>
      <c r="BB13" s="29"/>
      <c r="BC13" s="29"/>
    </row>
    <row r="14" ht="14.25" customHeight="1">
      <c r="A14" s="14">
        <f t="shared" si="11"/>
        <v>11</v>
      </c>
      <c r="B14" s="15" t="s">
        <v>574</v>
      </c>
      <c r="C14" s="15" t="s">
        <v>575</v>
      </c>
      <c r="D14" s="15" t="s">
        <v>576</v>
      </c>
      <c r="E14" s="17" t="s">
        <v>379</v>
      </c>
      <c r="F14" s="17"/>
      <c r="G14" s="16" t="str">
        <f t="shared" si="1"/>
        <v>Acasio, Stefanie G.</v>
      </c>
      <c r="H14" s="16" t="str">
        <f t="shared" si="2"/>
        <v>Stefanie G. Acasio</v>
      </c>
      <c r="I14" s="16" t="str">
        <f t="shared" si="3"/>
        <v>Acasio, Stefanie Galorio</v>
      </c>
      <c r="J14" s="19" t="s">
        <v>577</v>
      </c>
      <c r="K14" s="19" t="s">
        <v>537</v>
      </c>
      <c r="L14" s="19" t="s">
        <v>57</v>
      </c>
      <c r="M14" s="19" t="s">
        <v>58</v>
      </c>
      <c r="N14" s="19">
        <v>1.05162246E9</v>
      </c>
      <c r="O14" s="20">
        <v>44697.0</v>
      </c>
      <c r="P14" s="20"/>
      <c r="Q14" s="20"/>
      <c r="R14" s="20"/>
      <c r="S14" s="20"/>
      <c r="T14" s="20">
        <f t="shared" si="5"/>
        <v>46132</v>
      </c>
      <c r="U14" s="21">
        <f t="shared" si="6"/>
        <v>3</v>
      </c>
      <c r="V14" s="19">
        <f t="shared" si="7"/>
        <v>11</v>
      </c>
      <c r="W14" s="19">
        <f t="shared" si="8"/>
        <v>4</v>
      </c>
      <c r="X14" s="74">
        <v>44697.0</v>
      </c>
      <c r="Y14" s="16"/>
      <c r="Z14" s="16"/>
      <c r="AA14" s="16"/>
      <c r="AB14" s="16"/>
      <c r="AC14" s="22">
        <f>18153.75+1216.66</f>
        <v>19370.41</v>
      </c>
      <c r="AD14" s="23"/>
      <c r="AE14" s="22">
        <f t="shared" si="9"/>
        <v>19370.41</v>
      </c>
      <c r="AF14" s="22">
        <f t="shared" si="10"/>
        <v>636.8353973</v>
      </c>
      <c r="AG14" s="19" t="s">
        <v>59</v>
      </c>
      <c r="AH14" s="24" t="s">
        <v>578</v>
      </c>
      <c r="AI14" s="24" t="s">
        <v>135</v>
      </c>
      <c r="AJ14" s="19" t="s">
        <v>62</v>
      </c>
      <c r="AK14" s="19">
        <v>34479.0</v>
      </c>
      <c r="AL14" s="25">
        <f t="shared" si="4"/>
        <v>31.9260274</v>
      </c>
      <c r="AM14" s="19" t="s">
        <v>579</v>
      </c>
      <c r="AN14" s="16"/>
      <c r="AO14" s="91">
        <v>9.183376234E9</v>
      </c>
      <c r="AP14" s="89" t="s">
        <v>580</v>
      </c>
      <c r="AQ14" s="16" t="s">
        <v>110</v>
      </c>
      <c r="AR14" s="26" t="s">
        <v>581</v>
      </c>
      <c r="AS14" s="19" t="s">
        <v>582</v>
      </c>
      <c r="AT14" s="19" t="s">
        <v>583</v>
      </c>
      <c r="AU14" s="19" t="s">
        <v>584</v>
      </c>
      <c r="AV14" s="19" t="s">
        <v>585</v>
      </c>
      <c r="AW14" s="16"/>
      <c r="AX14" s="16" t="s">
        <v>586</v>
      </c>
      <c r="AY14" s="16" t="s">
        <v>213</v>
      </c>
      <c r="AZ14" s="95" t="s">
        <v>587</v>
      </c>
      <c r="BA14" s="86"/>
      <c r="BB14" s="29"/>
      <c r="BC14" s="29"/>
    </row>
    <row r="15" ht="14.25" customHeight="1">
      <c r="A15" s="14">
        <f t="shared" si="11"/>
        <v>12</v>
      </c>
      <c r="B15" s="15" t="s">
        <v>588</v>
      </c>
      <c r="C15" s="15" t="s">
        <v>589</v>
      </c>
      <c r="D15" s="15" t="s">
        <v>590</v>
      </c>
      <c r="E15" s="17" t="s">
        <v>54</v>
      </c>
      <c r="F15" s="17"/>
      <c r="G15" s="16" t="str">
        <f t="shared" si="1"/>
        <v>Deliva, Lloyd D.</v>
      </c>
      <c r="H15" s="16" t="str">
        <f t="shared" si="2"/>
        <v>Lloyd D. Deliva</v>
      </c>
      <c r="I15" s="16" t="str">
        <f t="shared" si="3"/>
        <v>Deliva, Lloyd Dagami</v>
      </c>
      <c r="J15" s="19" t="s">
        <v>591</v>
      </c>
      <c r="K15" s="19" t="s">
        <v>493</v>
      </c>
      <c r="L15" s="19" t="s">
        <v>57</v>
      </c>
      <c r="M15" s="19" t="s">
        <v>58</v>
      </c>
      <c r="N15" s="19">
        <v>1.051622094E9</v>
      </c>
      <c r="O15" s="20">
        <v>44697.0</v>
      </c>
      <c r="P15" s="20"/>
      <c r="Q15" s="20"/>
      <c r="R15" s="20"/>
      <c r="S15" s="20"/>
      <c r="T15" s="20">
        <f t="shared" si="5"/>
        <v>46132</v>
      </c>
      <c r="U15" s="21">
        <f t="shared" si="6"/>
        <v>3</v>
      </c>
      <c r="V15" s="19">
        <f t="shared" si="7"/>
        <v>11</v>
      </c>
      <c r="W15" s="19">
        <f t="shared" si="8"/>
        <v>4</v>
      </c>
      <c r="X15" s="74">
        <v>44697.0</v>
      </c>
      <c r="Y15" s="16"/>
      <c r="Z15" s="16"/>
      <c r="AA15" s="16"/>
      <c r="AB15" s="16"/>
      <c r="AC15" s="22">
        <f>18203.75+1216.66</f>
        <v>19420.41</v>
      </c>
      <c r="AD15" s="23"/>
      <c r="AE15" s="22">
        <f t="shared" si="9"/>
        <v>19420.41</v>
      </c>
      <c r="AF15" s="22">
        <f t="shared" si="10"/>
        <v>638.4792329</v>
      </c>
      <c r="AG15" s="19" t="s">
        <v>59</v>
      </c>
      <c r="AH15" s="24"/>
      <c r="AI15" s="24" t="s">
        <v>61</v>
      </c>
      <c r="AJ15" s="19" t="s">
        <v>62</v>
      </c>
      <c r="AK15" s="19">
        <v>30209.0</v>
      </c>
      <c r="AL15" s="25">
        <f t="shared" si="4"/>
        <v>43.62465753</v>
      </c>
      <c r="AM15" s="19" t="s">
        <v>592</v>
      </c>
      <c r="AN15" s="16"/>
      <c r="AO15" s="91">
        <v>9.101455049E9</v>
      </c>
      <c r="AP15" s="96" t="s">
        <v>593</v>
      </c>
      <c r="AQ15" s="16" t="s">
        <v>110</v>
      </c>
      <c r="AR15" s="26" t="s">
        <v>594</v>
      </c>
      <c r="AS15" s="19" t="s">
        <v>595</v>
      </c>
      <c r="AT15" s="19" t="s">
        <v>596</v>
      </c>
      <c r="AU15" s="19" t="s">
        <v>597</v>
      </c>
      <c r="AV15" s="19" t="s">
        <v>598</v>
      </c>
      <c r="AW15" s="16"/>
      <c r="AX15" s="16" t="s">
        <v>599</v>
      </c>
      <c r="AY15" s="16" t="s">
        <v>213</v>
      </c>
      <c r="AZ15" s="16">
        <v>9.504655232E9</v>
      </c>
      <c r="BA15" s="86"/>
      <c r="BB15" s="29"/>
      <c r="BC15" s="29"/>
    </row>
    <row r="16" ht="14.25" customHeight="1">
      <c r="A16" s="14">
        <f t="shared" si="11"/>
        <v>13</v>
      </c>
      <c r="B16" s="15" t="s">
        <v>600</v>
      </c>
      <c r="C16" s="15" t="s">
        <v>601</v>
      </c>
      <c r="D16" s="15" t="s">
        <v>602</v>
      </c>
      <c r="E16" s="17" t="s">
        <v>93</v>
      </c>
      <c r="F16" s="17"/>
      <c r="G16" s="16" t="str">
        <f t="shared" si="1"/>
        <v>Abesamis, Marius T.</v>
      </c>
      <c r="H16" s="16" t="str">
        <f t="shared" si="2"/>
        <v>Marius T. Abesamis</v>
      </c>
      <c r="I16" s="16" t="str">
        <f t="shared" si="3"/>
        <v>Abesamis, Marius Taneo</v>
      </c>
      <c r="J16" s="19" t="s">
        <v>160</v>
      </c>
      <c r="K16" s="19" t="s">
        <v>161</v>
      </c>
      <c r="L16" s="19" t="s">
        <v>57</v>
      </c>
      <c r="M16" s="19" t="s">
        <v>58</v>
      </c>
      <c r="N16" s="97">
        <v>1.051622003E9</v>
      </c>
      <c r="O16" s="98">
        <v>44697.0</v>
      </c>
      <c r="P16" s="99"/>
      <c r="Q16" s="99"/>
      <c r="R16" s="99"/>
      <c r="S16" s="99"/>
      <c r="T16" s="20">
        <f t="shared" si="5"/>
        <v>46132</v>
      </c>
      <c r="U16" s="21">
        <f t="shared" si="6"/>
        <v>3</v>
      </c>
      <c r="V16" s="19">
        <f t="shared" si="7"/>
        <v>11</v>
      </c>
      <c r="W16" s="19">
        <f t="shared" si="8"/>
        <v>4</v>
      </c>
      <c r="X16" s="100">
        <v>44697.0</v>
      </c>
      <c r="Y16" s="16"/>
      <c r="Z16" s="16"/>
      <c r="AA16" s="16"/>
      <c r="AB16" s="16"/>
      <c r="AC16" s="22">
        <f>19203.75+1216.66</f>
        <v>20420.41</v>
      </c>
      <c r="AD16" s="23"/>
      <c r="AE16" s="22">
        <f t="shared" si="9"/>
        <v>20420.41</v>
      </c>
      <c r="AF16" s="22">
        <f t="shared" si="10"/>
        <v>671.3559452</v>
      </c>
      <c r="AG16" s="19" t="s">
        <v>59</v>
      </c>
      <c r="AH16" s="24" t="s">
        <v>603</v>
      </c>
      <c r="AI16" s="24" t="s">
        <v>61</v>
      </c>
      <c r="AJ16" s="97" t="s">
        <v>62</v>
      </c>
      <c r="AK16" s="97">
        <v>28057.0</v>
      </c>
      <c r="AL16" s="25">
        <f t="shared" si="4"/>
        <v>49.52054795</v>
      </c>
      <c r="AM16" s="97" t="s">
        <v>604</v>
      </c>
      <c r="AN16" s="16"/>
      <c r="AO16" s="101">
        <v>9.214092425E9</v>
      </c>
      <c r="AP16" s="102" t="s">
        <v>605</v>
      </c>
      <c r="AQ16" s="16" t="s">
        <v>440</v>
      </c>
      <c r="AR16" s="16" t="s">
        <v>606</v>
      </c>
      <c r="AS16" s="97" t="s">
        <v>607</v>
      </c>
      <c r="AT16" s="97" t="s">
        <v>608</v>
      </c>
      <c r="AU16" s="97" t="s">
        <v>609</v>
      </c>
      <c r="AV16" s="97" t="s">
        <v>610</v>
      </c>
      <c r="AW16" s="16"/>
      <c r="AX16" s="16" t="s">
        <v>611</v>
      </c>
      <c r="AY16" s="16" t="s">
        <v>318</v>
      </c>
      <c r="AZ16" s="16">
        <v>9.327694496E9</v>
      </c>
      <c r="BA16" s="86"/>
      <c r="BB16" s="29"/>
      <c r="BC16" s="29"/>
    </row>
    <row r="17" ht="14.25" customHeight="1">
      <c r="A17" s="14">
        <f t="shared" si="11"/>
        <v>14</v>
      </c>
      <c r="B17" s="15" t="s">
        <v>405</v>
      </c>
      <c r="C17" s="15" t="s">
        <v>612</v>
      </c>
      <c r="D17" s="15" t="s">
        <v>613</v>
      </c>
      <c r="E17" s="17" t="s">
        <v>217</v>
      </c>
      <c r="F17" s="17"/>
      <c r="G17" s="16" t="str">
        <f t="shared" si="1"/>
        <v>Castillo, Oscar M.</v>
      </c>
      <c r="H17" s="16" t="str">
        <f t="shared" si="2"/>
        <v>Oscar M. Castillo</v>
      </c>
      <c r="I17" s="16" t="str">
        <f t="shared" si="3"/>
        <v>Castillo, Oscar Malate</v>
      </c>
      <c r="J17" s="19" t="s">
        <v>614</v>
      </c>
      <c r="K17" s="19" t="s">
        <v>56</v>
      </c>
      <c r="L17" s="19" t="s">
        <v>57</v>
      </c>
      <c r="M17" s="19" t="s">
        <v>58</v>
      </c>
      <c r="N17" s="19">
        <v>1.051622321E9</v>
      </c>
      <c r="O17" s="20">
        <v>44697.0</v>
      </c>
      <c r="P17" s="20"/>
      <c r="Q17" s="20"/>
      <c r="R17" s="20"/>
      <c r="S17" s="20"/>
      <c r="T17" s="20">
        <f t="shared" si="5"/>
        <v>46132</v>
      </c>
      <c r="U17" s="21">
        <f t="shared" si="6"/>
        <v>3</v>
      </c>
      <c r="V17" s="19">
        <f t="shared" si="7"/>
        <v>11</v>
      </c>
      <c r="W17" s="19">
        <f t="shared" si="8"/>
        <v>4</v>
      </c>
      <c r="X17" s="74">
        <v>44697.0</v>
      </c>
      <c r="Y17" s="16"/>
      <c r="Z17" s="16"/>
      <c r="AA17" s="16"/>
      <c r="AB17" s="16"/>
      <c r="AC17" s="22">
        <f>17337.75+1216.41</f>
        <v>18554.16</v>
      </c>
      <c r="AD17" s="23"/>
      <c r="AE17" s="22">
        <f t="shared" si="9"/>
        <v>18554.16</v>
      </c>
      <c r="AF17" s="22">
        <f t="shared" si="10"/>
        <v>609.9997808</v>
      </c>
      <c r="AG17" s="19" t="s">
        <v>59</v>
      </c>
      <c r="AH17" s="24" t="s">
        <v>615</v>
      </c>
      <c r="AI17" s="24" t="s">
        <v>61</v>
      </c>
      <c r="AJ17" s="19" t="s">
        <v>62</v>
      </c>
      <c r="AK17" s="19">
        <v>26591.0</v>
      </c>
      <c r="AL17" s="25">
        <f t="shared" si="4"/>
        <v>53.5369863</v>
      </c>
      <c r="AM17" s="19" t="s">
        <v>616</v>
      </c>
      <c r="AN17" s="16"/>
      <c r="AO17" s="91">
        <v>9.559468184E9</v>
      </c>
      <c r="AP17" s="87" t="s">
        <v>617</v>
      </c>
      <c r="AQ17" s="16" t="s">
        <v>440</v>
      </c>
      <c r="AR17" s="93" t="s">
        <v>223</v>
      </c>
      <c r="AS17" s="19" t="s">
        <v>618</v>
      </c>
      <c r="AT17" s="21" t="s">
        <v>619</v>
      </c>
      <c r="AU17" s="19" t="s">
        <v>620</v>
      </c>
      <c r="AV17" s="19" t="s">
        <v>621</v>
      </c>
      <c r="AW17" s="16"/>
      <c r="AX17" s="16" t="s">
        <v>622</v>
      </c>
      <c r="AY17" s="16" t="s">
        <v>623</v>
      </c>
      <c r="AZ17" s="16">
        <v>9.913988601E9</v>
      </c>
      <c r="BA17" s="86"/>
      <c r="BB17" s="29"/>
      <c r="BC17" s="29"/>
    </row>
    <row r="18" ht="14.25" customHeight="1">
      <c r="A18" s="14">
        <f t="shared" si="11"/>
        <v>15</v>
      </c>
      <c r="B18" s="15" t="s">
        <v>624</v>
      </c>
      <c r="C18" s="15" t="s">
        <v>625</v>
      </c>
      <c r="D18" s="15" t="s">
        <v>626</v>
      </c>
      <c r="E18" s="17" t="s">
        <v>132</v>
      </c>
      <c r="F18" s="17"/>
      <c r="G18" s="16" t="str">
        <f t="shared" si="1"/>
        <v>Noriega, Cynthia C.</v>
      </c>
      <c r="H18" s="16" t="str">
        <f t="shared" si="2"/>
        <v>Cynthia C. Noriega</v>
      </c>
      <c r="I18" s="16" t="str">
        <f t="shared" si="3"/>
        <v>Noriega, Cynthia Clemente</v>
      </c>
      <c r="J18" s="19" t="s">
        <v>133</v>
      </c>
      <c r="K18" s="19" t="s">
        <v>56</v>
      </c>
      <c r="L18" s="19" t="s">
        <v>57</v>
      </c>
      <c r="M18" s="19" t="s">
        <v>58</v>
      </c>
      <c r="N18" s="19">
        <v>1.051622025E9</v>
      </c>
      <c r="O18" s="20">
        <v>44697.0</v>
      </c>
      <c r="P18" s="20"/>
      <c r="Q18" s="20"/>
      <c r="R18" s="20"/>
      <c r="S18" s="20"/>
      <c r="T18" s="20">
        <f t="shared" si="5"/>
        <v>46132</v>
      </c>
      <c r="U18" s="21">
        <f t="shared" si="6"/>
        <v>3</v>
      </c>
      <c r="V18" s="19">
        <f t="shared" si="7"/>
        <v>11</v>
      </c>
      <c r="W18" s="19">
        <f t="shared" si="8"/>
        <v>4</v>
      </c>
      <c r="X18" s="74">
        <v>44697.0</v>
      </c>
      <c r="Y18" s="16"/>
      <c r="Z18" s="16"/>
      <c r="AA18" s="16"/>
      <c r="AB18" s="16"/>
      <c r="AC18" s="22">
        <f>19103.75+1216.66</f>
        <v>20320.41</v>
      </c>
      <c r="AD18" s="23"/>
      <c r="AE18" s="22">
        <f t="shared" si="9"/>
        <v>20320.41</v>
      </c>
      <c r="AF18" s="22">
        <f t="shared" si="10"/>
        <v>668.068274</v>
      </c>
      <c r="AG18" s="19" t="s">
        <v>59</v>
      </c>
      <c r="AH18" s="24" t="s">
        <v>627</v>
      </c>
      <c r="AI18" s="24" t="s">
        <v>135</v>
      </c>
      <c r="AJ18" s="19" t="s">
        <v>107</v>
      </c>
      <c r="AK18" s="19">
        <v>31980.0</v>
      </c>
      <c r="AL18" s="25">
        <f t="shared" si="4"/>
        <v>38.77260274</v>
      </c>
      <c r="AM18" s="19" t="s">
        <v>628</v>
      </c>
      <c r="AN18" s="16"/>
      <c r="AO18" s="71">
        <v>9.69480078E9</v>
      </c>
      <c r="AP18" s="28" t="s">
        <v>629</v>
      </c>
      <c r="AQ18" s="16" t="s">
        <v>440</v>
      </c>
      <c r="AR18" s="16" t="s">
        <v>67</v>
      </c>
      <c r="AS18" s="19" t="s">
        <v>630</v>
      </c>
      <c r="AT18" s="19" t="s">
        <v>631</v>
      </c>
      <c r="AU18" s="19" t="s">
        <v>632</v>
      </c>
      <c r="AV18" s="19" t="s">
        <v>633</v>
      </c>
      <c r="AW18" s="16"/>
      <c r="AX18" s="16" t="s">
        <v>634</v>
      </c>
      <c r="AY18" s="16" t="s">
        <v>635</v>
      </c>
      <c r="AZ18" s="16">
        <v>9.358443913E9</v>
      </c>
      <c r="BA18" s="86"/>
      <c r="BB18" s="29"/>
      <c r="BC18" s="29"/>
    </row>
    <row r="19" ht="14.25" customHeight="1">
      <c r="A19" s="14">
        <f t="shared" si="11"/>
        <v>16</v>
      </c>
      <c r="B19" s="15" t="s">
        <v>636</v>
      </c>
      <c r="C19" s="15" t="s">
        <v>637</v>
      </c>
      <c r="D19" s="15" t="s">
        <v>638</v>
      </c>
      <c r="E19" s="17" t="s">
        <v>132</v>
      </c>
      <c r="F19" s="17"/>
      <c r="G19" s="16" t="str">
        <f t="shared" si="1"/>
        <v>Espino, Elmer C.</v>
      </c>
      <c r="H19" s="16" t="str">
        <f t="shared" si="2"/>
        <v>Elmer C. Espino</v>
      </c>
      <c r="I19" s="16" t="str">
        <f t="shared" si="3"/>
        <v>Espino, Elmer Cruz</v>
      </c>
      <c r="J19" s="19" t="s">
        <v>639</v>
      </c>
      <c r="K19" s="19" t="s">
        <v>56</v>
      </c>
      <c r="L19" s="19" t="s">
        <v>57</v>
      </c>
      <c r="M19" s="19" t="s">
        <v>58</v>
      </c>
      <c r="N19" s="19">
        <v>1.051622214E9</v>
      </c>
      <c r="O19" s="20">
        <v>44697.0</v>
      </c>
      <c r="P19" s="20"/>
      <c r="Q19" s="20"/>
      <c r="R19" s="20"/>
      <c r="S19" s="20"/>
      <c r="T19" s="20">
        <f t="shared" si="5"/>
        <v>46132</v>
      </c>
      <c r="U19" s="21">
        <f t="shared" si="6"/>
        <v>3</v>
      </c>
      <c r="V19" s="19">
        <f t="shared" si="7"/>
        <v>11</v>
      </c>
      <c r="W19" s="19">
        <f t="shared" si="8"/>
        <v>4</v>
      </c>
      <c r="X19" s="74">
        <v>44697.0</v>
      </c>
      <c r="Y19" s="16"/>
      <c r="Z19" s="16"/>
      <c r="AA19" s="16"/>
      <c r="AB19" s="16"/>
      <c r="AC19" s="22">
        <f t="shared" ref="AC19:AC21" si="12">17337.5+1216.66</f>
        <v>18554.16</v>
      </c>
      <c r="AD19" s="23"/>
      <c r="AE19" s="22">
        <f t="shared" si="9"/>
        <v>18554.16</v>
      </c>
      <c r="AF19" s="22">
        <f t="shared" si="10"/>
        <v>609.9997808</v>
      </c>
      <c r="AG19" s="19" t="s">
        <v>59</v>
      </c>
      <c r="AH19" s="24" t="s">
        <v>640</v>
      </c>
      <c r="AI19" s="24" t="s">
        <v>61</v>
      </c>
      <c r="AJ19" s="19" t="s">
        <v>62</v>
      </c>
      <c r="AK19" s="19">
        <v>34738.0</v>
      </c>
      <c r="AL19" s="25">
        <f t="shared" si="4"/>
        <v>31.21643836</v>
      </c>
      <c r="AM19" s="19" t="s">
        <v>641</v>
      </c>
      <c r="AN19" s="16"/>
      <c r="AO19" s="64">
        <v>9.358810275E9</v>
      </c>
      <c r="AP19" s="87" t="s">
        <v>642</v>
      </c>
      <c r="AQ19" s="16" t="s">
        <v>66</v>
      </c>
      <c r="AR19" s="26" t="s">
        <v>643</v>
      </c>
      <c r="AS19" s="19" t="s">
        <v>644</v>
      </c>
      <c r="AT19" s="21" t="s">
        <v>645</v>
      </c>
      <c r="AU19" s="21" t="s">
        <v>646</v>
      </c>
      <c r="AV19" s="19" t="s">
        <v>647</v>
      </c>
      <c r="AW19" s="16"/>
      <c r="AX19" s="16" t="s">
        <v>648</v>
      </c>
      <c r="AY19" s="16" t="s">
        <v>117</v>
      </c>
      <c r="AZ19" s="16">
        <v>9.358810275E9</v>
      </c>
      <c r="BA19" s="86"/>
      <c r="BB19" s="29"/>
      <c r="BC19" s="29"/>
    </row>
    <row r="20" ht="14.25" customHeight="1">
      <c r="A20" s="14">
        <f t="shared" si="11"/>
        <v>17</v>
      </c>
      <c r="B20" s="15" t="s">
        <v>649</v>
      </c>
      <c r="C20" s="16" t="s">
        <v>650</v>
      </c>
      <c r="D20" s="16" t="s">
        <v>359</v>
      </c>
      <c r="E20" s="17" t="s">
        <v>54</v>
      </c>
      <c r="F20" s="17"/>
      <c r="G20" s="16" t="str">
        <f t="shared" si="1"/>
        <v>Taupo, Luis Leonard  D.</v>
      </c>
      <c r="H20" s="16" t="str">
        <f t="shared" si="2"/>
        <v>Luis Leonard  D. Taupo</v>
      </c>
      <c r="I20" s="16" t="str">
        <f t="shared" si="3"/>
        <v>Taupo, Luis Leonard  Dela Peña</v>
      </c>
      <c r="J20" s="19" t="s">
        <v>651</v>
      </c>
      <c r="K20" s="19" t="s">
        <v>652</v>
      </c>
      <c r="L20" s="19" t="s">
        <v>57</v>
      </c>
      <c r="M20" s="19" t="s">
        <v>58</v>
      </c>
      <c r="N20" s="19">
        <v>1.051622363E9</v>
      </c>
      <c r="O20" s="20">
        <v>44697.0</v>
      </c>
      <c r="P20" s="20"/>
      <c r="Q20" s="20"/>
      <c r="R20" s="20"/>
      <c r="S20" s="20"/>
      <c r="T20" s="20">
        <f t="shared" si="5"/>
        <v>46132</v>
      </c>
      <c r="U20" s="21">
        <f t="shared" si="6"/>
        <v>3</v>
      </c>
      <c r="V20" s="19">
        <f t="shared" si="7"/>
        <v>11</v>
      </c>
      <c r="W20" s="19">
        <f t="shared" si="8"/>
        <v>4</v>
      </c>
      <c r="X20" s="74">
        <v>44697.0</v>
      </c>
      <c r="Y20" s="16" t="s">
        <v>82</v>
      </c>
      <c r="Z20" s="16" t="s">
        <v>653</v>
      </c>
      <c r="AA20" s="16" t="s">
        <v>563</v>
      </c>
      <c r="AB20" s="16" t="s">
        <v>654</v>
      </c>
      <c r="AC20" s="22">
        <f t="shared" si="12"/>
        <v>18554.16</v>
      </c>
      <c r="AD20" s="23"/>
      <c r="AE20" s="22">
        <f t="shared" si="9"/>
        <v>18554.16</v>
      </c>
      <c r="AF20" s="22">
        <f t="shared" si="10"/>
        <v>609.9997808</v>
      </c>
      <c r="AG20" s="19" t="s">
        <v>59</v>
      </c>
      <c r="AH20" s="24" t="s">
        <v>655</v>
      </c>
      <c r="AI20" s="24" t="s">
        <v>61</v>
      </c>
      <c r="AJ20" s="19" t="s">
        <v>62</v>
      </c>
      <c r="AK20" s="19">
        <v>34873.0</v>
      </c>
      <c r="AL20" s="25">
        <f t="shared" si="4"/>
        <v>30.84657534</v>
      </c>
      <c r="AM20" s="19" t="s">
        <v>656</v>
      </c>
      <c r="AN20" s="16"/>
      <c r="AO20" s="71">
        <v>9.16545539E9</v>
      </c>
      <c r="AP20" s="89" t="s">
        <v>657</v>
      </c>
      <c r="AQ20" s="16" t="s">
        <v>512</v>
      </c>
      <c r="AR20" s="103" t="s">
        <v>658</v>
      </c>
      <c r="AS20" s="19" t="s">
        <v>659</v>
      </c>
      <c r="AT20" s="19" t="s">
        <v>660</v>
      </c>
      <c r="AU20" s="19" t="s">
        <v>661</v>
      </c>
      <c r="AV20" s="19" t="s">
        <v>662</v>
      </c>
      <c r="AW20" s="16"/>
      <c r="AX20" s="16" t="s">
        <v>663</v>
      </c>
      <c r="AY20" s="16" t="s">
        <v>213</v>
      </c>
      <c r="AZ20" s="16">
        <v>9.054216274E9</v>
      </c>
      <c r="BA20" s="86"/>
      <c r="BB20" s="29"/>
      <c r="BC20" s="29"/>
    </row>
    <row r="21" ht="14.25" customHeight="1">
      <c r="A21" s="14">
        <f t="shared" si="11"/>
        <v>18</v>
      </c>
      <c r="B21" s="15" t="s">
        <v>664</v>
      </c>
      <c r="C21" s="16" t="s">
        <v>665</v>
      </c>
      <c r="D21" s="16" t="s">
        <v>86</v>
      </c>
      <c r="E21" s="17" t="s">
        <v>87</v>
      </c>
      <c r="F21" s="17"/>
      <c r="G21" s="16" t="str">
        <f t="shared" si="1"/>
        <v>Laure, Mark Anthony L.</v>
      </c>
      <c r="H21" s="16" t="str">
        <f t="shared" si="2"/>
        <v>Mark Anthony L. Laure</v>
      </c>
      <c r="I21" s="16" t="str">
        <f t="shared" si="3"/>
        <v>Laure, Mark Anthony Lopez</v>
      </c>
      <c r="J21" s="19" t="s">
        <v>666</v>
      </c>
      <c r="K21" s="19" t="s">
        <v>177</v>
      </c>
      <c r="L21" s="19" t="s">
        <v>57</v>
      </c>
      <c r="M21" s="19" t="s">
        <v>58</v>
      </c>
      <c r="N21" s="19">
        <v>1.05162212E9</v>
      </c>
      <c r="O21" s="20">
        <v>44697.0</v>
      </c>
      <c r="P21" s="20"/>
      <c r="Q21" s="20"/>
      <c r="R21" s="20"/>
      <c r="S21" s="20"/>
      <c r="T21" s="20">
        <f t="shared" si="5"/>
        <v>46132</v>
      </c>
      <c r="U21" s="21">
        <f t="shared" si="6"/>
        <v>3</v>
      </c>
      <c r="V21" s="19">
        <f t="shared" si="7"/>
        <v>11</v>
      </c>
      <c r="W21" s="19">
        <f t="shared" si="8"/>
        <v>4</v>
      </c>
      <c r="X21" s="74">
        <v>44697.0</v>
      </c>
      <c r="Y21" s="16"/>
      <c r="Z21" s="16"/>
      <c r="AA21" s="16"/>
      <c r="AB21" s="16"/>
      <c r="AC21" s="22">
        <f t="shared" si="12"/>
        <v>18554.16</v>
      </c>
      <c r="AD21" s="23"/>
      <c r="AE21" s="22">
        <f t="shared" si="9"/>
        <v>18554.16</v>
      </c>
      <c r="AF21" s="22">
        <f t="shared" si="10"/>
        <v>609.9997808</v>
      </c>
      <c r="AG21" s="19" t="s">
        <v>59</v>
      </c>
      <c r="AH21" s="24" t="s">
        <v>667</v>
      </c>
      <c r="AI21" s="24" t="s">
        <v>61</v>
      </c>
      <c r="AJ21" s="19" t="s">
        <v>107</v>
      </c>
      <c r="AK21" s="19">
        <v>29167.0</v>
      </c>
      <c r="AL21" s="25">
        <f t="shared" si="4"/>
        <v>46.47945205</v>
      </c>
      <c r="AM21" s="19" t="s">
        <v>668</v>
      </c>
      <c r="AN21" s="16"/>
      <c r="AO21" s="104">
        <v>9.688839476E9</v>
      </c>
      <c r="AP21" s="89" t="s">
        <v>669</v>
      </c>
      <c r="AQ21" s="16" t="s">
        <v>66</v>
      </c>
      <c r="AR21" s="16" t="s">
        <v>670</v>
      </c>
      <c r="AS21" s="19" t="s">
        <v>671</v>
      </c>
      <c r="AT21" s="19" t="s">
        <v>672</v>
      </c>
      <c r="AU21" s="19" t="s">
        <v>673</v>
      </c>
      <c r="AV21" s="19" t="s">
        <v>674</v>
      </c>
      <c r="AW21" s="16"/>
      <c r="AX21" s="16" t="s">
        <v>675</v>
      </c>
      <c r="AY21" s="16" t="s">
        <v>117</v>
      </c>
      <c r="AZ21" s="16">
        <v>9.391946798E9</v>
      </c>
      <c r="BA21" s="86"/>
      <c r="BB21" s="29"/>
      <c r="BC21" s="29"/>
    </row>
    <row r="22" ht="14.25" customHeight="1">
      <c r="A22" s="14">
        <f t="shared" si="11"/>
        <v>19</v>
      </c>
      <c r="B22" s="15" t="s">
        <v>676</v>
      </c>
      <c r="C22" s="16" t="s">
        <v>677</v>
      </c>
      <c r="D22" s="16" t="s">
        <v>678</v>
      </c>
      <c r="E22" s="17" t="s">
        <v>87</v>
      </c>
      <c r="F22" s="17"/>
      <c r="G22" s="16" t="str">
        <f t="shared" si="1"/>
        <v>Castroverde, Edwin L.</v>
      </c>
      <c r="H22" s="16" t="str">
        <f t="shared" si="2"/>
        <v>Edwin L. Castroverde</v>
      </c>
      <c r="I22" s="16" t="str">
        <f t="shared" si="3"/>
        <v>Castroverde, Edwin Lariza</v>
      </c>
      <c r="J22" s="19" t="s">
        <v>679</v>
      </c>
      <c r="K22" s="19" t="s">
        <v>177</v>
      </c>
      <c r="L22" s="19" t="s">
        <v>57</v>
      </c>
      <c r="M22" s="19" t="s">
        <v>58</v>
      </c>
      <c r="N22" s="19">
        <v>1.051622073E9</v>
      </c>
      <c r="O22" s="20">
        <v>44697.0</v>
      </c>
      <c r="P22" s="20"/>
      <c r="Q22" s="20"/>
      <c r="R22" s="20"/>
      <c r="S22" s="20"/>
      <c r="T22" s="20">
        <f t="shared" si="5"/>
        <v>46132</v>
      </c>
      <c r="U22" s="21">
        <f t="shared" si="6"/>
        <v>3</v>
      </c>
      <c r="V22" s="19">
        <f t="shared" si="7"/>
        <v>11</v>
      </c>
      <c r="W22" s="19">
        <f t="shared" si="8"/>
        <v>4</v>
      </c>
      <c r="X22" s="74">
        <v>44697.0</v>
      </c>
      <c r="Y22" s="16"/>
      <c r="Z22" s="16"/>
      <c r="AA22" s="16"/>
      <c r="AB22" s="16"/>
      <c r="AC22" s="22">
        <f>14867.5+1043.33</f>
        <v>15910.83</v>
      </c>
      <c r="AD22" s="23"/>
      <c r="AE22" s="22">
        <f t="shared" si="9"/>
        <v>15910.83</v>
      </c>
      <c r="AF22" s="22">
        <f>AE22*12/313</f>
        <v>609.9998722</v>
      </c>
      <c r="AG22" s="19" t="s">
        <v>178</v>
      </c>
      <c r="AH22" s="24" t="s">
        <v>680</v>
      </c>
      <c r="AI22" s="24" t="s">
        <v>61</v>
      </c>
      <c r="AJ22" s="19" t="s">
        <v>107</v>
      </c>
      <c r="AK22" s="19">
        <v>29560.0</v>
      </c>
      <c r="AL22" s="25">
        <f t="shared" si="4"/>
        <v>45.40273973</v>
      </c>
      <c r="AM22" s="19" t="s">
        <v>681</v>
      </c>
      <c r="AN22" s="16"/>
      <c r="AO22" s="64">
        <v>9.177991057E9</v>
      </c>
      <c r="AP22" s="87" t="s">
        <v>682</v>
      </c>
      <c r="AQ22" s="16" t="s">
        <v>352</v>
      </c>
      <c r="AR22" s="16" t="s">
        <v>166</v>
      </c>
      <c r="AS22" s="19" t="s">
        <v>683</v>
      </c>
      <c r="AT22" s="19" t="s">
        <v>684</v>
      </c>
      <c r="AU22" s="19" t="s">
        <v>685</v>
      </c>
      <c r="AV22" s="19" t="s">
        <v>686</v>
      </c>
      <c r="AW22" s="16"/>
      <c r="AX22" s="16" t="s">
        <v>687</v>
      </c>
      <c r="AY22" s="16" t="s">
        <v>117</v>
      </c>
      <c r="AZ22" s="16">
        <v>9.177991057E9</v>
      </c>
      <c r="BA22" s="86"/>
      <c r="BB22" s="29"/>
      <c r="BC22" s="29"/>
    </row>
    <row r="23" ht="14.25" customHeight="1">
      <c r="A23" s="14">
        <f t="shared" si="11"/>
        <v>20</v>
      </c>
      <c r="B23" s="15" t="s">
        <v>688</v>
      </c>
      <c r="C23" s="15" t="s">
        <v>689</v>
      </c>
      <c r="D23" s="15" t="s">
        <v>690</v>
      </c>
      <c r="E23" s="17" t="s">
        <v>93</v>
      </c>
      <c r="F23" s="17"/>
      <c r="G23" s="16" t="str">
        <f t="shared" si="1"/>
        <v>Almira, Kristine Joy  T.</v>
      </c>
      <c r="H23" s="16" t="str">
        <f t="shared" si="2"/>
        <v>Kristine Joy  T. Almira</v>
      </c>
      <c r="I23" s="16" t="str">
        <f t="shared" si="3"/>
        <v>Almira, Kristine Joy  Tolentino</v>
      </c>
      <c r="J23" s="19" t="s">
        <v>691</v>
      </c>
      <c r="K23" s="19" t="s">
        <v>335</v>
      </c>
      <c r="L23" s="19" t="s">
        <v>57</v>
      </c>
      <c r="M23" s="19" t="s">
        <v>58</v>
      </c>
      <c r="N23" s="19">
        <v>1.051622214E9</v>
      </c>
      <c r="O23" s="20">
        <v>44697.0</v>
      </c>
      <c r="P23" s="20"/>
      <c r="Q23" s="20"/>
      <c r="R23" s="20"/>
      <c r="S23" s="20"/>
      <c r="T23" s="20">
        <f t="shared" si="5"/>
        <v>46132</v>
      </c>
      <c r="U23" s="21">
        <f t="shared" si="6"/>
        <v>3</v>
      </c>
      <c r="V23" s="19">
        <f t="shared" si="7"/>
        <v>11</v>
      </c>
      <c r="W23" s="19">
        <f t="shared" si="8"/>
        <v>4</v>
      </c>
      <c r="X23" s="74">
        <v>44697.0</v>
      </c>
      <c r="Y23" s="16"/>
      <c r="Z23" s="16"/>
      <c r="AA23" s="16"/>
      <c r="AB23" s="16"/>
      <c r="AC23" s="22">
        <f>17337.5+1216.66</f>
        <v>18554.16</v>
      </c>
      <c r="AD23" s="23"/>
      <c r="AE23" s="22">
        <f t="shared" si="9"/>
        <v>18554.16</v>
      </c>
      <c r="AF23" s="22">
        <f>AE23*12/365</f>
        <v>609.9997808</v>
      </c>
      <c r="AG23" s="19" t="s">
        <v>59</v>
      </c>
      <c r="AH23" s="24" t="s">
        <v>692</v>
      </c>
      <c r="AI23" s="24" t="s">
        <v>135</v>
      </c>
      <c r="AJ23" s="19" t="s">
        <v>62</v>
      </c>
      <c r="AK23" s="19">
        <v>34693.0</v>
      </c>
      <c r="AL23" s="25">
        <f t="shared" si="4"/>
        <v>31.33972603</v>
      </c>
      <c r="AM23" s="19" t="s">
        <v>693</v>
      </c>
      <c r="AN23" s="16"/>
      <c r="AO23" s="71">
        <v>9.31141031E9</v>
      </c>
      <c r="AP23" s="28" t="s">
        <v>694</v>
      </c>
      <c r="AQ23" s="16" t="s">
        <v>110</v>
      </c>
      <c r="AR23" s="16" t="s">
        <v>695</v>
      </c>
      <c r="AS23" s="19" t="s">
        <v>696</v>
      </c>
      <c r="AT23" s="19" t="s">
        <v>697</v>
      </c>
      <c r="AU23" s="19" t="s">
        <v>698</v>
      </c>
      <c r="AV23" s="19" t="s">
        <v>699</v>
      </c>
      <c r="AW23" s="16"/>
      <c r="AX23" s="16" t="s">
        <v>700</v>
      </c>
      <c r="AY23" s="16" t="s">
        <v>701</v>
      </c>
      <c r="AZ23" s="16">
        <v>9.083427287E9</v>
      </c>
      <c r="BA23" s="86"/>
      <c r="BB23" s="29"/>
      <c r="BC23" s="29"/>
    </row>
    <row r="24" ht="15.0" customHeight="1">
      <c r="A24" s="14">
        <f t="shared" si="11"/>
        <v>21</v>
      </c>
      <c r="B24" s="16" t="s">
        <v>84</v>
      </c>
      <c r="C24" s="16" t="s">
        <v>702</v>
      </c>
      <c r="D24" s="16" t="s">
        <v>703</v>
      </c>
      <c r="E24" s="17" t="s">
        <v>217</v>
      </c>
      <c r="F24" s="17"/>
      <c r="G24" s="16" t="str">
        <f t="shared" si="1"/>
        <v>Garcia, Dennis M.</v>
      </c>
      <c r="H24" s="16" t="str">
        <f t="shared" si="2"/>
        <v>Dennis M. Garcia</v>
      </c>
      <c r="I24" s="16" t="str">
        <f t="shared" si="3"/>
        <v>Garcia, Dennis Matugas</v>
      </c>
      <c r="J24" s="19" t="s">
        <v>704</v>
      </c>
      <c r="K24" s="19" t="s">
        <v>335</v>
      </c>
      <c r="L24" s="19" t="s">
        <v>57</v>
      </c>
      <c r="M24" s="19" t="s">
        <v>58</v>
      </c>
      <c r="N24" s="19">
        <v>1.051622167E9</v>
      </c>
      <c r="O24" s="20">
        <v>44697.0</v>
      </c>
      <c r="P24" s="105"/>
      <c r="Q24" s="105"/>
      <c r="R24" s="105"/>
      <c r="S24" s="105"/>
      <c r="T24" s="20">
        <f t="shared" si="5"/>
        <v>46132</v>
      </c>
      <c r="U24" s="21">
        <f t="shared" si="6"/>
        <v>3</v>
      </c>
      <c r="V24" s="19">
        <f t="shared" si="7"/>
        <v>11</v>
      </c>
      <c r="W24" s="19">
        <f t="shared" si="8"/>
        <v>4</v>
      </c>
      <c r="X24" s="74">
        <v>44697.0</v>
      </c>
      <c r="Y24" s="16"/>
      <c r="Z24" s="16"/>
      <c r="AA24" s="16"/>
      <c r="AB24" s="16"/>
      <c r="AC24" s="22">
        <f>14867.5+1043.33</f>
        <v>15910.83</v>
      </c>
      <c r="AD24" s="23"/>
      <c r="AE24" s="22">
        <f t="shared" si="9"/>
        <v>15910.83</v>
      </c>
      <c r="AF24" s="22">
        <f>AE24*12/313</f>
        <v>609.9998722</v>
      </c>
      <c r="AG24" s="19" t="s">
        <v>178</v>
      </c>
      <c r="AH24" s="24" t="s">
        <v>705</v>
      </c>
      <c r="AI24" s="24" t="s">
        <v>61</v>
      </c>
      <c r="AJ24" s="19" t="s">
        <v>62</v>
      </c>
      <c r="AK24" s="19">
        <v>32187.0</v>
      </c>
      <c r="AL24" s="25">
        <f t="shared" si="4"/>
        <v>38.20547945</v>
      </c>
      <c r="AM24" s="19" t="s">
        <v>706</v>
      </c>
      <c r="AN24" s="16" t="s">
        <v>707</v>
      </c>
      <c r="AO24" s="106">
        <v>9.773636791E9</v>
      </c>
      <c r="AP24" s="28" t="s">
        <v>708</v>
      </c>
      <c r="AQ24" s="16" t="s">
        <v>66</v>
      </c>
      <c r="AR24" s="16" t="s">
        <v>568</v>
      </c>
      <c r="AS24" s="19" t="s">
        <v>709</v>
      </c>
      <c r="AT24" s="19" t="s">
        <v>710</v>
      </c>
      <c r="AU24" s="19" t="s">
        <v>711</v>
      </c>
      <c r="AV24" s="19" t="s">
        <v>712</v>
      </c>
      <c r="AW24" s="16"/>
      <c r="AX24" s="16" t="s">
        <v>713</v>
      </c>
      <c r="AY24" s="16" t="s">
        <v>73</v>
      </c>
      <c r="AZ24" s="16">
        <v>9.300052341E9</v>
      </c>
      <c r="BA24" s="86"/>
      <c r="BB24" s="29"/>
      <c r="BC24" s="29"/>
    </row>
    <row r="25" ht="14.25" customHeight="1">
      <c r="A25" s="14">
        <f t="shared" si="11"/>
        <v>22</v>
      </c>
      <c r="B25" s="16" t="s">
        <v>51</v>
      </c>
      <c r="C25" s="16" t="s">
        <v>52</v>
      </c>
      <c r="D25" s="16" t="s">
        <v>53</v>
      </c>
      <c r="E25" s="17" t="s">
        <v>54</v>
      </c>
      <c r="F25" s="17"/>
      <c r="G25" s="16" t="str">
        <f t="shared" si="1"/>
        <v>Hermocilla, Ariel D.</v>
      </c>
      <c r="H25" s="16" t="str">
        <f t="shared" si="2"/>
        <v>Ariel D. Hermocilla</v>
      </c>
      <c r="I25" s="16" t="str">
        <f t="shared" si="3"/>
        <v>Hermocilla, Ariel De La Cruz</v>
      </c>
      <c r="J25" s="19" t="s">
        <v>561</v>
      </c>
      <c r="K25" s="19" t="s">
        <v>56</v>
      </c>
      <c r="L25" s="19" t="s">
        <v>57</v>
      </c>
      <c r="M25" s="19" t="s">
        <v>58</v>
      </c>
      <c r="N25" s="19">
        <v>1.052722248E9</v>
      </c>
      <c r="O25" s="20">
        <v>44708.0</v>
      </c>
      <c r="P25" s="20">
        <v>44692.0</v>
      </c>
      <c r="Q25" s="20">
        <v>44707.0</v>
      </c>
      <c r="R25" s="20">
        <v>44708.0</v>
      </c>
      <c r="S25" s="20">
        <f t="shared" ref="S25:S26" si="13">EDATE(R25-1,6)</f>
        <v>44891</v>
      </c>
      <c r="T25" s="20">
        <f t="shared" si="5"/>
        <v>46132</v>
      </c>
      <c r="U25" s="21">
        <f t="shared" si="6"/>
        <v>3</v>
      </c>
      <c r="V25" s="19">
        <f t="shared" si="7"/>
        <v>10</v>
      </c>
      <c r="W25" s="19">
        <f t="shared" si="8"/>
        <v>24</v>
      </c>
      <c r="X25" s="19">
        <v>44892.0</v>
      </c>
      <c r="Y25" s="16"/>
      <c r="Z25" s="16"/>
      <c r="AA25" s="16"/>
      <c r="AB25" s="16"/>
      <c r="AC25" s="22">
        <f>17337.5+1216.66</f>
        <v>18554.16</v>
      </c>
      <c r="AD25" s="23"/>
      <c r="AE25" s="22">
        <f t="shared" si="9"/>
        <v>18554.16</v>
      </c>
      <c r="AF25" s="22">
        <f>AE25*12/365</f>
        <v>609.9997808</v>
      </c>
      <c r="AG25" s="19" t="s">
        <v>59</v>
      </c>
      <c r="AH25" s="24" t="s">
        <v>60</v>
      </c>
      <c r="AI25" s="24" t="s">
        <v>61</v>
      </c>
      <c r="AJ25" s="19" t="s">
        <v>62</v>
      </c>
      <c r="AK25" s="19">
        <v>30666.0</v>
      </c>
      <c r="AL25" s="25">
        <f t="shared" si="4"/>
        <v>42.37260274</v>
      </c>
      <c r="AM25" s="19" t="s">
        <v>63</v>
      </c>
      <c r="AN25" s="16" t="s">
        <v>64</v>
      </c>
      <c r="AO25" s="27">
        <v>9.615428383E9</v>
      </c>
      <c r="AP25" s="28" t="s">
        <v>65</v>
      </c>
      <c r="AQ25" s="16" t="s">
        <v>66</v>
      </c>
      <c r="AR25" s="16" t="s">
        <v>67</v>
      </c>
      <c r="AS25" s="19" t="s">
        <v>68</v>
      </c>
      <c r="AT25" s="19" t="s">
        <v>69</v>
      </c>
      <c r="AU25" s="19" t="s">
        <v>70</v>
      </c>
      <c r="AV25" s="19" t="s">
        <v>71</v>
      </c>
      <c r="AW25" s="16"/>
      <c r="AX25" s="16" t="s">
        <v>72</v>
      </c>
      <c r="AY25" s="16" t="s">
        <v>73</v>
      </c>
      <c r="AZ25" s="16">
        <v>9.954853211E9</v>
      </c>
      <c r="BA25" s="86"/>
      <c r="BB25" s="29"/>
      <c r="BC25" s="29"/>
    </row>
    <row r="26" ht="14.25" customHeight="1">
      <c r="A26" s="14">
        <f t="shared" si="11"/>
        <v>23</v>
      </c>
      <c r="B26" s="16" t="s">
        <v>714</v>
      </c>
      <c r="C26" s="16" t="s">
        <v>715</v>
      </c>
      <c r="D26" s="16" t="s">
        <v>716</v>
      </c>
      <c r="E26" s="19" t="s">
        <v>132</v>
      </c>
      <c r="F26" s="19"/>
      <c r="G26" s="16" t="str">
        <f t="shared" si="1"/>
        <v>Calantoc, Lymar King C.</v>
      </c>
      <c r="H26" s="16" t="str">
        <f t="shared" si="2"/>
        <v>Lymar King C. Calantoc</v>
      </c>
      <c r="I26" s="16" t="str">
        <f t="shared" si="3"/>
        <v>Calantoc, Lymar King Cariaga</v>
      </c>
      <c r="J26" s="19" t="s">
        <v>717</v>
      </c>
      <c r="K26" s="19" t="s">
        <v>191</v>
      </c>
      <c r="L26" s="19" t="s">
        <v>57</v>
      </c>
      <c r="M26" s="19" t="s">
        <v>105</v>
      </c>
      <c r="N26" s="19">
        <v>1.062622254E9</v>
      </c>
      <c r="O26" s="19">
        <v>44738.0</v>
      </c>
      <c r="P26" s="19">
        <v>44722.0</v>
      </c>
      <c r="Q26" s="19">
        <v>44737.0</v>
      </c>
      <c r="R26" s="19">
        <v>44738.0</v>
      </c>
      <c r="S26" s="20">
        <f t="shared" si="13"/>
        <v>44920</v>
      </c>
      <c r="T26" s="61">
        <f t="shared" si="5"/>
        <v>46132</v>
      </c>
      <c r="U26" s="19">
        <f t="shared" si="6"/>
        <v>3</v>
      </c>
      <c r="V26" s="19">
        <f t="shared" si="7"/>
        <v>9</v>
      </c>
      <c r="W26" s="19">
        <f t="shared" si="8"/>
        <v>25</v>
      </c>
      <c r="X26" s="19">
        <v>44920.0</v>
      </c>
      <c r="Y26" s="16" t="s">
        <v>82</v>
      </c>
      <c r="Z26" s="19" t="s">
        <v>718</v>
      </c>
      <c r="AA26" s="19" t="s">
        <v>719</v>
      </c>
      <c r="AB26" s="26" t="s">
        <v>720</v>
      </c>
      <c r="AC26" s="22">
        <f>14867.5+1043.33</f>
        <v>15910.83</v>
      </c>
      <c r="AD26" s="19"/>
      <c r="AE26" s="22">
        <f t="shared" si="9"/>
        <v>15910.83</v>
      </c>
      <c r="AF26" s="62">
        <f>AE26*12/313</f>
        <v>609.9998722</v>
      </c>
      <c r="AG26" s="19" t="s">
        <v>178</v>
      </c>
      <c r="AH26" s="24" t="s">
        <v>721</v>
      </c>
      <c r="AI26" s="19" t="s">
        <v>61</v>
      </c>
      <c r="AJ26" s="19" t="s">
        <v>62</v>
      </c>
      <c r="AK26" s="19">
        <v>34607.0</v>
      </c>
      <c r="AL26" s="62">
        <f t="shared" si="4"/>
        <v>31.57534247</v>
      </c>
      <c r="AM26" s="26" t="s">
        <v>722</v>
      </c>
      <c r="AN26" s="26" t="s">
        <v>723</v>
      </c>
      <c r="AO26" s="71">
        <v>9.702825778E9</v>
      </c>
      <c r="AP26" s="67" t="s">
        <v>724</v>
      </c>
      <c r="AQ26" s="16" t="s">
        <v>110</v>
      </c>
      <c r="AR26" s="16" t="s">
        <v>139</v>
      </c>
      <c r="AS26" s="64" t="s">
        <v>725</v>
      </c>
      <c r="AT26" s="64" t="s">
        <v>726</v>
      </c>
      <c r="AU26" s="66" t="s">
        <v>727</v>
      </c>
      <c r="AV26" s="64" t="s">
        <v>728</v>
      </c>
      <c r="AW26" s="16"/>
      <c r="AX26" s="16" t="s">
        <v>729</v>
      </c>
      <c r="AY26" s="26" t="s">
        <v>213</v>
      </c>
      <c r="AZ26" s="107">
        <v>9.094466036E9</v>
      </c>
      <c r="BA26" s="16"/>
      <c r="BB26" s="29"/>
      <c r="BC26" s="29"/>
    </row>
    <row r="27" ht="14.25" customHeight="1">
      <c r="A27" s="14">
        <f t="shared" si="11"/>
        <v>24</v>
      </c>
      <c r="B27" s="16" t="s">
        <v>730</v>
      </c>
      <c r="C27" s="16" t="s">
        <v>731</v>
      </c>
      <c r="D27" s="16" t="s">
        <v>732</v>
      </c>
      <c r="E27" s="19" t="s">
        <v>217</v>
      </c>
      <c r="F27" s="19"/>
      <c r="G27" s="16" t="str">
        <f t="shared" si="1"/>
        <v>Ramirez, Via Angela M.</v>
      </c>
      <c r="H27" s="16" t="str">
        <f t="shared" si="2"/>
        <v>Via Angela M. Ramirez</v>
      </c>
      <c r="I27" s="16" t="str">
        <f t="shared" si="3"/>
        <v>Ramirez, Via Angela Mayorga</v>
      </c>
      <c r="J27" s="19" t="s">
        <v>577</v>
      </c>
      <c r="K27" s="19" t="s">
        <v>537</v>
      </c>
      <c r="L27" s="19" t="s">
        <v>57</v>
      </c>
      <c r="M27" s="19" t="s">
        <v>58</v>
      </c>
      <c r="N27" s="19">
        <v>1.072622084E9</v>
      </c>
      <c r="O27" s="20">
        <v>44768.0</v>
      </c>
      <c r="P27" s="20"/>
      <c r="Q27" s="20"/>
      <c r="R27" s="20"/>
      <c r="S27" s="20"/>
      <c r="T27" s="20">
        <f t="shared" si="5"/>
        <v>46132</v>
      </c>
      <c r="U27" s="21">
        <f t="shared" si="6"/>
        <v>3</v>
      </c>
      <c r="V27" s="19">
        <f t="shared" si="7"/>
        <v>8</v>
      </c>
      <c r="W27" s="19">
        <f t="shared" si="8"/>
        <v>25</v>
      </c>
      <c r="X27" s="74">
        <v>44747.0</v>
      </c>
      <c r="Y27" s="16"/>
      <c r="Z27" s="16"/>
      <c r="AA27" s="16"/>
      <c r="AB27" s="16"/>
      <c r="AC27" s="22">
        <f>18153.75+1216.66</f>
        <v>19370.41</v>
      </c>
      <c r="AD27" s="23"/>
      <c r="AE27" s="22">
        <f t="shared" si="9"/>
        <v>19370.41</v>
      </c>
      <c r="AF27" s="22">
        <f t="shared" ref="AF27:AF29" si="14">AE27*12/365</f>
        <v>636.8353973</v>
      </c>
      <c r="AG27" s="19" t="s">
        <v>59</v>
      </c>
      <c r="AH27" s="24"/>
      <c r="AI27" s="24" t="s">
        <v>135</v>
      </c>
      <c r="AJ27" s="19" t="s">
        <v>62</v>
      </c>
      <c r="AK27" s="19">
        <v>35656.0</v>
      </c>
      <c r="AL27" s="25">
        <f t="shared" si="4"/>
        <v>28.70136986</v>
      </c>
      <c r="AM27" s="19" t="s">
        <v>733</v>
      </c>
      <c r="AN27" s="16"/>
      <c r="AO27" s="64">
        <v>9.569631431E9</v>
      </c>
      <c r="AP27" s="26" t="s">
        <v>734</v>
      </c>
      <c r="AQ27" s="16" t="s">
        <v>110</v>
      </c>
      <c r="AR27" s="26" t="s">
        <v>139</v>
      </c>
      <c r="AS27" s="19" t="s">
        <v>735</v>
      </c>
      <c r="AT27" s="19" t="s">
        <v>736</v>
      </c>
      <c r="AU27" s="19" t="s">
        <v>737</v>
      </c>
      <c r="AV27" s="19" t="s">
        <v>738</v>
      </c>
      <c r="AW27" s="16"/>
      <c r="AX27" s="16" t="s">
        <v>739</v>
      </c>
      <c r="AY27" s="16" t="s">
        <v>635</v>
      </c>
      <c r="AZ27" s="16">
        <v>9.45486749E9</v>
      </c>
      <c r="BA27" s="86"/>
      <c r="BB27" s="29"/>
      <c r="BC27" s="29"/>
    </row>
    <row r="28" ht="14.25" customHeight="1">
      <c r="A28" s="14">
        <f t="shared" si="11"/>
        <v>25</v>
      </c>
      <c r="B28" s="16" t="s">
        <v>740</v>
      </c>
      <c r="C28" s="16" t="s">
        <v>741</v>
      </c>
      <c r="D28" s="16" t="s">
        <v>742</v>
      </c>
      <c r="E28" s="17" t="s">
        <v>379</v>
      </c>
      <c r="F28" s="17" t="s">
        <v>231</v>
      </c>
      <c r="G28" s="16" t="str">
        <f>CONCATENATE(B28," ",F28,", ",C28," ",E28,".")</f>
        <v>Mañago Jr., Eusebio G.</v>
      </c>
      <c r="H28" s="16" t="str">
        <f>CONCATENATE(C28," ",E28,". ",B28," ",F28)</f>
        <v>Eusebio G. Mañago Jr.</v>
      </c>
      <c r="I28" s="16" t="str">
        <f>CONCATENATE(B28," ",F28,", ",C28," ",D28)</f>
        <v>Mañago Jr., Eusebio Gueta </v>
      </c>
      <c r="J28" s="19" t="s">
        <v>743</v>
      </c>
      <c r="K28" s="19" t="s">
        <v>161</v>
      </c>
      <c r="L28" s="19" t="s">
        <v>57</v>
      </c>
      <c r="M28" s="19" t="s">
        <v>58</v>
      </c>
      <c r="N28" s="19">
        <v>1.120122095E9</v>
      </c>
      <c r="O28" s="20">
        <v>44896.0</v>
      </c>
      <c r="P28" s="105"/>
      <c r="Q28" s="105"/>
      <c r="R28" s="105"/>
      <c r="S28" s="105"/>
      <c r="T28" s="20">
        <f t="shared" si="5"/>
        <v>46132</v>
      </c>
      <c r="U28" s="21">
        <f t="shared" si="6"/>
        <v>3</v>
      </c>
      <c r="V28" s="19">
        <f t="shared" si="7"/>
        <v>4</v>
      </c>
      <c r="W28" s="19">
        <f t="shared" si="8"/>
        <v>19</v>
      </c>
      <c r="X28" s="74">
        <v>44896.0</v>
      </c>
      <c r="Y28" s="16"/>
      <c r="Z28" s="16"/>
      <c r="AA28" s="16"/>
      <c r="AB28" s="16"/>
      <c r="AC28" s="22">
        <f>19500+1216.66</f>
        <v>20716.66</v>
      </c>
      <c r="AD28" s="23"/>
      <c r="AE28" s="22">
        <f t="shared" si="9"/>
        <v>20716.66</v>
      </c>
      <c r="AF28" s="22">
        <f t="shared" si="14"/>
        <v>681.0956712</v>
      </c>
      <c r="AG28" s="19" t="s">
        <v>59</v>
      </c>
      <c r="AH28" s="24" t="s">
        <v>744</v>
      </c>
      <c r="AI28" s="24" t="s">
        <v>61</v>
      </c>
      <c r="AJ28" s="19"/>
      <c r="AK28" s="19">
        <v>25751.0</v>
      </c>
      <c r="AL28" s="25">
        <f t="shared" si="4"/>
        <v>55.83835616</v>
      </c>
      <c r="AM28" s="19" t="s">
        <v>745</v>
      </c>
      <c r="AN28" s="16"/>
      <c r="AO28" s="108">
        <v>9.693462675E9</v>
      </c>
      <c r="AP28" s="86"/>
      <c r="AQ28" s="16" t="s">
        <v>110</v>
      </c>
      <c r="AR28" s="16" t="s">
        <v>746</v>
      </c>
      <c r="AS28" s="109" t="s">
        <v>747</v>
      </c>
      <c r="AT28" s="109" t="s">
        <v>748</v>
      </c>
      <c r="AU28" s="109" t="s">
        <v>749</v>
      </c>
      <c r="AV28" s="109" t="s">
        <v>750</v>
      </c>
      <c r="AW28" s="16"/>
      <c r="AX28" s="16" t="s">
        <v>751</v>
      </c>
      <c r="AY28" s="16" t="s">
        <v>117</v>
      </c>
      <c r="AZ28" s="86">
        <v>9.091443051E9</v>
      </c>
      <c r="BA28" s="86"/>
      <c r="BB28" s="29"/>
      <c r="BC28" s="29"/>
    </row>
    <row r="29" ht="14.25" customHeight="1">
      <c r="A29" s="14">
        <f t="shared" si="11"/>
        <v>26</v>
      </c>
      <c r="B29" s="16" t="s">
        <v>752</v>
      </c>
      <c r="C29" s="16" t="s">
        <v>753</v>
      </c>
      <c r="D29" s="16" t="s">
        <v>754</v>
      </c>
      <c r="E29" s="19" t="s">
        <v>217</v>
      </c>
      <c r="F29" s="19"/>
      <c r="G29" s="16" t="str">
        <f>CONCATENATE(B29,", ",C29," ",E29,".")</f>
        <v>Pagurayan, Leander M.</v>
      </c>
      <c r="H29" s="16" t="str">
        <f>CONCATENATE(C29," ",E29,". ",B29)</f>
        <v>Leander M. Pagurayan</v>
      </c>
      <c r="I29" s="16" t="str">
        <f>CONCATENATE(B29,", ",C29," ",D29)</f>
        <v>Pagurayan, Leander Malabayabas</v>
      </c>
      <c r="J29" s="19" t="s">
        <v>561</v>
      </c>
      <c r="K29" s="19" t="s">
        <v>191</v>
      </c>
      <c r="L29" s="19" t="s">
        <v>57</v>
      </c>
      <c r="M29" s="19" t="s">
        <v>105</v>
      </c>
      <c r="N29" s="19">
        <v>1.120122268E9</v>
      </c>
      <c r="O29" s="19">
        <v>44896.0</v>
      </c>
      <c r="P29" s="19">
        <v>44880.0</v>
      </c>
      <c r="Q29" s="19">
        <v>44895.0</v>
      </c>
      <c r="R29" s="19">
        <v>44896.0</v>
      </c>
      <c r="S29" s="20">
        <f t="shared" ref="S29:S39" si="15">EDATE(R29-1,6)</f>
        <v>45076</v>
      </c>
      <c r="T29" s="61">
        <f t="shared" si="5"/>
        <v>46132</v>
      </c>
      <c r="U29" s="19">
        <f t="shared" si="6"/>
        <v>3</v>
      </c>
      <c r="V29" s="19">
        <f t="shared" si="7"/>
        <v>4</v>
      </c>
      <c r="W29" s="19">
        <f t="shared" si="8"/>
        <v>19</v>
      </c>
      <c r="X29" s="19">
        <v>45077.0</v>
      </c>
      <c r="Y29" s="16" t="s">
        <v>82</v>
      </c>
      <c r="Z29" s="19" t="s">
        <v>755</v>
      </c>
      <c r="AA29" s="19" t="s">
        <v>561</v>
      </c>
      <c r="AB29" s="26" t="s">
        <v>756</v>
      </c>
      <c r="AC29" s="22">
        <f>17337.5+1216.66</f>
        <v>18554.16</v>
      </c>
      <c r="AD29" s="19"/>
      <c r="AE29" s="22">
        <f t="shared" si="9"/>
        <v>18554.16</v>
      </c>
      <c r="AF29" s="22">
        <f t="shared" si="14"/>
        <v>609.9997808</v>
      </c>
      <c r="AG29" s="19" t="s">
        <v>59</v>
      </c>
      <c r="AH29" s="24" t="s">
        <v>757</v>
      </c>
      <c r="AI29" s="19" t="s">
        <v>61</v>
      </c>
      <c r="AJ29" s="19" t="s">
        <v>62</v>
      </c>
      <c r="AK29" s="19">
        <v>35811.0</v>
      </c>
      <c r="AL29" s="62">
        <f t="shared" si="4"/>
        <v>28.27671233</v>
      </c>
      <c r="AM29" s="26" t="s">
        <v>758</v>
      </c>
      <c r="AN29" s="16" t="s">
        <v>759</v>
      </c>
      <c r="AO29" s="19">
        <v>9.703378214E9</v>
      </c>
      <c r="AP29" s="67" t="s">
        <v>760</v>
      </c>
      <c r="AQ29" s="16" t="s">
        <v>110</v>
      </c>
      <c r="AR29" s="16" t="s">
        <v>298</v>
      </c>
      <c r="AS29" s="19" t="s">
        <v>761</v>
      </c>
      <c r="AT29" s="19" t="s">
        <v>762</v>
      </c>
      <c r="AU29" s="19" t="s">
        <v>763</v>
      </c>
      <c r="AV29" s="19" t="s">
        <v>764</v>
      </c>
      <c r="AW29" s="16"/>
      <c r="AX29" s="16" t="s">
        <v>765</v>
      </c>
      <c r="AY29" s="26" t="s">
        <v>213</v>
      </c>
      <c r="AZ29" s="107">
        <v>9.760037568E9</v>
      </c>
      <c r="BA29" s="16"/>
      <c r="BB29" s="29"/>
      <c r="BC29" s="29"/>
    </row>
    <row r="30" ht="14.25" customHeight="1">
      <c r="A30" s="14">
        <f t="shared" si="11"/>
        <v>27</v>
      </c>
      <c r="B30" s="16" t="s">
        <v>766</v>
      </c>
      <c r="C30" s="16" t="s">
        <v>767</v>
      </c>
      <c r="D30" s="16" t="s">
        <v>768</v>
      </c>
      <c r="E30" s="17" t="s">
        <v>54</v>
      </c>
      <c r="F30" s="17"/>
      <c r="G30" s="16" t="str">
        <f>CONCATENATE(B30," ",F30,", ",C30," ",E30,".")</f>
        <v>Brezuela , Mark Vinz D.</v>
      </c>
      <c r="H30" s="16" t="str">
        <f>CONCATENATE(C30," ",E30,". ",B30," ",F30)</f>
        <v>Mark Vinz D. Brezuela </v>
      </c>
      <c r="I30" s="16" t="str">
        <f>CONCATENATE(B30," ",F30,", ",C30," ",D30)</f>
        <v>Brezuela , Mark Vinz De Los Santos</v>
      </c>
      <c r="J30" s="19" t="s">
        <v>219</v>
      </c>
      <c r="K30" s="19" t="s">
        <v>161</v>
      </c>
      <c r="L30" s="19" t="s">
        <v>57</v>
      </c>
      <c r="M30" s="19" t="s">
        <v>58</v>
      </c>
      <c r="N30" s="19">
        <v>1.121722269E9</v>
      </c>
      <c r="O30" s="20">
        <v>44912.0</v>
      </c>
      <c r="P30" s="110">
        <v>44896.0</v>
      </c>
      <c r="Q30" s="20">
        <v>44911.0</v>
      </c>
      <c r="R30" s="20">
        <v>44912.0</v>
      </c>
      <c r="S30" s="20">
        <f t="shared" si="15"/>
        <v>45093</v>
      </c>
      <c r="T30" s="20">
        <f t="shared" si="5"/>
        <v>46132</v>
      </c>
      <c r="U30" s="21">
        <f t="shared" si="6"/>
        <v>3</v>
      </c>
      <c r="V30" s="19">
        <f t="shared" si="7"/>
        <v>4</v>
      </c>
      <c r="W30" s="19">
        <f t="shared" si="8"/>
        <v>3</v>
      </c>
      <c r="X30" s="74">
        <v>45094.0</v>
      </c>
      <c r="Y30" s="16"/>
      <c r="Z30" s="16"/>
      <c r="AA30" s="16"/>
      <c r="AB30" s="16"/>
      <c r="AC30" s="22">
        <f>14867.5+1043.33</f>
        <v>15910.83</v>
      </c>
      <c r="AD30" s="23"/>
      <c r="AE30" s="22">
        <f t="shared" si="9"/>
        <v>15910.83</v>
      </c>
      <c r="AF30" s="22">
        <f>AE30*12/313</f>
        <v>609.9998722</v>
      </c>
      <c r="AG30" s="19" t="s">
        <v>178</v>
      </c>
      <c r="AH30" s="24" t="s">
        <v>769</v>
      </c>
      <c r="AI30" s="24" t="s">
        <v>61</v>
      </c>
      <c r="AJ30" s="19" t="s">
        <v>62</v>
      </c>
      <c r="AK30" s="19">
        <v>36559.0</v>
      </c>
      <c r="AL30" s="25">
        <f t="shared" si="4"/>
        <v>26.22739726</v>
      </c>
      <c r="AM30" s="19" t="s">
        <v>770</v>
      </c>
      <c r="AN30" s="16" t="s">
        <v>771</v>
      </c>
      <c r="AO30" s="108">
        <v>9.972631554E9</v>
      </c>
      <c r="AP30" s="111" t="s">
        <v>772</v>
      </c>
      <c r="AQ30" s="16" t="s">
        <v>352</v>
      </c>
      <c r="AR30" s="16" t="s">
        <v>773</v>
      </c>
      <c r="AS30" s="19" t="s">
        <v>774</v>
      </c>
      <c r="AT30" s="19" t="s">
        <v>775</v>
      </c>
      <c r="AU30" s="19" t="s">
        <v>776</v>
      </c>
      <c r="AV30" s="19" t="s">
        <v>777</v>
      </c>
      <c r="AW30" s="16"/>
      <c r="AX30" s="16" t="s">
        <v>778</v>
      </c>
      <c r="AY30" s="16" t="s">
        <v>318</v>
      </c>
      <c r="AZ30" s="16">
        <v>9.480557197E9</v>
      </c>
      <c r="BA30" s="86"/>
      <c r="BB30" s="29"/>
      <c r="BC30" s="29"/>
    </row>
    <row r="31" ht="14.25" customHeight="1">
      <c r="A31" s="14">
        <f t="shared" si="11"/>
        <v>28</v>
      </c>
      <c r="B31" s="16" t="s">
        <v>779</v>
      </c>
      <c r="C31" s="16" t="s">
        <v>780</v>
      </c>
      <c r="D31" s="16" t="s">
        <v>781</v>
      </c>
      <c r="E31" s="17" t="s">
        <v>217</v>
      </c>
      <c r="F31" s="17"/>
      <c r="G31" s="16" t="str">
        <f>CONCATENATE(B31,", ",C31," ",E31,".")</f>
        <v>Lucido, Jonalet M.</v>
      </c>
      <c r="H31" s="16" t="str">
        <f>CONCATENATE(C31," ",E31,". ",B31)</f>
        <v>Jonalet M. Lucido</v>
      </c>
      <c r="I31" s="16" t="str">
        <f>CONCATENATE(B31,", ",C31," ",D31)</f>
        <v>Lucido, Jonalet Manalo</v>
      </c>
      <c r="J31" s="19" t="s">
        <v>133</v>
      </c>
      <c r="K31" s="19" t="s">
        <v>56</v>
      </c>
      <c r="L31" s="19" t="s">
        <v>57</v>
      </c>
      <c r="M31" s="19" t="s">
        <v>58</v>
      </c>
      <c r="N31" s="19">
        <v>1.012023272E9</v>
      </c>
      <c r="O31" s="20">
        <v>44946.0</v>
      </c>
      <c r="P31" s="110"/>
      <c r="Q31" s="20"/>
      <c r="R31" s="20">
        <v>44946.0</v>
      </c>
      <c r="S31" s="20">
        <f t="shared" si="15"/>
        <v>45126</v>
      </c>
      <c r="T31" s="20">
        <f t="shared" si="5"/>
        <v>46132</v>
      </c>
      <c r="U31" s="21">
        <f t="shared" si="6"/>
        <v>3</v>
      </c>
      <c r="V31" s="19">
        <f t="shared" si="7"/>
        <v>3</v>
      </c>
      <c r="W31" s="19">
        <f t="shared" si="8"/>
        <v>0</v>
      </c>
      <c r="X31" s="74"/>
      <c r="Y31" s="16"/>
      <c r="Z31" s="16"/>
      <c r="AA31" s="16"/>
      <c r="AB31" s="16"/>
      <c r="AC31" s="22">
        <f>14867.5+1043.33+2643.33</f>
        <v>18554.16</v>
      </c>
      <c r="AD31" s="23"/>
      <c r="AE31" s="22">
        <f t="shared" si="9"/>
        <v>18554.16</v>
      </c>
      <c r="AF31" s="22">
        <f>AE31*12/365</f>
        <v>609.9997808</v>
      </c>
      <c r="AG31" s="19" t="s">
        <v>59</v>
      </c>
      <c r="AH31" s="24" t="s">
        <v>782</v>
      </c>
      <c r="AI31" s="24" t="s">
        <v>135</v>
      </c>
      <c r="AJ31" s="19" t="s">
        <v>62</v>
      </c>
      <c r="AK31" s="19">
        <v>36282.0</v>
      </c>
      <c r="AL31" s="25">
        <f t="shared" si="4"/>
        <v>26.98630137</v>
      </c>
      <c r="AM31" s="19" t="s">
        <v>783</v>
      </c>
      <c r="AN31" s="16" t="s">
        <v>784</v>
      </c>
      <c r="AO31" s="108">
        <v>9.688582872E9</v>
      </c>
      <c r="AP31" s="75" t="s">
        <v>785</v>
      </c>
      <c r="AQ31" s="16" t="s">
        <v>110</v>
      </c>
      <c r="AR31" s="16" t="s">
        <v>786</v>
      </c>
      <c r="AS31" s="19" t="s">
        <v>787</v>
      </c>
      <c r="AT31" s="19" t="s">
        <v>788</v>
      </c>
      <c r="AU31" s="19" t="s">
        <v>789</v>
      </c>
      <c r="AV31" s="19" t="s">
        <v>790</v>
      </c>
      <c r="AW31" s="16"/>
      <c r="AX31" s="16" t="s">
        <v>791</v>
      </c>
      <c r="AY31" s="16" t="s">
        <v>213</v>
      </c>
      <c r="AZ31" s="16">
        <v>9.127514986E9</v>
      </c>
      <c r="BA31" s="86"/>
      <c r="BB31" s="29"/>
      <c r="BC31" s="29"/>
    </row>
    <row r="32" ht="14.25" customHeight="1">
      <c r="A32" s="14">
        <f t="shared" si="11"/>
        <v>29</v>
      </c>
      <c r="B32" s="16" t="s">
        <v>792</v>
      </c>
      <c r="C32" s="16" t="s">
        <v>793</v>
      </c>
      <c r="D32" s="16" t="s">
        <v>794</v>
      </c>
      <c r="E32" s="17" t="s">
        <v>257</v>
      </c>
      <c r="F32" s="17"/>
      <c r="G32" s="16" t="str">
        <f>CONCATENATE(B32," ",F32,", ",C32," ",E32,".")</f>
        <v>Fernando , Princess J.</v>
      </c>
      <c r="H32" s="16" t="str">
        <f>CONCATENATE(C32," ",E32,". ",B32," ",F32)</f>
        <v>Princess J. Fernando </v>
      </c>
      <c r="I32" s="16" t="str">
        <f>CONCATENATE(B32," ",F32,", ",C32," ",D32)</f>
        <v>Fernando , Princess Juarez</v>
      </c>
      <c r="J32" s="19" t="s">
        <v>82</v>
      </c>
      <c r="K32" s="19" t="s">
        <v>335</v>
      </c>
      <c r="L32" s="19" t="s">
        <v>57</v>
      </c>
      <c r="M32" s="19" t="s">
        <v>58</v>
      </c>
      <c r="N32" s="19">
        <v>1.012623275E9</v>
      </c>
      <c r="O32" s="20">
        <v>44952.0</v>
      </c>
      <c r="P32" s="110">
        <v>44936.0</v>
      </c>
      <c r="Q32" s="110">
        <v>44951.0</v>
      </c>
      <c r="R32" s="20">
        <v>44952.0</v>
      </c>
      <c r="S32" s="20">
        <f t="shared" si="15"/>
        <v>45132</v>
      </c>
      <c r="T32" s="20">
        <f t="shared" si="5"/>
        <v>46132</v>
      </c>
      <c r="U32" s="21">
        <f t="shared" si="6"/>
        <v>3</v>
      </c>
      <c r="V32" s="19">
        <f t="shared" si="7"/>
        <v>2</v>
      </c>
      <c r="W32" s="19">
        <f t="shared" si="8"/>
        <v>25</v>
      </c>
      <c r="X32" s="74">
        <v>45132.0</v>
      </c>
      <c r="Y32" s="16"/>
      <c r="Z32" s="16"/>
      <c r="AA32" s="16"/>
      <c r="AB32" s="16"/>
      <c r="AC32" s="22">
        <f t="shared" ref="AC32:AC33" si="16">14867.5+1043.33</f>
        <v>15910.83</v>
      </c>
      <c r="AD32" s="23"/>
      <c r="AE32" s="22">
        <f t="shared" si="9"/>
        <v>15910.83</v>
      </c>
      <c r="AF32" s="22">
        <f t="shared" ref="AF32:AF34" si="17">AE32*12/313</f>
        <v>609.9998722</v>
      </c>
      <c r="AG32" s="19" t="s">
        <v>178</v>
      </c>
      <c r="AH32" s="24" t="s">
        <v>795</v>
      </c>
      <c r="AI32" s="24" t="s">
        <v>135</v>
      </c>
      <c r="AJ32" s="19" t="s">
        <v>62</v>
      </c>
      <c r="AK32" s="19">
        <v>35808.0</v>
      </c>
      <c r="AL32" s="25">
        <f t="shared" si="4"/>
        <v>28.28493151</v>
      </c>
      <c r="AM32" s="19" t="s">
        <v>796</v>
      </c>
      <c r="AN32" s="16" t="s">
        <v>797</v>
      </c>
      <c r="AO32" s="108">
        <v>9.455967065E9</v>
      </c>
      <c r="AP32" s="75" t="s">
        <v>798</v>
      </c>
      <c r="AQ32" s="16" t="s">
        <v>110</v>
      </c>
      <c r="AR32" s="16" t="s">
        <v>799</v>
      </c>
      <c r="AS32" s="19" t="s">
        <v>800</v>
      </c>
      <c r="AT32" s="19" t="s">
        <v>801</v>
      </c>
      <c r="AU32" s="19" t="s">
        <v>802</v>
      </c>
      <c r="AV32" s="19" t="s">
        <v>803</v>
      </c>
      <c r="AW32" s="16"/>
      <c r="AX32" s="16" t="s">
        <v>804</v>
      </c>
      <c r="AY32" s="16" t="s">
        <v>213</v>
      </c>
      <c r="AZ32" s="16">
        <v>9.486762993E9</v>
      </c>
      <c r="BA32" s="86"/>
      <c r="BB32" s="29"/>
      <c r="BC32" s="29"/>
    </row>
    <row r="33" ht="14.25" customHeight="1">
      <c r="A33" s="14">
        <f t="shared" si="11"/>
        <v>30</v>
      </c>
      <c r="B33" s="16" t="s">
        <v>805</v>
      </c>
      <c r="C33" s="16" t="s">
        <v>806</v>
      </c>
      <c r="D33" s="16" t="s">
        <v>807</v>
      </c>
      <c r="E33" s="17" t="s">
        <v>379</v>
      </c>
      <c r="F33" s="17"/>
      <c r="G33" s="16" t="str">
        <f t="shared" ref="G33:G38" si="18">CONCATENATE(B33,", ",C33," ",E33,".")</f>
        <v>Urriza, Leslie G.</v>
      </c>
      <c r="H33" s="16" t="str">
        <f t="shared" ref="H33:H38" si="19">CONCATENATE(C33," ",E33,". ",B33)</f>
        <v>Leslie G. Urriza</v>
      </c>
      <c r="I33" s="16" t="str">
        <f t="shared" ref="I33:I38" si="20">CONCATENATE(B33,", ",C33," ",D33)</f>
        <v>Urriza, Leslie Gonzales</v>
      </c>
      <c r="J33" s="19" t="s">
        <v>82</v>
      </c>
      <c r="K33" s="19" t="s">
        <v>335</v>
      </c>
      <c r="L33" s="19" t="s">
        <v>57</v>
      </c>
      <c r="M33" s="19" t="s">
        <v>58</v>
      </c>
      <c r="N33" s="19">
        <v>1092023.0</v>
      </c>
      <c r="O33" s="20">
        <v>45189.0</v>
      </c>
      <c r="P33" s="20">
        <v>45173.0</v>
      </c>
      <c r="Q33" s="20">
        <v>45188.0</v>
      </c>
      <c r="R33" s="20">
        <v>45189.0</v>
      </c>
      <c r="S33" s="20">
        <f t="shared" si="15"/>
        <v>45370</v>
      </c>
      <c r="T33" s="20">
        <f t="shared" si="5"/>
        <v>46132</v>
      </c>
      <c r="U33" s="21">
        <f t="shared" si="6"/>
        <v>2</v>
      </c>
      <c r="V33" s="19">
        <f t="shared" si="7"/>
        <v>7</v>
      </c>
      <c r="W33" s="19">
        <f t="shared" si="8"/>
        <v>0</v>
      </c>
      <c r="X33" s="74">
        <f t="shared" ref="X33:X39" si="21">EDATE(R33,6)</f>
        <v>45371</v>
      </c>
      <c r="Y33" s="16"/>
      <c r="Z33" s="16"/>
      <c r="AA33" s="16"/>
      <c r="AB33" s="16"/>
      <c r="AC33" s="22">
        <f t="shared" si="16"/>
        <v>15910.83</v>
      </c>
      <c r="AD33" s="23"/>
      <c r="AE33" s="22">
        <f t="shared" si="9"/>
        <v>15910.83</v>
      </c>
      <c r="AF33" s="22">
        <f t="shared" si="17"/>
        <v>609.9998722</v>
      </c>
      <c r="AG33" s="19" t="s">
        <v>178</v>
      </c>
      <c r="AH33" s="24"/>
      <c r="AI33" s="24" t="s">
        <v>135</v>
      </c>
      <c r="AJ33" s="19" t="s">
        <v>62</v>
      </c>
      <c r="AK33" s="19">
        <v>36876.0</v>
      </c>
      <c r="AL33" s="25">
        <f t="shared" si="4"/>
        <v>25.35890411</v>
      </c>
      <c r="AM33" s="19"/>
      <c r="AN33" s="16" t="s">
        <v>808</v>
      </c>
      <c r="AO33" s="19">
        <v>9.09021719E9</v>
      </c>
      <c r="AP33" s="75" t="s">
        <v>809</v>
      </c>
      <c r="AQ33" s="16" t="s">
        <v>110</v>
      </c>
      <c r="AR33" s="16" t="s">
        <v>326</v>
      </c>
      <c r="AS33" s="19" t="s">
        <v>810</v>
      </c>
      <c r="AT33" s="19" t="s">
        <v>811</v>
      </c>
      <c r="AU33" s="19" t="s">
        <v>812</v>
      </c>
      <c r="AV33" s="19" t="s">
        <v>813</v>
      </c>
      <c r="AW33" s="16"/>
      <c r="AX33" s="16" t="s">
        <v>814</v>
      </c>
      <c r="AY33" s="16" t="s">
        <v>213</v>
      </c>
      <c r="AZ33" s="16">
        <v>9.184910714E9</v>
      </c>
      <c r="BA33" s="86"/>
      <c r="BB33" s="29"/>
      <c r="BC33" s="29"/>
    </row>
    <row r="34" ht="14.25" customHeight="1">
      <c r="A34" s="14">
        <f t="shared" si="11"/>
        <v>31</v>
      </c>
      <c r="B34" s="16" t="s">
        <v>815</v>
      </c>
      <c r="C34" s="16" t="s">
        <v>816</v>
      </c>
      <c r="D34" s="16" t="s">
        <v>78</v>
      </c>
      <c r="E34" s="17" t="s">
        <v>54</v>
      </c>
      <c r="F34" s="17"/>
      <c r="G34" s="16" t="str">
        <f t="shared" si="18"/>
        <v>Beldad, Roniela Mari D.</v>
      </c>
      <c r="H34" s="16" t="str">
        <f t="shared" si="19"/>
        <v>Roniela Mari D. Beldad</v>
      </c>
      <c r="I34" s="16" t="str">
        <f t="shared" si="20"/>
        <v>Beldad, Roniela Mari Dela Cruz</v>
      </c>
      <c r="J34" s="19" t="s">
        <v>133</v>
      </c>
      <c r="K34" s="19" t="s">
        <v>56</v>
      </c>
      <c r="L34" s="19" t="s">
        <v>57</v>
      </c>
      <c r="M34" s="19" t="s">
        <v>58</v>
      </c>
      <c r="N34" s="19">
        <v>1101323.0</v>
      </c>
      <c r="O34" s="20">
        <v>45212.0</v>
      </c>
      <c r="P34" s="110">
        <v>45196.0</v>
      </c>
      <c r="Q34" s="20">
        <v>45211.0</v>
      </c>
      <c r="R34" s="20">
        <v>45212.0</v>
      </c>
      <c r="S34" s="20">
        <f t="shared" si="15"/>
        <v>45394</v>
      </c>
      <c r="T34" s="20">
        <f t="shared" si="5"/>
        <v>46132</v>
      </c>
      <c r="U34" s="21">
        <f t="shared" si="6"/>
        <v>2</v>
      </c>
      <c r="V34" s="19">
        <f t="shared" si="7"/>
        <v>6</v>
      </c>
      <c r="W34" s="19">
        <f t="shared" si="8"/>
        <v>7</v>
      </c>
      <c r="X34" s="74">
        <f t="shared" si="21"/>
        <v>45395</v>
      </c>
      <c r="Y34" s="16" t="s">
        <v>82</v>
      </c>
      <c r="Z34" s="16"/>
      <c r="AA34" s="16" t="s">
        <v>133</v>
      </c>
      <c r="AB34" s="16"/>
      <c r="AC34" s="22">
        <v>15910.83</v>
      </c>
      <c r="AD34" s="23"/>
      <c r="AE34" s="22">
        <f t="shared" si="9"/>
        <v>15910.83</v>
      </c>
      <c r="AF34" s="22">
        <f t="shared" si="17"/>
        <v>609.9998722</v>
      </c>
      <c r="AG34" s="19" t="s">
        <v>178</v>
      </c>
      <c r="AH34" s="24"/>
      <c r="AI34" s="24" t="s">
        <v>135</v>
      </c>
      <c r="AJ34" s="19" t="s">
        <v>62</v>
      </c>
      <c r="AK34" s="19">
        <v>36863.0</v>
      </c>
      <c r="AL34" s="25">
        <f t="shared" si="4"/>
        <v>25.39452055</v>
      </c>
      <c r="AM34" s="19" t="s">
        <v>817</v>
      </c>
      <c r="AN34" s="16"/>
      <c r="AO34" s="108">
        <v>9.064378948E9</v>
      </c>
      <c r="AP34" s="75" t="s">
        <v>818</v>
      </c>
      <c r="AQ34" s="16" t="s">
        <v>110</v>
      </c>
      <c r="AR34" s="16" t="s">
        <v>326</v>
      </c>
      <c r="AS34" s="19" t="s">
        <v>819</v>
      </c>
      <c r="AT34" s="19" t="s">
        <v>820</v>
      </c>
      <c r="AU34" s="19" t="s">
        <v>821</v>
      </c>
      <c r="AV34" s="19" t="s">
        <v>822</v>
      </c>
      <c r="AW34" s="16"/>
      <c r="AX34" s="16" t="s">
        <v>823</v>
      </c>
      <c r="AY34" s="16" t="s">
        <v>318</v>
      </c>
      <c r="AZ34" s="16">
        <v>9.35901794E9</v>
      </c>
      <c r="BA34" s="86"/>
      <c r="BB34" s="29"/>
      <c r="BC34" s="29"/>
    </row>
    <row r="35" ht="14.25" customHeight="1">
      <c r="A35" s="14">
        <f t="shared" si="11"/>
        <v>32</v>
      </c>
      <c r="B35" s="15" t="s">
        <v>824</v>
      </c>
      <c r="C35" s="15" t="s">
        <v>825</v>
      </c>
      <c r="D35" s="15" t="s">
        <v>826</v>
      </c>
      <c r="E35" s="17" t="s">
        <v>87</v>
      </c>
      <c r="F35" s="17"/>
      <c r="G35" s="16" t="str">
        <f t="shared" si="18"/>
        <v>Arches, Mischelle L.</v>
      </c>
      <c r="H35" s="16" t="str">
        <f t="shared" si="19"/>
        <v>Mischelle L. Arches</v>
      </c>
      <c r="I35" s="16" t="str">
        <f t="shared" si="20"/>
        <v>Arches, Mischelle Linihan</v>
      </c>
      <c r="J35" s="19" t="s">
        <v>550</v>
      </c>
      <c r="K35" s="19" t="s">
        <v>451</v>
      </c>
      <c r="L35" s="19" t="s">
        <v>57</v>
      </c>
      <c r="M35" s="19" t="s">
        <v>58</v>
      </c>
      <c r="N35" s="19"/>
      <c r="O35" s="20">
        <v>45224.0</v>
      </c>
      <c r="P35" s="20"/>
      <c r="Q35" s="20"/>
      <c r="R35" s="19">
        <v>45224.0</v>
      </c>
      <c r="S35" s="20">
        <f t="shared" si="15"/>
        <v>45406</v>
      </c>
      <c r="T35" s="20">
        <f t="shared" si="5"/>
        <v>46132</v>
      </c>
      <c r="U35" s="21">
        <f t="shared" si="6"/>
        <v>2</v>
      </c>
      <c r="V35" s="19">
        <f t="shared" si="7"/>
        <v>5</v>
      </c>
      <c r="W35" s="19">
        <f t="shared" si="8"/>
        <v>26</v>
      </c>
      <c r="X35" s="74">
        <f t="shared" si="21"/>
        <v>45407</v>
      </c>
      <c r="Y35" s="16"/>
      <c r="Z35" s="16"/>
      <c r="AA35" s="16"/>
      <c r="AB35" s="16"/>
      <c r="AC35" s="22">
        <f>17337.5+1216.66+927.71</f>
        <v>19481.87</v>
      </c>
      <c r="AD35" s="23"/>
      <c r="AE35" s="22">
        <f t="shared" si="9"/>
        <v>19481.87</v>
      </c>
      <c r="AF35" s="22">
        <f>AE35*12/365</f>
        <v>640.4998356</v>
      </c>
      <c r="AG35" s="19" t="s">
        <v>59</v>
      </c>
      <c r="AH35" s="24"/>
      <c r="AI35" s="24" t="s">
        <v>135</v>
      </c>
      <c r="AJ35" s="19" t="s">
        <v>62</v>
      </c>
      <c r="AK35" s="19">
        <v>36772.0</v>
      </c>
      <c r="AL35" s="25">
        <f t="shared" si="4"/>
        <v>25.64383562</v>
      </c>
      <c r="AM35" s="112" t="s">
        <v>827</v>
      </c>
      <c r="AN35" s="16" t="s">
        <v>828</v>
      </c>
      <c r="AO35" s="64">
        <v>9.357350019E9</v>
      </c>
      <c r="AP35" s="113" t="s">
        <v>829</v>
      </c>
      <c r="AQ35" s="16" t="s">
        <v>110</v>
      </c>
      <c r="AR35" s="26" t="s">
        <v>526</v>
      </c>
      <c r="AS35" s="19" t="s">
        <v>830</v>
      </c>
      <c r="AT35" s="19" t="s">
        <v>831</v>
      </c>
      <c r="AU35" s="19" t="s">
        <v>832</v>
      </c>
      <c r="AV35" s="19" t="s">
        <v>833</v>
      </c>
      <c r="AW35" s="16"/>
      <c r="AX35" s="16" t="s">
        <v>834</v>
      </c>
      <c r="AY35" s="16" t="s">
        <v>213</v>
      </c>
      <c r="AZ35" s="16">
        <v>9.056716791E9</v>
      </c>
      <c r="BA35" s="86"/>
    </row>
    <row r="36" ht="14.25" customHeight="1">
      <c r="A36" s="14">
        <f t="shared" si="11"/>
        <v>33</v>
      </c>
      <c r="B36" s="16" t="s">
        <v>319</v>
      </c>
      <c r="C36" s="16" t="s">
        <v>320</v>
      </c>
      <c r="D36" s="16" t="s">
        <v>321</v>
      </c>
      <c r="E36" s="17" t="s">
        <v>132</v>
      </c>
      <c r="F36" s="17"/>
      <c r="G36" s="16" t="str">
        <f t="shared" si="18"/>
        <v>Peligro, Marivic C.</v>
      </c>
      <c r="H36" s="16" t="str">
        <f t="shared" si="19"/>
        <v>Marivic C. Peligro</v>
      </c>
      <c r="I36" s="16" t="str">
        <f t="shared" si="20"/>
        <v>Peligro, Marivic Centeno</v>
      </c>
      <c r="J36" s="19" t="s">
        <v>82</v>
      </c>
      <c r="K36" s="19" t="s">
        <v>335</v>
      </c>
      <c r="L36" s="19" t="s">
        <v>57</v>
      </c>
      <c r="M36" s="19" t="s">
        <v>58</v>
      </c>
      <c r="N36" s="19"/>
      <c r="O36" s="20">
        <v>45252.0</v>
      </c>
      <c r="P36" s="20">
        <v>45236.0</v>
      </c>
      <c r="Q36" s="20">
        <v>45251.0</v>
      </c>
      <c r="R36" s="20">
        <v>45252.0</v>
      </c>
      <c r="S36" s="20">
        <f t="shared" si="15"/>
        <v>45433</v>
      </c>
      <c r="T36" s="20">
        <f t="shared" si="5"/>
        <v>46132</v>
      </c>
      <c r="U36" s="21">
        <f t="shared" si="6"/>
        <v>2</v>
      </c>
      <c r="V36" s="19">
        <f t="shared" si="7"/>
        <v>4</v>
      </c>
      <c r="W36" s="19">
        <f t="shared" si="8"/>
        <v>29</v>
      </c>
      <c r="X36" s="74">
        <f t="shared" si="21"/>
        <v>45434</v>
      </c>
      <c r="Y36" s="16" t="s">
        <v>82</v>
      </c>
      <c r="Z36" s="16"/>
      <c r="AA36" s="16"/>
      <c r="AB36" s="16"/>
      <c r="AC36" s="22">
        <v>15910.83</v>
      </c>
      <c r="AD36" s="23"/>
      <c r="AE36" s="22">
        <f t="shared" si="9"/>
        <v>15910.83</v>
      </c>
      <c r="AF36" s="22">
        <f t="shared" ref="AF36:AF39" si="22">AE36*12/313</f>
        <v>609.9998722</v>
      </c>
      <c r="AG36" s="19" t="s">
        <v>178</v>
      </c>
      <c r="AH36" s="19"/>
      <c r="AI36" s="24" t="s">
        <v>135</v>
      </c>
      <c r="AJ36" s="19" t="s">
        <v>62</v>
      </c>
      <c r="AK36" s="19">
        <v>36761.0</v>
      </c>
      <c r="AL36" s="25">
        <f t="shared" si="4"/>
        <v>25.6739726</v>
      </c>
      <c r="AM36" s="19" t="s">
        <v>835</v>
      </c>
      <c r="AN36" s="16" t="s">
        <v>324</v>
      </c>
      <c r="AO36" s="19">
        <v>9.771325793E9</v>
      </c>
      <c r="AP36" s="75" t="s">
        <v>325</v>
      </c>
      <c r="AQ36" s="16" t="s">
        <v>110</v>
      </c>
      <c r="AR36" s="16" t="s">
        <v>326</v>
      </c>
      <c r="AS36" s="19" t="s">
        <v>327</v>
      </c>
      <c r="AT36" s="19" t="s">
        <v>328</v>
      </c>
      <c r="AU36" s="19" t="s">
        <v>329</v>
      </c>
      <c r="AV36" s="19" t="s">
        <v>330</v>
      </c>
      <c r="AW36" s="16"/>
      <c r="AX36" s="16" t="s">
        <v>331</v>
      </c>
      <c r="AY36" s="16" t="s">
        <v>73</v>
      </c>
      <c r="AZ36" s="16">
        <v>9.05274854E9</v>
      </c>
      <c r="BA36" s="86"/>
    </row>
    <row r="37" ht="14.25" customHeight="1">
      <c r="A37" s="14">
        <f t="shared" si="11"/>
        <v>34</v>
      </c>
      <c r="B37" s="16" t="s">
        <v>836</v>
      </c>
      <c r="C37" s="16" t="s">
        <v>837</v>
      </c>
      <c r="D37" s="16" t="s">
        <v>838</v>
      </c>
      <c r="E37" s="17" t="s">
        <v>308</v>
      </c>
      <c r="F37" s="17"/>
      <c r="G37" s="16" t="str">
        <f t="shared" si="18"/>
        <v>Ranque, Beverly B.</v>
      </c>
      <c r="H37" s="16" t="str">
        <f t="shared" si="19"/>
        <v>Beverly B. Ranque</v>
      </c>
      <c r="I37" s="16" t="str">
        <f t="shared" si="20"/>
        <v>Ranque, Beverly Biton</v>
      </c>
      <c r="J37" s="19" t="s">
        <v>82</v>
      </c>
      <c r="K37" s="19" t="s">
        <v>335</v>
      </c>
      <c r="L37" s="19" t="s">
        <v>16</v>
      </c>
      <c r="M37" s="19" t="s">
        <v>58</v>
      </c>
      <c r="N37" s="19"/>
      <c r="O37" s="20">
        <v>45410.0</v>
      </c>
      <c r="P37" s="20">
        <v>45394.0</v>
      </c>
      <c r="Q37" s="20">
        <v>45409.0</v>
      </c>
      <c r="R37" s="20">
        <v>45410.0</v>
      </c>
      <c r="S37" s="20">
        <f t="shared" si="15"/>
        <v>45592</v>
      </c>
      <c r="T37" s="20">
        <f t="shared" si="5"/>
        <v>46132</v>
      </c>
      <c r="U37" s="21">
        <f t="shared" si="6"/>
        <v>1</v>
      </c>
      <c r="V37" s="19">
        <f t="shared" si="7"/>
        <v>11</v>
      </c>
      <c r="W37" s="19">
        <f t="shared" si="8"/>
        <v>23</v>
      </c>
      <c r="X37" s="74">
        <f t="shared" si="21"/>
        <v>45593</v>
      </c>
      <c r="Y37" s="16" t="s">
        <v>82</v>
      </c>
      <c r="Z37" s="16"/>
      <c r="AA37" s="16"/>
      <c r="AB37" s="16"/>
      <c r="AC37" s="22">
        <v>15910.83</v>
      </c>
      <c r="AD37" s="23"/>
      <c r="AE37" s="22">
        <f t="shared" si="9"/>
        <v>15910.83</v>
      </c>
      <c r="AF37" s="22">
        <f t="shared" si="22"/>
        <v>609.9998722</v>
      </c>
      <c r="AG37" s="19" t="s">
        <v>178</v>
      </c>
      <c r="AH37" s="19"/>
      <c r="AI37" s="24" t="s">
        <v>135</v>
      </c>
      <c r="AJ37" s="19" t="s">
        <v>62</v>
      </c>
      <c r="AK37" s="19">
        <v>36121.0</v>
      </c>
      <c r="AL37" s="25">
        <f t="shared" si="4"/>
        <v>27.42739726</v>
      </c>
      <c r="AM37" s="19" t="s">
        <v>839</v>
      </c>
      <c r="AN37" s="16" t="s">
        <v>840</v>
      </c>
      <c r="AO37" s="19">
        <v>9.218775998E9</v>
      </c>
      <c r="AP37" s="75" t="s">
        <v>841</v>
      </c>
      <c r="AQ37" s="16" t="s">
        <v>110</v>
      </c>
      <c r="AR37" s="16" t="s">
        <v>326</v>
      </c>
      <c r="AS37" s="19" t="s">
        <v>842</v>
      </c>
      <c r="AT37" s="19" t="s">
        <v>843</v>
      </c>
      <c r="AU37" s="19" t="s">
        <v>844</v>
      </c>
      <c r="AV37" s="19" t="s">
        <v>845</v>
      </c>
      <c r="AW37" s="16"/>
      <c r="AX37" s="16" t="s">
        <v>846</v>
      </c>
      <c r="AY37" s="16" t="s">
        <v>213</v>
      </c>
      <c r="AZ37" s="16">
        <v>9.129974844E9</v>
      </c>
      <c r="BA37" s="86"/>
      <c r="BB37" s="29"/>
      <c r="BC37" s="29"/>
    </row>
    <row r="38" ht="15.0" customHeight="1">
      <c r="A38" s="14">
        <f t="shared" si="11"/>
        <v>35</v>
      </c>
      <c r="B38" s="15" t="s">
        <v>847</v>
      </c>
      <c r="C38" s="16" t="s">
        <v>52</v>
      </c>
      <c r="D38" s="16" t="s">
        <v>477</v>
      </c>
      <c r="E38" s="17" t="s">
        <v>81</v>
      </c>
      <c r="F38" s="17"/>
      <c r="G38" s="16" t="str">
        <f t="shared" si="18"/>
        <v>Valdez, Ariel F.</v>
      </c>
      <c r="H38" s="16" t="str">
        <f t="shared" si="19"/>
        <v>Ariel F. Valdez</v>
      </c>
      <c r="I38" s="16" t="str">
        <f t="shared" si="20"/>
        <v>Valdez, Ariel Fabiaña</v>
      </c>
      <c r="J38" s="19" t="s">
        <v>848</v>
      </c>
      <c r="K38" s="19" t="s">
        <v>177</v>
      </c>
      <c r="L38" s="19" t="s">
        <v>16</v>
      </c>
      <c r="M38" s="19" t="s">
        <v>58</v>
      </c>
      <c r="N38" s="19"/>
      <c r="O38" s="20">
        <v>45420.0</v>
      </c>
      <c r="P38" s="20">
        <v>45404.0</v>
      </c>
      <c r="Q38" s="20">
        <v>45419.0</v>
      </c>
      <c r="R38" s="20">
        <v>45420.0</v>
      </c>
      <c r="S38" s="20">
        <f t="shared" si="15"/>
        <v>45603</v>
      </c>
      <c r="T38" s="20">
        <f t="shared" si="5"/>
        <v>46132</v>
      </c>
      <c r="U38" s="21">
        <f t="shared" si="6"/>
        <v>1</v>
      </c>
      <c r="V38" s="19">
        <f t="shared" si="7"/>
        <v>11</v>
      </c>
      <c r="W38" s="19">
        <f t="shared" si="8"/>
        <v>12</v>
      </c>
      <c r="X38" s="74">
        <f t="shared" si="21"/>
        <v>45604</v>
      </c>
      <c r="Y38" s="16"/>
      <c r="Z38" s="16"/>
      <c r="AA38" s="16"/>
      <c r="AB38" s="16"/>
      <c r="AC38" s="22">
        <v>20000.0</v>
      </c>
      <c r="AD38" s="23"/>
      <c r="AE38" s="22">
        <f t="shared" si="9"/>
        <v>20000</v>
      </c>
      <c r="AF38" s="22">
        <f t="shared" si="22"/>
        <v>766.7731629</v>
      </c>
      <c r="AG38" s="19" t="s">
        <v>178</v>
      </c>
      <c r="AH38" s="24"/>
      <c r="AI38" s="24" t="s">
        <v>61</v>
      </c>
      <c r="AJ38" s="19" t="s">
        <v>107</v>
      </c>
      <c r="AK38" s="19">
        <v>31720.0</v>
      </c>
      <c r="AL38" s="25">
        <f t="shared" si="4"/>
        <v>39.48493151</v>
      </c>
      <c r="AM38" s="19" t="s">
        <v>849</v>
      </c>
      <c r="AN38" s="16"/>
      <c r="AO38" s="91">
        <v>9.154884776E9</v>
      </c>
      <c r="AP38" s="114" t="s">
        <v>850</v>
      </c>
      <c r="AQ38" s="16" t="s">
        <v>352</v>
      </c>
      <c r="AR38" s="16" t="s">
        <v>851</v>
      </c>
      <c r="AS38" s="19" t="s">
        <v>852</v>
      </c>
      <c r="AT38" s="19" t="s">
        <v>853</v>
      </c>
      <c r="AU38" s="19" t="s">
        <v>854</v>
      </c>
      <c r="AV38" s="19" t="s">
        <v>855</v>
      </c>
      <c r="AW38" s="16"/>
      <c r="AX38" s="16" t="s">
        <v>856</v>
      </c>
      <c r="AY38" s="16" t="s">
        <v>117</v>
      </c>
      <c r="AZ38" s="16">
        <v>9.666344776E9</v>
      </c>
      <c r="BA38" s="86"/>
      <c r="BB38" s="29"/>
      <c r="BC38" s="29"/>
    </row>
    <row r="39" ht="14.25" customHeight="1">
      <c r="A39" s="14">
        <f t="shared" si="11"/>
        <v>36</v>
      </c>
      <c r="B39" s="16" t="s">
        <v>857</v>
      </c>
      <c r="C39" s="16" t="s">
        <v>858</v>
      </c>
      <c r="D39" s="16" t="s">
        <v>859</v>
      </c>
      <c r="E39" s="17" t="s">
        <v>217</v>
      </c>
      <c r="F39" s="17"/>
      <c r="G39" s="16" t="str">
        <f>CONCATENATE(B39," ",F39,", ",C39," ",E39,".")</f>
        <v>More , Shaira M.</v>
      </c>
      <c r="H39" s="16" t="str">
        <f>CONCATENATE(C39," ",E39,". ",B39," ",F39)</f>
        <v>Shaira M. More </v>
      </c>
      <c r="I39" s="16" t="str">
        <f>CONCATENATE(B39," ",F39,", ",C39," ",D39)</f>
        <v>More , Shaira Mahinay</v>
      </c>
      <c r="J39" s="19" t="s">
        <v>82</v>
      </c>
      <c r="K39" s="19" t="s">
        <v>335</v>
      </c>
      <c r="L39" s="19" t="s">
        <v>16</v>
      </c>
      <c r="M39" s="19" t="s">
        <v>58</v>
      </c>
      <c r="N39" s="19"/>
      <c r="O39" s="20">
        <v>45438.0</v>
      </c>
      <c r="P39" s="110">
        <v>45422.0</v>
      </c>
      <c r="Q39" s="110">
        <v>45437.0</v>
      </c>
      <c r="R39" s="20">
        <v>45438.0</v>
      </c>
      <c r="S39" s="20">
        <f t="shared" si="15"/>
        <v>45621</v>
      </c>
      <c r="T39" s="20">
        <f t="shared" si="5"/>
        <v>46132</v>
      </c>
      <c r="U39" s="21">
        <f t="shared" si="6"/>
        <v>1</v>
      </c>
      <c r="V39" s="19">
        <f t="shared" si="7"/>
        <v>10</v>
      </c>
      <c r="W39" s="19">
        <f t="shared" si="8"/>
        <v>25</v>
      </c>
      <c r="X39" s="74">
        <f t="shared" si="21"/>
        <v>45622</v>
      </c>
      <c r="Y39" s="16"/>
      <c r="Z39" s="16"/>
      <c r="AA39" s="16"/>
      <c r="AB39" s="16"/>
      <c r="AC39" s="22">
        <f>14867.5+1043.33</f>
        <v>15910.83</v>
      </c>
      <c r="AD39" s="23"/>
      <c r="AE39" s="22">
        <f t="shared" si="9"/>
        <v>15910.83</v>
      </c>
      <c r="AF39" s="22">
        <f t="shared" si="22"/>
        <v>609.9998722</v>
      </c>
      <c r="AG39" s="19" t="s">
        <v>178</v>
      </c>
      <c r="AH39" s="24"/>
      <c r="AI39" s="24" t="s">
        <v>135</v>
      </c>
      <c r="AJ39" s="19" t="s">
        <v>860</v>
      </c>
      <c r="AK39" s="19">
        <v>35483.0</v>
      </c>
      <c r="AL39" s="25">
        <f t="shared" si="4"/>
        <v>29.17534247</v>
      </c>
      <c r="AM39" s="109" t="s">
        <v>861</v>
      </c>
      <c r="AN39" s="109" t="s">
        <v>861</v>
      </c>
      <c r="AO39" s="108">
        <v>9.269384006E9</v>
      </c>
      <c r="AP39" s="75" t="s">
        <v>862</v>
      </c>
      <c r="AQ39" s="26" t="s">
        <v>863</v>
      </c>
      <c r="AR39" s="26" t="s">
        <v>863</v>
      </c>
      <c r="AS39" s="19" t="s">
        <v>864</v>
      </c>
      <c r="AT39" s="115" t="s">
        <v>865</v>
      </c>
      <c r="AU39" s="19" t="s">
        <v>866</v>
      </c>
      <c r="AV39" s="19" t="s">
        <v>867</v>
      </c>
      <c r="AW39" s="16"/>
      <c r="AX39" s="16" t="s">
        <v>868</v>
      </c>
      <c r="AY39" s="16" t="s">
        <v>213</v>
      </c>
      <c r="AZ39" s="16" t="s">
        <v>869</v>
      </c>
      <c r="BA39" s="86" t="s">
        <v>870</v>
      </c>
      <c r="BB39" s="29"/>
      <c r="BC39" s="29"/>
    </row>
    <row r="40" ht="14.25" customHeight="1">
      <c r="A40" s="116"/>
      <c r="B40" s="33"/>
      <c r="C40" s="33"/>
      <c r="D40" s="33"/>
      <c r="E40" s="42"/>
      <c r="F40" s="42"/>
      <c r="G40" s="33"/>
      <c r="H40" s="33"/>
      <c r="I40" s="33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33"/>
      <c r="Z40" s="42"/>
      <c r="AA40" s="42"/>
      <c r="AB40" s="42"/>
      <c r="AC40" s="44"/>
      <c r="AD40" s="42"/>
      <c r="AE40" s="44"/>
      <c r="AF40" s="117"/>
      <c r="AG40" s="42"/>
      <c r="AH40" s="46"/>
      <c r="AI40" s="42"/>
      <c r="AJ40" s="42"/>
      <c r="AK40" s="42"/>
      <c r="AL40" s="117"/>
      <c r="AM40" s="53"/>
      <c r="AN40" s="53"/>
      <c r="AO40" s="42"/>
      <c r="AP40" s="118"/>
      <c r="AQ40" s="33"/>
      <c r="AR40" s="33"/>
      <c r="AS40" s="104"/>
      <c r="AT40" s="104"/>
      <c r="AU40" s="88"/>
      <c r="AV40" s="104"/>
      <c r="AW40" s="33"/>
      <c r="AX40" s="33"/>
      <c r="AY40" s="42"/>
      <c r="AZ40" s="42"/>
      <c r="BA40" s="33"/>
    </row>
    <row r="41" ht="14.25" customHeight="1">
      <c r="A41" s="119"/>
      <c r="B41" s="33"/>
      <c r="C41" s="33"/>
      <c r="D41" s="33"/>
      <c r="E41" s="42"/>
      <c r="F41" s="42"/>
      <c r="G41" s="33"/>
      <c r="H41" s="33"/>
      <c r="I41" s="33"/>
      <c r="J41" s="42"/>
      <c r="K41" s="42"/>
      <c r="L41" s="42"/>
      <c r="M41" s="42"/>
      <c r="N41" s="42"/>
      <c r="O41" s="37"/>
      <c r="P41" s="120"/>
      <c r="Q41" s="37"/>
      <c r="R41" s="37"/>
      <c r="S41" s="37"/>
      <c r="T41" s="37"/>
      <c r="U41" s="41"/>
      <c r="V41" s="42"/>
      <c r="W41" s="42"/>
      <c r="X41" s="43"/>
      <c r="Y41" s="33"/>
      <c r="Z41" s="33"/>
      <c r="AA41" s="33"/>
      <c r="AB41" s="33"/>
      <c r="AC41" s="44"/>
      <c r="AD41" s="45"/>
      <c r="AE41" s="44"/>
      <c r="AF41" s="44"/>
      <c r="AG41" s="42"/>
      <c r="AH41" s="46"/>
      <c r="AI41" s="46"/>
      <c r="AJ41" s="42"/>
      <c r="AK41" s="42"/>
      <c r="AL41" s="47"/>
      <c r="AM41" s="42"/>
      <c r="AN41" s="33"/>
      <c r="AO41" s="49"/>
      <c r="AP41" s="111"/>
      <c r="AQ41" s="33"/>
      <c r="AR41" s="33"/>
      <c r="AS41" s="42"/>
      <c r="AT41" s="42"/>
      <c r="AU41" s="42"/>
      <c r="AV41" s="42"/>
      <c r="AW41" s="33"/>
      <c r="AX41" s="33"/>
      <c r="AY41" s="33"/>
      <c r="AZ41" s="33"/>
      <c r="BA41" s="29"/>
      <c r="BB41" s="29"/>
      <c r="BC41" s="29"/>
    </row>
    <row r="42" ht="14.25" customHeight="1">
      <c r="E42" s="42"/>
      <c r="F42" s="42"/>
      <c r="K42" s="42" t="s">
        <v>57</v>
      </c>
      <c r="L42" s="121">
        <f>COUNTIF(L3:L41,L28)</f>
        <v>33</v>
      </c>
      <c r="T42" s="54"/>
      <c r="U42" s="54"/>
      <c r="AC42" s="54"/>
      <c r="AE42" s="54"/>
      <c r="AF42" s="85" t="s">
        <v>59</v>
      </c>
      <c r="AG42" s="122">
        <f>COUNTIF(AG4:AG41,AG31)</f>
        <v>25</v>
      </c>
      <c r="AH42" s="54" t="s">
        <v>61</v>
      </c>
      <c r="AI42" s="122">
        <f>COUNTIF(AI4:AI41,AI28)</f>
        <v>22</v>
      </c>
      <c r="AJ42" s="54"/>
      <c r="AS42" s="54"/>
      <c r="AU42" s="54"/>
      <c r="AV42" s="54"/>
      <c r="BB42" s="29"/>
      <c r="BC42" s="29"/>
    </row>
    <row r="43" ht="14.25" customHeight="1">
      <c r="A43" s="84" t="s">
        <v>871</v>
      </c>
      <c r="B43" s="123"/>
      <c r="C43" s="123" t="s">
        <v>872</v>
      </c>
      <c r="D43" s="123" t="s">
        <v>873</v>
      </c>
      <c r="E43" s="54"/>
      <c r="F43" s="54"/>
      <c r="K43" s="42" t="s">
        <v>16</v>
      </c>
      <c r="L43" s="124">
        <f>COUNTIF(L3:L41,L39)</f>
        <v>3</v>
      </c>
      <c r="T43" s="54"/>
      <c r="U43" s="54"/>
      <c r="AC43" s="54"/>
      <c r="AE43" s="54"/>
      <c r="AF43" s="85" t="s">
        <v>178</v>
      </c>
      <c r="AG43" s="125">
        <f>COUNTIF(AG4:AG41,AG32)</f>
        <v>11</v>
      </c>
      <c r="AH43" s="54" t="s">
        <v>135</v>
      </c>
      <c r="AI43" s="122">
        <f>COUNTIF(AI4:AI41,AI27)</f>
        <v>14</v>
      </c>
      <c r="AJ43" s="54"/>
      <c r="AS43" s="54"/>
      <c r="AT43" s="54"/>
      <c r="AU43" s="54"/>
      <c r="AV43" s="54"/>
      <c r="BB43" s="29"/>
      <c r="BC43" s="29"/>
    </row>
    <row r="44" ht="14.25" customHeight="1">
      <c r="A44" s="85" t="s">
        <v>874</v>
      </c>
      <c r="C44" s="54"/>
      <c r="E44" s="54"/>
      <c r="F44" s="54"/>
      <c r="T44" s="54"/>
      <c r="U44" s="54"/>
      <c r="AC44" s="54"/>
      <c r="AE44" s="54"/>
      <c r="AG44" s="54"/>
      <c r="AH44" s="54"/>
      <c r="AI44" s="54"/>
      <c r="AJ44" s="54"/>
      <c r="AS44" s="54"/>
      <c r="AT44" s="54"/>
      <c r="AU44" s="54"/>
      <c r="AV44" s="54"/>
    </row>
    <row r="45" ht="14.25" customHeight="1">
      <c r="A45" s="85" t="s">
        <v>875</v>
      </c>
      <c r="C45" s="54"/>
      <c r="E45" s="54"/>
      <c r="F45" s="54"/>
      <c r="T45" s="54"/>
      <c r="U45" s="54"/>
      <c r="AC45" s="54"/>
      <c r="AE45" s="54"/>
      <c r="AG45" s="54"/>
      <c r="AH45" s="54"/>
      <c r="AI45" s="54"/>
      <c r="AJ45" s="54"/>
      <c r="AS45" s="54"/>
      <c r="AT45" s="54"/>
      <c r="AU45" s="54"/>
      <c r="AV45" s="54"/>
    </row>
    <row r="46" ht="14.25" customHeight="1">
      <c r="A46" s="85" t="s">
        <v>876</v>
      </c>
      <c r="C46" s="54"/>
      <c r="E46" s="54"/>
      <c r="F46" s="54"/>
      <c r="T46" s="54"/>
      <c r="U46" s="54"/>
      <c r="AC46" s="54"/>
      <c r="AE46" s="54"/>
      <c r="AG46" s="54"/>
      <c r="AH46" s="54"/>
      <c r="AI46" s="54"/>
      <c r="AJ46" s="54"/>
      <c r="AS46" s="54"/>
      <c r="AT46" s="54"/>
      <c r="AU46" s="54"/>
      <c r="AV46" s="54"/>
    </row>
    <row r="47" ht="14.25" customHeight="1">
      <c r="A47" s="85" t="s">
        <v>877</v>
      </c>
      <c r="C47" s="54"/>
      <c r="E47" s="54"/>
      <c r="F47" s="54"/>
      <c r="T47" s="54"/>
      <c r="U47" s="54"/>
      <c r="AC47" s="54"/>
      <c r="AE47" s="54"/>
      <c r="AG47" s="54"/>
      <c r="AH47" s="54"/>
      <c r="AI47" s="54"/>
      <c r="AJ47" s="54"/>
      <c r="AS47" s="54"/>
      <c r="AT47" s="54"/>
      <c r="AU47" s="54"/>
      <c r="AV47" s="54"/>
    </row>
    <row r="48" ht="14.25" customHeight="1">
      <c r="A48" s="85" t="s">
        <v>878</v>
      </c>
      <c r="C48" s="54"/>
      <c r="E48" s="54"/>
      <c r="F48" s="54"/>
      <c r="T48" s="54"/>
      <c r="U48" s="54"/>
      <c r="AC48" s="54"/>
      <c r="AE48" s="54"/>
      <c r="AG48" s="54"/>
      <c r="AH48" s="54"/>
      <c r="AI48" s="54"/>
      <c r="AJ48" s="54"/>
      <c r="AS48" s="54"/>
      <c r="AT48" s="54"/>
      <c r="AU48" s="54"/>
      <c r="AV48" s="54"/>
    </row>
    <row r="49" ht="14.25" customHeight="1">
      <c r="A49" s="85" t="s">
        <v>879</v>
      </c>
      <c r="E49" s="54"/>
      <c r="F49" s="54"/>
      <c r="T49" s="54"/>
      <c r="U49" s="54"/>
      <c r="AC49" s="54"/>
      <c r="AE49" s="54"/>
      <c r="AG49" s="54"/>
      <c r="AH49" s="54"/>
      <c r="AI49" s="54"/>
      <c r="AJ49" s="54"/>
      <c r="AS49" s="54"/>
      <c r="AT49" s="54"/>
      <c r="AU49" s="54"/>
      <c r="AV49" s="54"/>
    </row>
    <row r="50" ht="14.25" customHeight="1">
      <c r="A50" s="85" t="s">
        <v>880</v>
      </c>
      <c r="E50" s="54"/>
      <c r="F50" s="54"/>
      <c r="T50" s="54"/>
      <c r="U50" s="54"/>
      <c r="AC50" s="54"/>
      <c r="AE50" s="54"/>
      <c r="AG50" s="54"/>
      <c r="AH50" s="54"/>
      <c r="AI50" s="54"/>
      <c r="AJ50" s="54"/>
      <c r="AS50" s="54"/>
      <c r="AT50" s="54"/>
      <c r="AU50" s="54"/>
      <c r="AV50" s="54"/>
    </row>
    <row r="51" ht="14.25" customHeight="1">
      <c r="A51" s="85" t="s">
        <v>133</v>
      </c>
      <c r="E51" s="54"/>
      <c r="F51" s="54"/>
      <c r="T51" s="54"/>
      <c r="U51" s="54"/>
      <c r="AC51" s="54"/>
      <c r="AE51" s="54"/>
      <c r="AG51" s="54"/>
      <c r="AH51" s="54"/>
      <c r="AI51" s="54"/>
      <c r="AJ51" s="54"/>
      <c r="AS51" s="54"/>
      <c r="AT51" s="54"/>
      <c r="AU51" s="54"/>
      <c r="AV51" s="54"/>
    </row>
    <row r="52" ht="14.25" customHeight="1">
      <c r="A52" s="85" t="s">
        <v>561</v>
      </c>
      <c r="E52" s="54"/>
      <c r="F52" s="54"/>
      <c r="T52" s="54"/>
      <c r="U52" s="54"/>
      <c r="AC52" s="54"/>
      <c r="AE52" s="54"/>
      <c r="AG52" s="54"/>
      <c r="AH52" s="54"/>
      <c r="AI52" s="54"/>
      <c r="AJ52" s="54"/>
      <c r="AS52" s="54"/>
      <c r="AT52" s="54"/>
      <c r="AU52" s="54"/>
      <c r="AV52" s="54"/>
    </row>
    <row r="53" ht="14.25" customHeight="1">
      <c r="A53" s="85" t="s">
        <v>881</v>
      </c>
      <c r="E53" s="54"/>
      <c r="F53" s="54"/>
      <c r="T53" s="54"/>
      <c r="U53" s="54"/>
      <c r="AC53" s="54"/>
      <c r="AE53" s="54"/>
      <c r="AG53" s="54"/>
      <c r="AH53" s="54"/>
      <c r="AI53" s="54"/>
      <c r="AJ53" s="54"/>
      <c r="AS53" s="54"/>
      <c r="AT53" s="54"/>
      <c r="AU53" s="54"/>
      <c r="AV53" s="54"/>
    </row>
    <row r="54" ht="14.25" customHeight="1">
      <c r="A54" s="85" t="s">
        <v>882</v>
      </c>
      <c r="E54" s="54"/>
      <c r="F54" s="54"/>
      <c r="T54" s="54"/>
      <c r="U54" s="54"/>
      <c r="AC54" s="54"/>
      <c r="AE54" s="54"/>
      <c r="AG54" s="54"/>
      <c r="AH54" s="54"/>
      <c r="AI54" s="54"/>
      <c r="AJ54" s="54"/>
      <c r="AS54" s="54"/>
      <c r="AT54" s="54"/>
      <c r="AU54" s="54"/>
      <c r="AV54" s="54"/>
    </row>
    <row r="55" ht="14.25" customHeight="1">
      <c r="A55" s="85" t="s">
        <v>883</v>
      </c>
      <c r="E55" s="54"/>
      <c r="F55" s="54"/>
      <c r="T55" s="54"/>
      <c r="U55" s="54"/>
      <c r="AC55" s="54"/>
      <c r="AE55" s="54"/>
      <c r="AG55" s="54"/>
      <c r="AH55" s="54"/>
      <c r="AI55" s="54"/>
      <c r="AJ55" s="54"/>
      <c r="AS55" s="54"/>
      <c r="AT55" s="54"/>
      <c r="AU55" s="54"/>
      <c r="AV55" s="54"/>
    </row>
    <row r="56" ht="14.25" customHeight="1">
      <c r="A56" s="85" t="s">
        <v>884</v>
      </c>
      <c r="E56" s="54"/>
      <c r="F56" s="54"/>
      <c r="T56" s="54"/>
      <c r="U56" s="54"/>
      <c r="AC56" s="54"/>
      <c r="AE56" s="54"/>
      <c r="AG56" s="54"/>
      <c r="AH56" s="54"/>
      <c r="AI56" s="54"/>
      <c r="AJ56" s="54"/>
      <c r="AS56" s="54"/>
      <c r="AT56" s="54"/>
      <c r="AU56" s="54"/>
      <c r="AV56" s="54"/>
    </row>
    <row r="57" ht="14.25" customHeight="1">
      <c r="E57" s="54"/>
      <c r="F57" s="54"/>
      <c r="T57" s="54"/>
      <c r="U57" s="54"/>
      <c r="AC57" s="54"/>
      <c r="AE57" s="54"/>
      <c r="AG57" s="54"/>
      <c r="AH57" s="54"/>
      <c r="AI57" s="54"/>
      <c r="AJ57" s="54"/>
      <c r="AS57" s="54"/>
      <c r="AT57" s="54"/>
      <c r="AU57" s="54"/>
      <c r="AV57" s="54"/>
    </row>
    <row r="58" ht="14.25" customHeight="1">
      <c r="A58" s="84" t="s">
        <v>421</v>
      </c>
      <c r="C58" s="123" t="s">
        <v>872</v>
      </c>
      <c r="D58" s="123" t="s">
        <v>873</v>
      </c>
      <c r="E58" s="54"/>
      <c r="F58" s="54"/>
      <c r="T58" s="54"/>
      <c r="U58" s="54"/>
      <c r="AC58" s="54"/>
      <c r="AE58" s="54"/>
      <c r="AG58" s="54"/>
      <c r="AH58" s="54"/>
      <c r="AI58" s="54"/>
      <c r="AJ58" s="54"/>
      <c r="AS58" s="54"/>
      <c r="AT58" s="54"/>
      <c r="AU58" s="54"/>
      <c r="AV58" s="54"/>
    </row>
    <row r="59" ht="14.25" customHeight="1">
      <c r="A59" s="85">
        <f t="shared" ref="A59:A60" si="23">L42</f>
        <v>33</v>
      </c>
      <c r="B59" s="126" t="s">
        <v>57</v>
      </c>
      <c r="E59" s="54"/>
      <c r="F59" s="54"/>
      <c r="T59" s="54"/>
      <c r="U59" s="54"/>
      <c r="AC59" s="54"/>
      <c r="AE59" s="54"/>
      <c r="AG59" s="54"/>
      <c r="AH59" s="54"/>
      <c r="AI59" s="54"/>
      <c r="AJ59" s="54"/>
      <c r="AS59" s="54"/>
      <c r="AT59" s="54"/>
      <c r="AU59" s="54"/>
      <c r="AV59" s="54"/>
    </row>
    <row r="60" ht="14.25" customHeight="1">
      <c r="A60" s="85">
        <f t="shared" si="23"/>
        <v>3</v>
      </c>
      <c r="B60" s="126" t="s">
        <v>16</v>
      </c>
      <c r="E60" s="54"/>
      <c r="F60" s="54"/>
      <c r="T60" s="54"/>
      <c r="U60" s="54"/>
      <c r="AC60" s="54"/>
      <c r="AE60" s="54"/>
      <c r="AG60" s="54"/>
      <c r="AH60" s="54"/>
      <c r="AI60" s="54"/>
      <c r="AJ60" s="54"/>
      <c r="AS60" s="54"/>
      <c r="AT60" s="54"/>
      <c r="AU60" s="54"/>
      <c r="AV60" s="54"/>
    </row>
    <row r="61" ht="14.25" customHeight="1">
      <c r="B61" s="126" t="s">
        <v>15</v>
      </c>
      <c r="E61" s="54"/>
      <c r="F61" s="54"/>
      <c r="T61" s="54"/>
      <c r="U61" s="54"/>
      <c r="AC61" s="54"/>
      <c r="AE61" s="54"/>
      <c r="AG61" s="54"/>
      <c r="AH61" s="54"/>
      <c r="AI61" s="54"/>
      <c r="AJ61" s="54"/>
      <c r="AS61" s="54"/>
      <c r="AT61" s="54"/>
      <c r="AU61" s="54"/>
      <c r="AV61" s="54"/>
    </row>
    <row r="62" ht="14.25" customHeight="1">
      <c r="B62" s="126" t="s">
        <v>424</v>
      </c>
      <c r="E62" s="54"/>
      <c r="F62" s="54"/>
      <c r="T62" s="54"/>
      <c r="U62" s="54"/>
      <c r="AC62" s="54"/>
      <c r="AE62" s="54"/>
      <c r="AG62" s="54"/>
      <c r="AH62" s="54"/>
      <c r="AI62" s="54"/>
      <c r="AJ62" s="54"/>
      <c r="AS62" s="54"/>
      <c r="AT62" s="54"/>
      <c r="AU62" s="54"/>
      <c r="AV62" s="54"/>
    </row>
    <row r="63" ht="14.25" customHeight="1">
      <c r="E63" s="54"/>
      <c r="F63" s="54"/>
      <c r="T63" s="54"/>
      <c r="U63" s="54"/>
      <c r="AC63" s="54"/>
      <c r="AE63" s="54"/>
      <c r="AG63" s="54"/>
      <c r="AH63" s="54"/>
      <c r="AI63" s="54"/>
      <c r="AJ63" s="54"/>
      <c r="AS63" s="54"/>
      <c r="AT63" s="54"/>
      <c r="AU63" s="54"/>
      <c r="AV63" s="54"/>
    </row>
    <row r="64" ht="14.25" customHeight="1">
      <c r="A64" s="84" t="s">
        <v>32</v>
      </c>
      <c r="E64" s="54"/>
      <c r="F64" s="54"/>
      <c r="T64" s="54"/>
      <c r="U64" s="54"/>
      <c r="AC64" s="54"/>
      <c r="AE64" s="54"/>
      <c r="AG64" s="54"/>
      <c r="AH64" s="54"/>
      <c r="AI64" s="54"/>
      <c r="AJ64" s="54"/>
      <c r="AS64" s="54"/>
      <c r="AT64" s="54"/>
      <c r="AU64" s="54"/>
      <c r="AV64" s="54"/>
    </row>
    <row r="65" ht="14.25" customHeight="1">
      <c r="A65" s="85">
        <f t="shared" ref="A65:A66" si="24">AI42</f>
        <v>22</v>
      </c>
      <c r="B65" s="126" t="s">
        <v>61</v>
      </c>
      <c r="E65" s="54"/>
      <c r="F65" s="54"/>
      <c r="T65" s="54"/>
      <c r="U65" s="54"/>
      <c r="AC65" s="54"/>
      <c r="AE65" s="54"/>
      <c r="AG65" s="54"/>
      <c r="AH65" s="54"/>
      <c r="AI65" s="54"/>
      <c r="AJ65" s="54"/>
      <c r="AS65" s="54"/>
      <c r="AT65" s="54"/>
      <c r="AU65" s="54"/>
      <c r="AV65" s="54"/>
    </row>
    <row r="66" ht="14.25" customHeight="1">
      <c r="A66" s="85">
        <f t="shared" si="24"/>
        <v>14</v>
      </c>
      <c r="B66" s="126" t="s">
        <v>135</v>
      </c>
      <c r="E66" s="54"/>
      <c r="F66" s="54"/>
      <c r="T66" s="54"/>
      <c r="U66" s="54"/>
      <c r="AC66" s="54"/>
      <c r="AE66" s="54"/>
      <c r="AG66" s="54"/>
      <c r="AH66" s="54"/>
      <c r="AI66" s="54"/>
      <c r="AJ66" s="54"/>
      <c r="AS66" s="54"/>
      <c r="AT66" s="54"/>
      <c r="AU66" s="54"/>
      <c r="AV66" s="54"/>
    </row>
    <row r="67" ht="14.25" customHeight="1">
      <c r="E67" s="54"/>
      <c r="F67" s="54"/>
      <c r="T67" s="54"/>
      <c r="U67" s="54"/>
      <c r="AC67" s="54"/>
      <c r="AE67" s="54"/>
      <c r="AG67" s="54"/>
      <c r="AH67" s="54"/>
      <c r="AI67" s="54"/>
      <c r="AJ67" s="54"/>
      <c r="AS67" s="54"/>
      <c r="AT67" s="54"/>
      <c r="AU67" s="54"/>
      <c r="AV67" s="54"/>
    </row>
    <row r="68" ht="14.25" customHeight="1">
      <c r="A68" s="84" t="s">
        <v>425</v>
      </c>
      <c r="E68" s="54"/>
      <c r="F68" s="54"/>
      <c r="T68" s="54"/>
      <c r="U68" s="54"/>
      <c r="AC68" s="54"/>
      <c r="AE68" s="54"/>
      <c r="AG68" s="54"/>
      <c r="AH68" s="54"/>
      <c r="AI68" s="54"/>
      <c r="AJ68" s="54"/>
      <c r="AS68" s="54"/>
      <c r="AT68" s="54"/>
      <c r="AU68" s="54"/>
      <c r="AV68" s="54"/>
    </row>
    <row r="69" ht="14.25" customHeight="1">
      <c r="A69" s="85">
        <f>AG43</f>
        <v>11</v>
      </c>
      <c r="B69" s="126" t="s">
        <v>885</v>
      </c>
      <c r="E69" s="54"/>
      <c r="F69" s="54"/>
      <c r="T69" s="54"/>
      <c r="U69" s="54"/>
      <c r="AC69" s="54"/>
      <c r="AE69" s="54"/>
      <c r="AG69" s="54"/>
      <c r="AH69" s="54"/>
      <c r="AI69" s="54"/>
      <c r="AJ69" s="54"/>
      <c r="AS69" s="54"/>
      <c r="AT69" s="54"/>
      <c r="AU69" s="54"/>
      <c r="AV69" s="54"/>
    </row>
    <row r="70" ht="14.25" customHeight="1">
      <c r="A70" s="85">
        <f>AG42</f>
        <v>25</v>
      </c>
      <c r="B70" s="126" t="s">
        <v>426</v>
      </c>
      <c r="E70" s="54"/>
      <c r="F70" s="54"/>
      <c r="T70" s="54"/>
      <c r="U70" s="54"/>
      <c r="AC70" s="54"/>
      <c r="AE70" s="54"/>
      <c r="AG70" s="54"/>
      <c r="AH70" s="54"/>
      <c r="AI70" s="54"/>
      <c r="AJ70" s="54"/>
      <c r="AS70" s="54"/>
      <c r="AT70" s="54"/>
      <c r="AU70" s="54"/>
      <c r="AV70" s="54"/>
    </row>
    <row r="71" ht="14.25" customHeight="1">
      <c r="E71" s="54"/>
      <c r="F71" s="54"/>
      <c r="T71" s="54"/>
      <c r="U71" s="54"/>
      <c r="AC71" s="54"/>
      <c r="AE71" s="54"/>
      <c r="AG71" s="54"/>
      <c r="AH71" s="54"/>
      <c r="AI71" s="54"/>
      <c r="AJ71" s="54"/>
    </row>
    <row r="72" ht="14.25" customHeight="1">
      <c r="E72" s="54"/>
      <c r="F72" s="54"/>
      <c r="T72" s="54"/>
      <c r="U72" s="54"/>
      <c r="AC72" s="54"/>
      <c r="AE72" s="54"/>
      <c r="AG72" s="54"/>
      <c r="AH72" s="54"/>
      <c r="AI72" s="54"/>
      <c r="AJ72" s="54"/>
    </row>
    <row r="73" ht="14.25" customHeight="1">
      <c r="E73" s="54"/>
      <c r="F73" s="54"/>
      <c r="T73" s="54"/>
      <c r="U73" s="54"/>
      <c r="AC73" s="54"/>
      <c r="AE73" s="54"/>
      <c r="AG73" s="54"/>
      <c r="AH73" s="54"/>
      <c r="AI73" s="54"/>
      <c r="AJ73" s="54"/>
    </row>
    <row r="74" ht="14.25" customHeight="1">
      <c r="E74" s="54"/>
      <c r="F74" s="54"/>
      <c r="T74" s="54"/>
      <c r="U74" s="54"/>
      <c r="AC74" s="54"/>
      <c r="AE74" s="54"/>
      <c r="AG74" s="54"/>
      <c r="AH74" s="54"/>
      <c r="AI74" s="54"/>
      <c r="AJ74" s="54"/>
    </row>
    <row r="75" ht="14.25" customHeight="1">
      <c r="E75" s="54"/>
      <c r="F75" s="54"/>
      <c r="T75" s="54"/>
      <c r="U75" s="54"/>
      <c r="AC75" s="54"/>
      <c r="AE75" s="54"/>
      <c r="AG75" s="54"/>
      <c r="AH75" s="54"/>
      <c r="AI75" s="54"/>
      <c r="AJ75" s="54"/>
    </row>
    <row r="76" ht="14.25" customHeight="1">
      <c r="E76" s="54"/>
      <c r="F76" s="54"/>
      <c r="T76" s="54"/>
      <c r="U76" s="54"/>
      <c r="AC76" s="54"/>
      <c r="AE76" s="54"/>
      <c r="AG76" s="54"/>
      <c r="AH76" s="54"/>
      <c r="AI76" s="54"/>
      <c r="AJ76" s="54"/>
    </row>
    <row r="77" ht="14.25" customHeight="1">
      <c r="E77" s="54"/>
      <c r="F77" s="54"/>
      <c r="T77" s="54"/>
      <c r="U77" s="54"/>
      <c r="AC77" s="54"/>
      <c r="AE77" s="54"/>
      <c r="AG77" s="54"/>
      <c r="AH77" s="54"/>
      <c r="AI77" s="54"/>
      <c r="AJ77" s="54"/>
    </row>
    <row r="78" ht="14.25" customHeight="1">
      <c r="E78" s="54"/>
      <c r="F78" s="54"/>
      <c r="T78" s="54"/>
      <c r="U78" s="54"/>
      <c r="AC78" s="54"/>
      <c r="AE78" s="54"/>
      <c r="AG78" s="54"/>
      <c r="AH78" s="54"/>
      <c r="AI78" s="54"/>
      <c r="AJ78" s="54"/>
    </row>
    <row r="79" ht="14.25" customHeight="1">
      <c r="E79" s="54"/>
      <c r="F79" s="54"/>
      <c r="T79" s="54"/>
      <c r="U79" s="54"/>
      <c r="AC79" s="54"/>
      <c r="AE79" s="54"/>
      <c r="AG79" s="54"/>
      <c r="AH79" s="54"/>
      <c r="AI79" s="54"/>
      <c r="AJ79" s="54"/>
    </row>
    <row r="80" ht="14.25" customHeight="1">
      <c r="E80" s="54"/>
      <c r="F80" s="54"/>
      <c r="T80" s="54"/>
      <c r="U80" s="54"/>
      <c r="AC80" s="54"/>
      <c r="AE80" s="54"/>
      <c r="AG80" s="54"/>
      <c r="AH80" s="54"/>
      <c r="AI80" s="54"/>
      <c r="AJ80" s="54"/>
    </row>
    <row r="81" ht="14.25" customHeight="1">
      <c r="E81" s="54"/>
      <c r="F81" s="54"/>
      <c r="T81" s="54"/>
      <c r="U81" s="54"/>
      <c r="AC81" s="54"/>
      <c r="AE81" s="54"/>
      <c r="AG81" s="54"/>
      <c r="AH81" s="54"/>
      <c r="AI81" s="54"/>
      <c r="AJ81" s="54"/>
    </row>
    <row r="82" ht="14.25" customHeight="1">
      <c r="E82" s="54"/>
      <c r="F82" s="54"/>
      <c r="T82" s="54"/>
      <c r="U82" s="54"/>
      <c r="AC82" s="54"/>
      <c r="AE82" s="54"/>
      <c r="AG82" s="54"/>
      <c r="AH82" s="54"/>
      <c r="AI82" s="54"/>
      <c r="AJ82" s="54"/>
    </row>
    <row r="83" ht="14.25" customHeight="1">
      <c r="E83" s="54"/>
      <c r="F83" s="54"/>
      <c r="T83" s="54"/>
      <c r="U83" s="54"/>
      <c r="AC83" s="54"/>
      <c r="AE83" s="54"/>
      <c r="AG83" s="54"/>
      <c r="AH83" s="54"/>
      <c r="AI83" s="54"/>
      <c r="AJ83" s="54"/>
    </row>
    <row r="84" ht="14.25" customHeight="1">
      <c r="E84" s="54"/>
      <c r="F84" s="54"/>
      <c r="T84" s="54"/>
      <c r="U84" s="54"/>
      <c r="AC84" s="54"/>
      <c r="AE84" s="54"/>
      <c r="AG84" s="54"/>
      <c r="AH84" s="54"/>
      <c r="AI84" s="54"/>
      <c r="AJ84" s="54"/>
    </row>
    <row r="85" ht="14.25" customHeight="1">
      <c r="E85" s="54"/>
      <c r="F85" s="54"/>
      <c r="T85" s="54"/>
      <c r="U85" s="54"/>
      <c r="AC85" s="54"/>
      <c r="AE85" s="54"/>
      <c r="AG85" s="54"/>
      <c r="AH85" s="54"/>
      <c r="AI85" s="54"/>
      <c r="AJ85" s="54"/>
    </row>
    <row r="86" ht="14.25" customHeight="1">
      <c r="E86" s="54"/>
      <c r="F86" s="54"/>
      <c r="T86" s="54"/>
      <c r="U86" s="54"/>
      <c r="AC86" s="54"/>
      <c r="AE86" s="54"/>
      <c r="AG86" s="54"/>
      <c r="AH86" s="54"/>
      <c r="AI86" s="54"/>
      <c r="AJ86" s="54"/>
    </row>
    <row r="87" ht="14.25" customHeight="1">
      <c r="E87" s="54"/>
      <c r="F87" s="54"/>
      <c r="T87" s="54"/>
      <c r="U87" s="54"/>
      <c r="AC87" s="54"/>
      <c r="AE87" s="54"/>
      <c r="AG87" s="54"/>
      <c r="AH87" s="54"/>
      <c r="AI87" s="54"/>
      <c r="AJ87" s="54"/>
    </row>
    <row r="88" ht="14.25" customHeight="1">
      <c r="E88" s="54"/>
      <c r="F88" s="54"/>
      <c r="T88" s="54"/>
      <c r="U88" s="54"/>
      <c r="AC88" s="54"/>
      <c r="AE88" s="54"/>
      <c r="AG88" s="54"/>
      <c r="AH88" s="54"/>
      <c r="AI88" s="54"/>
      <c r="AJ88" s="54"/>
    </row>
    <row r="89" ht="14.25" customHeight="1">
      <c r="E89" s="54"/>
      <c r="F89" s="54"/>
      <c r="T89" s="54"/>
      <c r="U89" s="54"/>
      <c r="AC89" s="54"/>
      <c r="AE89" s="54"/>
      <c r="AG89" s="54"/>
      <c r="AH89" s="54"/>
      <c r="AI89" s="54"/>
      <c r="AJ89" s="54"/>
    </row>
    <row r="90" ht="14.25" customHeight="1">
      <c r="E90" s="54"/>
      <c r="F90" s="54"/>
      <c r="T90" s="54"/>
      <c r="U90" s="54"/>
      <c r="AC90" s="54"/>
      <c r="AE90" s="54"/>
      <c r="AG90" s="54"/>
      <c r="AH90" s="54"/>
      <c r="AI90" s="54"/>
      <c r="AJ90" s="54"/>
    </row>
    <row r="91" ht="14.25" customHeight="1">
      <c r="E91" s="54"/>
      <c r="F91" s="54"/>
      <c r="T91" s="54"/>
      <c r="U91" s="54"/>
      <c r="AC91" s="54"/>
      <c r="AE91" s="54"/>
      <c r="AG91" s="54"/>
      <c r="AH91" s="54"/>
      <c r="AI91" s="54"/>
      <c r="AJ91" s="54"/>
    </row>
    <row r="92" ht="14.25" customHeight="1">
      <c r="E92" s="54"/>
      <c r="F92" s="54"/>
      <c r="T92" s="54"/>
      <c r="U92" s="54"/>
      <c r="AC92" s="54"/>
      <c r="AE92" s="54"/>
      <c r="AG92" s="54"/>
      <c r="AH92" s="54"/>
      <c r="AI92" s="54"/>
      <c r="AJ92" s="54"/>
    </row>
    <row r="93" ht="14.25" customHeight="1">
      <c r="E93" s="54"/>
      <c r="F93" s="54"/>
      <c r="T93" s="54"/>
      <c r="U93" s="54"/>
      <c r="AC93" s="54"/>
      <c r="AE93" s="54"/>
      <c r="AG93" s="54"/>
      <c r="AH93" s="54"/>
      <c r="AI93" s="54"/>
      <c r="AJ93" s="54"/>
    </row>
    <row r="94" ht="14.25" customHeight="1">
      <c r="E94" s="54"/>
      <c r="F94" s="54"/>
      <c r="T94" s="54"/>
      <c r="U94" s="54"/>
      <c r="AC94" s="54"/>
      <c r="AE94" s="54"/>
      <c r="AG94" s="54"/>
      <c r="AH94" s="54"/>
      <c r="AI94" s="54"/>
      <c r="AJ94" s="54"/>
    </row>
    <row r="95" ht="14.25" customHeight="1">
      <c r="E95" s="54"/>
      <c r="F95" s="54"/>
      <c r="T95" s="54"/>
      <c r="U95" s="54"/>
      <c r="AC95" s="54"/>
      <c r="AE95" s="54"/>
      <c r="AG95" s="54"/>
      <c r="AH95" s="54"/>
      <c r="AI95" s="54"/>
      <c r="AJ95" s="54"/>
    </row>
    <row r="96" ht="14.25" customHeight="1">
      <c r="E96" s="54"/>
      <c r="F96" s="54"/>
      <c r="T96" s="54"/>
      <c r="U96" s="54"/>
      <c r="AC96" s="54"/>
      <c r="AE96" s="54"/>
      <c r="AG96" s="54"/>
      <c r="AH96" s="54"/>
      <c r="AI96" s="54"/>
      <c r="AJ96" s="54"/>
    </row>
    <row r="97" ht="14.25" customHeight="1">
      <c r="E97" s="54"/>
      <c r="F97" s="54"/>
      <c r="T97" s="54"/>
      <c r="U97" s="54"/>
      <c r="AC97" s="54"/>
      <c r="AE97" s="54"/>
      <c r="AG97" s="54"/>
      <c r="AH97" s="54"/>
      <c r="AI97" s="54"/>
      <c r="AJ97" s="54"/>
    </row>
    <row r="98" ht="14.25" customHeight="1">
      <c r="E98" s="54"/>
      <c r="F98" s="54"/>
      <c r="T98" s="54"/>
      <c r="U98" s="54"/>
      <c r="AC98" s="54"/>
      <c r="AE98" s="54"/>
      <c r="AG98" s="54"/>
      <c r="AH98" s="54"/>
      <c r="AI98" s="54"/>
      <c r="AJ98" s="54"/>
    </row>
    <row r="99" ht="14.25" customHeight="1">
      <c r="E99" s="54"/>
      <c r="F99" s="54"/>
      <c r="T99" s="54"/>
      <c r="U99" s="54"/>
      <c r="AC99" s="54"/>
      <c r="AE99" s="54"/>
      <c r="AG99" s="54"/>
      <c r="AH99" s="54"/>
      <c r="AI99" s="54"/>
      <c r="AJ99" s="54"/>
    </row>
    <row r="100" ht="14.25" customHeight="1">
      <c r="E100" s="54"/>
      <c r="F100" s="54"/>
      <c r="T100" s="54"/>
      <c r="U100" s="54"/>
      <c r="AC100" s="54"/>
      <c r="AE100" s="54"/>
      <c r="AG100" s="54"/>
      <c r="AH100" s="54"/>
      <c r="AI100" s="54"/>
      <c r="AJ100" s="54"/>
    </row>
    <row r="101" ht="14.25" customHeight="1">
      <c r="E101" s="54"/>
      <c r="F101" s="54"/>
      <c r="T101" s="54"/>
      <c r="U101" s="54"/>
      <c r="AC101" s="54"/>
      <c r="AE101" s="54"/>
      <c r="AG101" s="54"/>
      <c r="AH101" s="54"/>
      <c r="AI101" s="54"/>
      <c r="AJ101" s="54"/>
    </row>
    <row r="102" ht="14.25" customHeight="1">
      <c r="E102" s="54"/>
      <c r="F102" s="54"/>
      <c r="T102" s="54"/>
      <c r="U102" s="54"/>
      <c r="AC102" s="54"/>
      <c r="AE102" s="54"/>
      <c r="AG102" s="54"/>
      <c r="AH102" s="54"/>
      <c r="AI102" s="54"/>
      <c r="AJ102" s="54"/>
    </row>
    <row r="103" ht="14.25" customHeight="1">
      <c r="E103" s="54"/>
      <c r="F103" s="54"/>
      <c r="T103" s="54"/>
      <c r="U103" s="54"/>
      <c r="AC103" s="54"/>
      <c r="AE103" s="54"/>
      <c r="AG103" s="54"/>
      <c r="AH103" s="54"/>
      <c r="AI103" s="54"/>
      <c r="AJ103" s="54"/>
    </row>
    <row r="104" ht="14.25" customHeight="1">
      <c r="E104" s="54"/>
      <c r="F104" s="54"/>
      <c r="T104" s="54"/>
      <c r="U104" s="54"/>
      <c r="AC104" s="54"/>
      <c r="AE104" s="54"/>
      <c r="AG104" s="54"/>
      <c r="AH104" s="54"/>
      <c r="AI104" s="54"/>
      <c r="AJ104" s="54"/>
    </row>
    <row r="105" ht="14.25" customHeight="1">
      <c r="E105" s="54"/>
      <c r="F105" s="54"/>
      <c r="T105" s="54"/>
      <c r="U105" s="54"/>
      <c r="AC105" s="54"/>
      <c r="AE105" s="54"/>
      <c r="AG105" s="54"/>
      <c r="AH105" s="54"/>
      <c r="AI105" s="54"/>
      <c r="AJ105" s="54"/>
    </row>
    <row r="106" ht="14.25" customHeight="1">
      <c r="E106" s="54"/>
      <c r="F106" s="54"/>
      <c r="T106" s="54"/>
      <c r="U106" s="54"/>
      <c r="AC106" s="54"/>
      <c r="AE106" s="54"/>
      <c r="AG106" s="54"/>
      <c r="AH106" s="54"/>
      <c r="AI106" s="54"/>
      <c r="AJ106" s="54"/>
    </row>
    <row r="107" ht="14.25" customHeight="1">
      <c r="E107" s="56"/>
      <c r="F107" s="56"/>
      <c r="T107" s="54"/>
      <c r="U107" s="54"/>
      <c r="AC107" s="54"/>
      <c r="AE107" s="54"/>
      <c r="AG107" s="54"/>
      <c r="AH107" s="54"/>
      <c r="AI107" s="54"/>
      <c r="AJ107" s="54"/>
    </row>
    <row r="108" ht="14.25" customHeight="1">
      <c r="E108" s="56"/>
      <c r="F108" s="56"/>
      <c r="T108" s="54"/>
      <c r="U108" s="54"/>
      <c r="AC108" s="54"/>
      <c r="AE108" s="54"/>
      <c r="AG108" s="54"/>
      <c r="AH108" s="54"/>
      <c r="AI108" s="54"/>
      <c r="AJ108" s="54"/>
    </row>
    <row r="109" ht="14.25" customHeight="1">
      <c r="E109" s="56"/>
      <c r="F109" s="56"/>
      <c r="T109" s="54"/>
      <c r="U109" s="54"/>
      <c r="AC109" s="54"/>
      <c r="AE109" s="54"/>
      <c r="AG109" s="54"/>
      <c r="AH109" s="54"/>
      <c r="AI109" s="54"/>
      <c r="AJ109" s="54"/>
    </row>
    <row r="110" ht="14.25" customHeight="1">
      <c r="E110" s="56"/>
      <c r="F110" s="56"/>
      <c r="T110" s="54"/>
      <c r="U110" s="54"/>
      <c r="AC110" s="54"/>
      <c r="AE110" s="54"/>
      <c r="AG110" s="54"/>
      <c r="AH110" s="54"/>
      <c r="AI110" s="54"/>
      <c r="AJ110" s="54"/>
    </row>
    <row r="111" ht="14.25" customHeight="1">
      <c r="E111" s="56"/>
      <c r="F111" s="56"/>
      <c r="T111" s="54"/>
      <c r="U111" s="54"/>
      <c r="AC111" s="54"/>
      <c r="AE111" s="54"/>
      <c r="AG111" s="54"/>
      <c r="AH111" s="54"/>
      <c r="AI111" s="54"/>
      <c r="AJ111" s="54"/>
    </row>
    <row r="112" ht="14.25" customHeight="1">
      <c r="E112" s="56"/>
      <c r="F112" s="56"/>
      <c r="T112" s="54"/>
      <c r="U112" s="54"/>
      <c r="AC112" s="54"/>
      <c r="AE112" s="54"/>
      <c r="AG112" s="54"/>
      <c r="AH112" s="54"/>
      <c r="AI112" s="54"/>
      <c r="AJ112" s="54"/>
    </row>
    <row r="113" ht="14.25" customHeight="1">
      <c r="E113" s="56"/>
      <c r="F113" s="56"/>
      <c r="T113" s="54"/>
      <c r="U113" s="54"/>
      <c r="AC113" s="54"/>
      <c r="AE113" s="54"/>
      <c r="AG113" s="54"/>
      <c r="AH113" s="54"/>
      <c r="AI113" s="54"/>
      <c r="AJ113" s="54"/>
    </row>
    <row r="114" ht="14.25" customHeight="1">
      <c r="E114" s="56"/>
      <c r="F114" s="56"/>
      <c r="T114" s="54"/>
      <c r="U114" s="54"/>
      <c r="AC114" s="54"/>
      <c r="AE114" s="54"/>
      <c r="AG114" s="54"/>
      <c r="AH114" s="54"/>
      <c r="AI114" s="54"/>
      <c r="AJ114" s="54"/>
    </row>
    <row r="115" ht="14.25" customHeight="1">
      <c r="E115" s="56"/>
      <c r="F115" s="56"/>
      <c r="T115" s="54"/>
      <c r="U115" s="54"/>
      <c r="AC115" s="54"/>
      <c r="AE115" s="54"/>
      <c r="AG115" s="54"/>
      <c r="AH115" s="54"/>
      <c r="AI115" s="54"/>
      <c r="AJ115" s="54"/>
    </row>
    <row r="116" ht="14.25" customHeight="1">
      <c r="E116" s="56"/>
      <c r="F116" s="56"/>
      <c r="T116" s="54"/>
      <c r="U116" s="54"/>
      <c r="AC116" s="54"/>
      <c r="AE116" s="54"/>
      <c r="AG116" s="54"/>
      <c r="AH116" s="54"/>
      <c r="AI116" s="54"/>
      <c r="AJ116" s="54"/>
    </row>
    <row r="117" ht="14.25" customHeight="1">
      <c r="E117" s="56"/>
      <c r="F117" s="56"/>
      <c r="T117" s="54"/>
      <c r="U117" s="54"/>
      <c r="AC117" s="54"/>
      <c r="AE117" s="54"/>
      <c r="AG117" s="54"/>
      <c r="AH117" s="54"/>
      <c r="AI117" s="54"/>
      <c r="AJ117" s="54"/>
    </row>
    <row r="118" ht="14.25" customHeight="1">
      <c r="E118" s="56"/>
      <c r="F118" s="56"/>
      <c r="T118" s="54"/>
      <c r="U118" s="54"/>
      <c r="AC118" s="54"/>
      <c r="AE118" s="54"/>
      <c r="AG118" s="54"/>
      <c r="AH118" s="54"/>
      <c r="AI118" s="54"/>
      <c r="AJ118" s="54"/>
    </row>
    <row r="119" ht="14.25" customHeight="1">
      <c r="E119" s="56"/>
      <c r="F119" s="56"/>
      <c r="T119" s="54"/>
      <c r="U119" s="54"/>
      <c r="AC119" s="54"/>
      <c r="AE119" s="54"/>
      <c r="AG119" s="54"/>
      <c r="AH119" s="54"/>
      <c r="AI119" s="54"/>
      <c r="AJ119" s="54"/>
    </row>
    <row r="120" ht="14.25" customHeight="1">
      <c r="E120" s="56"/>
      <c r="F120" s="56"/>
      <c r="T120" s="54"/>
      <c r="U120" s="54"/>
      <c r="AC120" s="54"/>
      <c r="AE120" s="54"/>
      <c r="AG120" s="54"/>
      <c r="AH120" s="54"/>
      <c r="AI120" s="54"/>
      <c r="AJ120" s="54"/>
    </row>
    <row r="121" ht="14.25" customHeight="1">
      <c r="E121" s="56"/>
      <c r="F121" s="56"/>
      <c r="T121" s="54"/>
      <c r="U121" s="54"/>
      <c r="AC121" s="54"/>
      <c r="AE121" s="54"/>
      <c r="AG121" s="54"/>
      <c r="AH121" s="54"/>
      <c r="AI121" s="54"/>
      <c r="AJ121" s="54"/>
    </row>
    <row r="122" ht="14.25" customHeight="1">
      <c r="E122" s="56"/>
      <c r="F122" s="56"/>
      <c r="T122" s="54"/>
      <c r="U122" s="54"/>
      <c r="AC122" s="54"/>
      <c r="AE122" s="54"/>
      <c r="AG122" s="54"/>
      <c r="AH122" s="54"/>
      <c r="AI122" s="54"/>
      <c r="AJ122" s="54"/>
    </row>
    <row r="123" ht="14.25" customHeight="1">
      <c r="E123" s="56"/>
      <c r="F123" s="56"/>
      <c r="T123" s="54"/>
      <c r="U123" s="54"/>
      <c r="AC123" s="54"/>
      <c r="AE123" s="54"/>
      <c r="AG123" s="54"/>
      <c r="AH123" s="54"/>
      <c r="AI123" s="54"/>
      <c r="AJ123" s="54"/>
    </row>
    <row r="124" ht="14.25" customHeight="1">
      <c r="E124" s="56"/>
      <c r="F124" s="56"/>
      <c r="T124" s="54"/>
      <c r="U124" s="54"/>
      <c r="AC124" s="54"/>
      <c r="AE124" s="54"/>
      <c r="AG124" s="54"/>
      <c r="AH124" s="54"/>
      <c r="AI124" s="54"/>
      <c r="AJ124" s="54"/>
    </row>
    <row r="125" ht="14.25" customHeight="1">
      <c r="E125" s="56"/>
      <c r="F125" s="56"/>
      <c r="T125" s="54"/>
      <c r="U125" s="54"/>
      <c r="AC125" s="54"/>
      <c r="AE125" s="54"/>
      <c r="AG125" s="54"/>
      <c r="AH125" s="54"/>
      <c r="AI125" s="54"/>
      <c r="AJ125" s="54"/>
    </row>
    <row r="126" ht="14.25" customHeight="1">
      <c r="E126" s="56"/>
      <c r="F126" s="56"/>
      <c r="T126" s="54"/>
      <c r="U126" s="54"/>
      <c r="AC126" s="54"/>
      <c r="AE126" s="54"/>
      <c r="AG126" s="54"/>
      <c r="AH126" s="54"/>
      <c r="AI126" s="54"/>
      <c r="AJ126" s="54"/>
    </row>
    <row r="127" ht="14.25" customHeight="1">
      <c r="E127" s="56"/>
      <c r="F127" s="56"/>
      <c r="T127" s="54"/>
      <c r="U127" s="54"/>
      <c r="AC127" s="54"/>
      <c r="AE127" s="54"/>
      <c r="AG127" s="54"/>
      <c r="AH127" s="54"/>
      <c r="AI127" s="54"/>
      <c r="AJ127" s="54"/>
    </row>
    <row r="128" ht="14.25" customHeight="1">
      <c r="E128" s="56"/>
      <c r="F128" s="56"/>
      <c r="T128" s="54"/>
      <c r="U128" s="54"/>
      <c r="AC128" s="54"/>
      <c r="AE128" s="54"/>
      <c r="AG128" s="54"/>
      <c r="AH128" s="54"/>
      <c r="AI128" s="54"/>
      <c r="AJ128" s="54"/>
    </row>
    <row r="129" ht="14.25" customHeight="1">
      <c r="E129" s="56"/>
      <c r="F129" s="56"/>
      <c r="T129" s="54"/>
      <c r="U129" s="54"/>
      <c r="AC129" s="54"/>
      <c r="AE129" s="54"/>
      <c r="AG129" s="54"/>
      <c r="AH129" s="54"/>
      <c r="AI129" s="54"/>
      <c r="AJ129" s="54"/>
    </row>
    <row r="130" ht="14.25" customHeight="1">
      <c r="E130" s="56"/>
      <c r="F130" s="56"/>
      <c r="T130" s="54"/>
      <c r="U130" s="54"/>
      <c r="AC130" s="54"/>
      <c r="AE130" s="54"/>
      <c r="AG130" s="54"/>
      <c r="AH130" s="54"/>
      <c r="AI130" s="54"/>
      <c r="AJ130" s="54"/>
    </row>
    <row r="131" ht="14.25" customHeight="1">
      <c r="E131" s="56"/>
      <c r="F131" s="56"/>
      <c r="T131" s="54"/>
      <c r="U131" s="54"/>
      <c r="AC131" s="54"/>
      <c r="AE131" s="54"/>
      <c r="AG131" s="54"/>
      <c r="AH131" s="54"/>
      <c r="AI131" s="54"/>
      <c r="AJ131" s="54"/>
    </row>
    <row r="132" ht="14.25" customHeight="1">
      <c r="E132" s="56"/>
      <c r="F132" s="56"/>
      <c r="T132" s="54"/>
      <c r="U132" s="54"/>
      <c r="AC132" s="54"/>
      <c r="AE132" s="54"/>
      <c r="AG132" s="54"/>
      <c r="AH132" s="54"/>
      <c r="AI132" s="54"/>
      <c r="AJ132" s="54"/>
    </row>
    <row r="133" ht="14.25" customHeight="1">
      <c r="E133" s="56"/>
      <c r="F133" s="56"/>
      <c r="T133" s="54"/>
      <c r="U133" s="54"/>
      <c r="AC133" s="54"/>
      <c r="AE133" s="54"/>
      <c r="AG133" s="54"/>
      <c r="AH133" s="54"/>
      <c r="AI133" s="54"/>
      <c r="AJ133" s="54"/>
    </row>
    <row r="134" ht="14.25" customHeight="1">
      <c r="E134" s="56"/>
      <c r="F134" s="56"/>
      <c r="T134" s="54"/>
      <c r="U134" s="54"/>
      <c r="AC134" s="54"/>
      <c r="AE134" s="54"/>
      <c r="AG134" s="54"/>
      <c r="AH134" s="54"/>
      <c r="AI134" s="54"/>
      <c r="AJ134" s="54"/>
    </row>
    <row r="135" ht="14.25" customHeight="1">
      <c r="E135" s="56"/>
      <c r="F135" s="56"/>
      <c r="T135" s="54"/>
      <c r="U135" s="54"/>
      <c r="AC135" s="54"/>
      <c r="AE135" s="54"/>
      <c r="AG135" s="54"/>
      <c r="AH135" s="54"/>
      <c r="AI135" s="54"/>
      <c r="AJ135" s="54"/>
    </row>
    <row r="136" ht="14.25" customHeight="1">
      <c r="E136" s="56"/>
      <c r="F136" s="56"/>
      <c r="T136" s="54"/>
      <c r="U136" s="54"/>
      <c r="AC136" s="54"/>
      <c r="AE136" s="54"/>
      <c r="AG136" s="54"/>
      <c r="AH136" s="54"/>
      <c r="AI136" s="54"/>
      <c r="AJ136" s="54"/>
    </row>
    <row r="137" ht="14.25" customHeight="1">
      <c r="E137" s="56"/>
      <c r="F137" s="56"/>
      <c r="T137" s="54"/>
      <c r="U137" s="54"/>
      <c r="AC137" s="54"/>
      <c r="AE137" s="54"/>
      <c r="AG137" s="54"/>
      <c r="AH137" s="54"/>
      <c r="AI137" s="54"/>
      <c r="AJ137" s="54"/>
    </row>
    <row r="138" ht="14.25" customHeight="1">
      <c r="E138" s="56"/>
      <c r="F138" s="56"/>
      <c r="T138" s="54"/>
      <c r="U138" s="54"/>
      <c r="AC138" s="54"/>
      <c r="AE138" s="54"/>
      <c r="AG138" s="54"/>
      <c r="AH138" s="54"/>
      <c r="AI138" s="54"/>
      <c r="AJ138" s="54"/>
    </row>
    <row r="139" ht="14.25" customHeight="1">
      <c r="E139" s="56"/>
      <c r="F139" s="56"/>
      <c r="T139" s="54"/>
      <c r="U139" s="54"/>
      <c r="AC139" s="54"/>
      <c r="AE139" s="54"/>
      <c r="AG139" s="54"/>
      <c r="AH139" s="54"/>
      <c r="AI139" s="54"/>
      <c r="AJ139" s="54"/>
    </row>
    <row r="140" ht="14.25" customHeight="1">
      <c r="E140" s="56"/>
      <c r="F140" s="56"/>
      <c r="T140" s="54"/>
      <c r="U140" s="54"/>
      <c r="AC140" s="54"/>
      <c r="AE140" s="54"/>
      <c r="AG140" s="54"/>
      <c r="AH140" s="54"/>
      <c r="AI140" s="54"/>
      <c r="AJ140" s="54"/>
    </row>
    <row r="141" ht="14.25" customHeight="1">
      <c r="E141" s="56"/>
      <c r="F141" s="56"/>
      <c r="T141" s="54"/>
      <c r="U141" s="54"/>
      <c r="AC141" s="54"/>
      <c r="AE141" s="54"/>
      <c r="AG141" s="54"/>
      <c r="AH141" s="54"/>
      <c r="AI141" s="54"/>
      <c r="AJ141" s="54"/>
    </row>
    <row r="142" ht="14.25" customHeight="1">
      <c r="E142" s="56"/>
      <c r="F142" s="56"/>
      <c r="T142" s="54"/>
      <c r="U142" s="54"/>
      <c r="AC142" s="54"/>
      <c r="AE142" s="54"/>
      <c r="AG142" s="54"/>
      <c r="AH142" s="54"/>
      <c r="AI142" s="54"/>
      <c r="AJ142" s="54"/>
    </row>
    <row r="143" ht="14.25" customHeight="1">
      <c r="E143" s="56"/>
      <c r="F143" s="56"/>
      <c r="T143" s="54"/>
      <c r="U143" s="54"/>
      <c r="AC143" s="54"/>
      <c r="AE143" s="54"/>
      <c r="AG143" s="54"/>
      <c r="AH143" s="54"/>
      <c r="AI143" s="54"/>
      <c r="AJ143" s="54"/>
    </row>
    <row r="144" ht="14.25" customHeight="1">
      <c r="E144" s="56"/>
      <c r="F144" s="56"/>
      <c r="T144" s="54"/>
      <c r="U144" s="54"/>
      <c r="AC144" s="54"/>
      <c r="AE144" s="54"/>
      <c r="AG144" s="54"/>
      <c r="AH144" s="54"/>
      <c r="AI144" s="54"/>
      <c r="AJ144" s="54"/>
    </row>
    <row r="145" ht="14.25" customHeight="1">
      <c r="E145" s="56"/>
      <c r="F145" s="56"/>
      <c r="T145" s="54"/>
      <c r="U145" s="54"/>
      <c r="AC145" s="54"/>
      <c r="AE145" s="54"/>
      <c r="AG145" s="54"/>
      <c r="AH145" s="54"/>
      <c r="AI145" s="54"/>
      <c r="AJ145" s="54"/>
    </row>
    <row r="146" ht="14.25" customHeight="1">
      <c r="E146" s="56"/>
      <c r="F146" s="56"/>
      <c r="T146" s="54"/>
      <c r="U146" s="54"/>
      <c r="AC146" s="54"/>
      <c r="AE146" s="54"/>
      <c r="AG146" s="54"/>
      <c r="AH146" s="54"/>
      <c r="AI146" s="54"/>
      <c r="AJ146" s="54"/>
    </row>
    <row r="147" ht="14.25" customHeight="1">
      <c r="E147" s="56"/>
      <c r="F147" s="56"/>
      <c r="T147" s="54"/>
      <c r="U147" s="54"/>
      <c r="AC147" s="54"/>
      <c r="AE147" s="54"/>
      <c r="AG147" s="54"/>
      <c r="AH147" s="54"/>
      <c r="AI147" s="54"/>
      <c r="AJ147" s="54"/>
    </row>
    <row r="148" ht="14.25" customHeight="1">
      <c r="E148" s="56"/>
      <c r="F148" s="56"/>
      <c r="T148" s="54"/>
      <c r="U148" s="54"/>
      <c r="AC148" s="54"/>
      <c r="AE148" s="54"/>
      <c r="AG148" s="54"/>
      <c r="AH148" s="54"/>
      <c r="AI148" s="54"/>
      <c r="AJ148" s="54"/>
    </row>
    <row r="149" ht="14.25" customHeight="1">
      <c r="E149" s="56"/>
      <c r="F149" s="56"/>
      <c r="T149" s="54"/>
      <c r="U149" s="54"/>
      <c r="AC149" s="54"/>
      <c r="AE149" s="54"/>
      <c r="AG149" s="54"/>
      <c r="AH149" s="54"/>
      <c r="AI149" s="54"/>
      <c r="AJ149" s="54"/>
    </row>
    <row r="150" ht="14.25" customHeight="1">
      <c r="E150" s="56"/>
      <c r="F150" s="56"/>
      <c r="T150" s="54"/>
      <c r="U150" s="54"/>
      <c r="AC150" s="54"/>
      <c r="AE150" s="54"/>
      <c r="AG150" s="54"/>
      <c r="AH150" s="54"/>
      <c r="AI150" s="54"/>
      <c r="AJ150" s="54"/>
    </row>
    <row r="151" ht="14.25" customHeight="1">
      <c r="E151" s="56"/>
      <c r="F151" s="56"/>
      <c r="T151" s="54"/>
      <c r="U151" s="54"/>
      <c r="AC151" s="54"/>
      <c r="AE151" s="54"/>
      <c r="AG151" s="54"/>
      <c r="AH151" s="54"/>
      <c r="AI151" s="54"/>
      <c r="AJ151" s="54"/>
    </row>
    <row r="152" ht="14.25" customHeight="1">
      <c r="E152" s="56"/>
      <c r="F152" s="56"/>
      <c r="T152" s="54"/>
      <c r="U152" s="54"/>
      <c r="AC152" s="54"/>
      <c r="AE152" s="54"/>
      <c r="AG152" s="54"/>
      <c r="AH152" s="54"/>
      <c r="AI152" s="54"/>
      <c r="AJ152" s="54"/>
    </row>
    <row r="153" ht="14.25" customHeight="1">
      <c r="E153" s="56"/>
      <c r="F153" s="56"/>
      <c r="T153" s="54"/>
      <c r="U153" s="54"/>
      <c r="AC153" s="54"/>
      <c r="AE153" s="54"/>
      <c r="AG153" s="54"/>
      <c r="AH153" s="54"/>
      <c r="AI153" s="54"/>
      <c r="AJ153" s="54"/>
    </row>
    <row r="154" ht="14.25" customHeight="1">
      <c r="E154" s="56"/>
      <c r="F154" s="56"/>
      <c r="T154" s="54"/>
      <c r="U154" s="54"/>
      <c r="AC154" s="54"/>
      <c r="AE154" s="54"/>
      <c r="AG154" s="54"/>
      <c r="AH154" s="54"/>
      <c r="AI154" s="54"/>
      <c r="AJ154" s="54"/>
    </row>
    <row r="155" ht="14.25" customHeight="1">
      <c r="E155" s="56"/>
      <c r="F155" s="56"/>
      <c r="T155" s="54"/>
      <c r="U155" s="54"/>
      <c r="AC155" s="54"/>
      <c r="AE155" s="54"/>
      <c r="AG155" s="54"/>
      <c r="AH155" s="54"/>
      <c r="AI155" s="54"/>
      <c r="AJ155" s="54"/>
    </row>
    <row r="156" ht="14.25" customHeight="1">
      <c r="E156" s="56"/>
      <c r="F156" s="56"/>
      <c r="T156" s="54"/>
      <c r="U156" s="54"/>
      <c r="AC156" s="54"/>
      <c r="AE156" s="54"/>
      <c r="AG156" s="54"/>
      <c r="AH156" s="54"/>
      <c r="AI156" s="54"/>
      <c r="AJ156" s="54"/>
    </row>
    <row r="157" ht="14.25" customHeight="1">
      <c r="E157" s="56"/>
      <c r="F157" s="56"/>
      <c r="T157" s="54"/>
      <c r="U157" s="54"/>
      <c r="AC157" s="54"/>
      <c r="AE157" s="54"/>
      <c r="AG157" s="54"/>
      <c r="AH157" s="54"/>
      <c r="AI157" s="54"/>
      <c r="AJ157" s="54"/>
    </row>
    <row r="158" ht="14.25" customHeight="1">
      <c r="E158" s="56"/>
      <c r="F158" s="56"/>
      <c r="T158" s="54"/>
      <c r="U158" s="54"/>
      <c r="AC158" s="54"/>
      <c r="AE158" s="54"/>
      <c r="AG158" s="54"/>
      <c r="AH158" s="54"/>
      <c r="AI158" s="54"/>
      <c r="AJ158" s="54"/>
    </row>
    <row r="159" ht="14.25" customHeight="1">
      <c r="E159" s="56"/>
      <c r="F159" s="56"/>
      <c r="T159" s="54"/>
      <c r="U159" s="54"/>
      <c r="AC159" s="54"/>
      <c r="AE159" s="54"/>
      <c r="AG159" s="54"/>
      <c r="AH159" s="54"/>
      <c r="AI159" s="54"/>
      <c r="AJ159" s="54"/>
    </row>
    <row r="160" ht="14.25" customHeight="1">
      <c r="E160" s="56"/>
      <c r="F160" s="56"/>
      <c r="T160" s="54"/>
      <c r="U160" s="54"/>
      <c r="AC160" s="54"/>
      <c r="AE160" s="54"/>
      <c r="AG160" s="54"/>
      <c r="AH160" s="54"/>
      <c r="AI160" s="54"/>
      <c r="AJ160" s="54"/>
    </row>
    <row r="161" ht="14.25" customHeight="1">
      <c r="E161" s="56"/>
      <c r="F161" s="56"/>
      <c r="T161" s="54"/>
      <c r="U161" s="54"/>
      <c r="AC161" s="54"/>
      <c r="AE161" s="54"/>
      <c r="AG161" s="54"/>
      <c r="AH161" s="54"/>
      <c r="AI161" s="54"/>
      <c r="AJ161" s="54"/>
    </row>
    <row r="162" ht="14.25" customHeight="1">
      <c r="E162" s="56"/>
      <c r="F162" s="56"/>
      <c r="T162" s="54"/>
      <c r="U162" s="54"/>
      <c r="AC162" s="54"/>
      <c r="AE162" s="54"/>
      <c r="AG162" s="54"/>
      <c r="AH162" s="54"/>
      <c r="AI162" s="54"/>
      <c r="AJ162" s="54"/>
    </row>
    <row r="163" ht="14.25" customHeight="1">
      <c r="E163" s="56"/>
      <c r="F163" s="56"/>
      <c r="T163" s="54"/>
      <c r="U163" s="54"/>
      <c r="AC163" s="54"/>
      <c r="AE163" s="54"/>
      <c r="AG163" s="54"/>
      <c r="AH163" s="54"/>
      <c r="AI163" s="54"/>
      <c r="AJ163" s="54"/>
    </row>
    <row r="164" ht="14.25" customHeight="1">
      <c r="E164" s="56"/>
      <c r="F164" s="56"/>
      <c r="T164" s="54"/>
      <c r="U164" s="54"/>
      <c r="AC164" s="54"/>
      <c r="AE164" s="54"/>
      <c r="AG164" s="54"/>
      <c r="AH164" s="54"/>
      <c r="AI164" s="54"/>
      <c r="AJ164" s="54"/>
    </row>
    <row r="165" ht="14.25" customHeight="1">
      <c r="E165" s="56"/>
      <c r="F165" s="56"/>
      <c r="T165" s="54"/>
      <c r="U165" s="54"/>
      <c r="AC165" s="54"/>
      <c r="AE165" s="54"/>
      <c r="AG165" s="54"/>
      <c r="AH165" s="54"/>
      <c r="AI165" s="54"/>
      <c r="AJ165" s="54"/>
    </row>
    <row r="166" ht="14.25" customHeight="1">
      <c r="E166" s="56"/>
      <c r="F166" s="56"/>
      <c r="T166" s="54"/>
      <c r="U166" s="54"/>
      <c r="AC166" s="54"/>
      <c r="AE166" s="54"/>
      <c r="AG166" s="54"/>
      <c r="AH166" s="54"/>
      <c r="AI166" s="54"/>
      <c r="AJ166" s="54"/>
    </row>
    <row r="167" ht="14.25" customHeight="1">
      <c r="E167" s="56"/>
      <c r="F167" s="56"/>
      <c r="T167" s="54"/>
      <c r="U167" s="54"/>
      <c r="AC167" s="54"/>
      <c r="AE167" s="54"/>
      <c r="AG167" s="54"/>
      <c r="AH167" s="54"/>
      <c r="AI167" s="54"/>
      <c r="AJ167" s="54"/>
    </row>
    <row r="168" ht="14.25" customHeight="1">
      <c r="E168" s="56"/>
      <c r="F168" s="56"/>
      <c r="T168" s="54"/>
      <c r="U168" s="54"/>
      <c r="AC168" s="54"/>
      <c r="AE168" s="54"/>
      <c r="AG168" s="54"/>
      <c r="AH168" s="54"/>
      <c r="AI168" s="54"/>
      <c r="AJ168" s="54"/>
    </row>
    <row r="169" ht="14.25" customHeight="1">
      <c r="E169" s="56"/>
      <c r="F169" s="56"/>
      <c r="T169" s="54"/>
      <c r="U169" s="54"/>
      <c r="AC169" s="54"/>
      <c r="AE169" s="54"/>
      <c r="AG169" s="54"/>
      <c r="AH169" s="54"/>
      <c r="AI169" s="54"/>
      <c r="AJ169" s="54"/>
    </row>
    <row r="170" ht="14.25" customHeight="1">
      <c r="E170" s="56"/>
      <c r="F170" s="56"/>
      <c r="T170" s="54"/>
      <c r="U170" s="54"/>
      <c r="AC170" s="54"/>
      <c r="AE170" s="54"/>
      <c r="AG170" s="54"/>
      <c r="AH170" s="54"/>
      <c r="AI170" s="54"/>
      <c r="AJ170" s="54"/>
    </row>
    <row r="171" ht="14.25" customHeight="1">
      <c r="E171" s="56"/>
      <c r="F171" s="56"/>
      <c r="T171" s="54"/>
      <c r="U171" s="54"/>
      <c r="AC171" s="54"/>
      <c r="AE171" s="54"/>
      <c r="AG171" s="54"/>
      <c r="AH171" s="54"/>
      <c r="AI171" s="54"/>
      <c r="AJ171" s="54"/>
    </row>
    <row r="172" ht="14.25" customHeight="1">
      <c r="E172" s="56"/>
      <c r="F172" s="56"/>
      <c r="T172" s="54"/>
      <c r="U172" s="54"/>
      <c r="AC172" s="54"/>
      <c r="AE172" s="54"/>
      <c r="AG172" s="54"/>
      <c r="AH172" s="54"/>
      <c r="AI172" s="54"/>
      <c r="AJ172" s="54"/>
    </row>
    <row r="173" ht="14.25" customHeight="1">
      <c r="E173" s="56"/>
      <c r="F173" s="56"/>
      <c r="T173" s="54"/>
      <c r="U173" s="54"/>
      <c r="AC173" s="54"/>
      <c r="AE173" s="54"/>
      <c r="AG173" s="54"/>
      <c r="AH173" s="54"/>
      <c r="AI173" s="54"/>
      <c r="AJ173" s="54"/>
    </row>
    <row r="174" ht="14.25" customHeight="1">
      <c r="E174" s="56"/>
      <c r="F174" s="56"/>
      <c r="T174" s="54"/>
      <c r="U174" s="54"/>
      <c r="AC174" s="54"/>
      <c r="AE174" s="54"/>
      <c r="AG174" s="54"/>
      <c r="AH174" s="54"/>
      <c r="AI174" s="54"/>
      <c r="AJ174" s="54"/>
    </row>
    <row r="175" ht="14.25" customHeight="1">
      <c r="E175" s="56"/>
      <c r="F175" s="56"/>
      <c r="T175" s="54"/>
      <c r="U175" s="54"/>
      <c r="AC175" s="54"/>
      <c r="AE175" s="54"/>
      <c r="AG175" s="54"/>
      <c r="AH175" s="54"/>
      <c r="AI175" s="54"/>
      <c r="AJ175" s="54"/>
    </row>
    <row r="176" ht="14.25" customHeight="1">
      <c r="E176" s="56"/>
      <c r="F176" s="56"/>
      <c r="T176" s="54"/>
      <c r="U176" s="54"/>
      <c r="AC176" s="54"/>
      <c r="AE176" s="54"/>
      <c r="AG176" s="54"/>
      <c r="AH176" s="54"/>
      <c r="AI176" s="54"/>
      <c r="AJ176" s="54"/>
    </row>
    <row r="177" ht="14.25" customHeight="1">
      <c r="E177" s="56"/>
      <c r="F177" s="56"/>
      <c r="T177" s="54"/>
      <c r="U177" s="54"/>
      <c r="AC177" s="54"/>
      <c r="AE177" s="54"/>
      <c r="AG177" s="54"/>
      <c r="AH177" s="54"/>
      <c r="AI177" s="54"/>
      <c r="AJ177" s="54"/>
    </row>
    <row r="178" ht="14.25" customHeight="1">
      <c r="E178" s="56"/>
      <c r="F178" s="56"/>
      <c r="T178" s="54"/>
      <c r="U178" s="54"/>
      <c r="AC178" s="54"/>
      <c r="AE178" s="54"/>
      <c r="AG178" s="54"/>
      <c r="AH178" s="54"/>
      <c r="AI178" s="54"/>
      <c r="AJ178" s="54"/>
    </row>
    <row r="179" ht="14.25" customHeight="1">
      <c r="E179" s="56"/>
      <c r="F179" s="56"/>
      <c r="T179" s="54"/>
      <c r="U179" s="54"/>
      <c r="AC179" s="54"/>
      <c r="AE179" s="54"/>
      <c r="AG179" s="54"/>
      <c r="AH179" s="54"/>
      <c r="AI179" s="54"/>
      <c r="AJ179" s="54"/>
    </row>
    <row r="180" ht="14.25" customHeight="1">
      <c r="E180" s="56"/>
      <c r="F180" s="56"/>
      <c r="T180" s="54"/>
      <c r="U180" s="54"/>
      <c r="AC180" s="54"/>
      <c r="AE180" s="54"/>
      <c r="AG180" s="54"/>
      <c r="AH180" s="54"/>
      <c r="AI180" s="54"/>
      <c r="AJ180" s="54"/>
    </row>
    <row r="181" ht="14.25" customHeight="1">
      <c r="E181" s="56"/>
      <c r="F181" s="56"/>
      <c r="T181" s="54"/>
      <c r="U181" s="54"/>
      <c r="AC181" s="54"/>
      <c r="AE181" s="54"/>
      <c r="AG181" s="54"/>
      <c r="AH181" s="54"/>
      <c r="AI181" s="54"/>
      <c r="AJ181" s="54"/>
    </row>
    <row r="182" ht="14.25" customHeight="1">
      <c r="E182" s="56"/>
      <c r="F182" s="56"/>
      <c r="T182" s="54"/>
      <c r="U182" s="54"/>
      <c r="AC182" s="54"/>
      <c r="AE182" s="54"/>
      <c r="AG182" s="54"/>
      <c r="AH182" s="54"/>
      <c r="AI182" s="54"/>
      <c r="AJ182" s="54"/>
    </row>
    <row r="183" ht="14.25" customHeight="1">
      <c r="E183" s="56"/>
      <c r="F183" s="56"/>
      <c r="T183" s="54"/>
      <c r="U183" s="54"/>
      <c r="AC183" s="54"/>
      <c r="AE183" s="54"/>
      <c r="AG183" s="54"/>
      <c r="AH183" s="54"/>
      <c r="AI183" s="54"/>
      <c r="AJ183" s="54"/>
    </row>
    <row r="184" ht="14.25" customHeight="1">
      <c r="E184" s="56"/>
      <c r="F184" s="56"/>
      <c r="T184" s="54"/>
      <c r="U184" s="54"/>
      <c r="AC184" s="54"/>
      <c r="AE184" s="54"/>
      <c r="AG184" s="54"/>
      <c r="AH184" s="54"/>
      <c r="AI184" s="54"/>
      <c r="AJ184" s="54"/>
    </row>
    <row r="185" ht="14.25" customHeight="1">
      <c r="E185" s="56"/>
      <c r="F185" s="56"/>
      <c r="T185" s="54"/>
      <c r="U185" s="54"/>
      <c r="AC185" s="54"/>
      <c r="AE185" s="54"/>
      <c r="AG185" s="54"/>
      <c r="AH185" s="54"/>
      <c r="AI185" s="54"/>
      <c r="AJ185" s="54"/>
    </row>
    <row r="186" ht="14.25" customHeight="1">
      <c r="E186" s="56"/>
      <c r="F186" s="56"/>
      <c r="T186" s="54"/>
      <c r="U186" s="54"/>
      <c r="AC186" s="54"/>
      <c r="AE186" s="54"/>
      <c r="AG186" s="54"/>
      <c r="AH186" s="54"/>
      <c r="AI186" s="54"/>
      <c r="AJ186" s="54"/>
    </row>
    <row r="187" ht="14.25" customHeight="1">
      <c r="E187" s="56"/>
      <c r="F187" s="56"/>
      <c r="T187" s="54"/>
      <c r="U187" s="54"/>
      <c r="AC187" s="54"/>
      <c r="AE187" s="54"/>
      <c r="AG187" s="54"/>
      <c r="AH187" s="54"/>
      <c r="AI187" s="54"/>
      <c r="AJ187" s="54"/>
    </row>
    <row r="188" ht="14.25" customHeight="1">
      <c r="E188" s="56"/>
      <c r="F188" s="56"/>
      <c r="T188" s="54"/>
      <c r="U188" s="54"/>
      <c r="AC188" s="54"/>
      <c r="AE188" s="54"/>
      <c r="AG188" s="54"/>
      <c r="AH188" s="54"/>
      <c r="AI188" s="54"/>
      <c r="AJ188" s="54"/>
    </row>
    <row r="189" ht="14.25" customHeight="1">
      <c r="E189" s="56"/>
      <c r="F189" s="56"/>
      <c r="T189" s="54"/>
      <c r="U189" s="54"/>
      <c r="AC189" s="54"/>
      <c r="AE189" s="54"/>
      <c r="AG189" s="54"/>
      <c r="AH189" s="54"/>
      <c r="AI189" s="54"/>
      <c r="AJ189" s="54"/>
    </row>
    <row r="190" ht="14.25" customHeight="1">
      <c r="E190" s="56"/>
      <c r="F190" s="56"/>
      <c r="T190" s="54"/>
      <c r="U190" s="54"/>
      <c r="AC190" s="54"/>
      <c r="AE190" s="54"/>
      <c r="AG190" s="54"/>
      <c r="AH190" s="54"/>
      <c r="AI190" s="54"/>
      <c r="AJ190" s="54"/>
    </row>
    <row r="191" ht="14.25" customHeight="1">
      <c r="E191" s="56"/>
      <c r="F191" s="56"/>
      <c r="T191" s="54"/>
      <c r="U191" s="54"/>
      <c r="AC191" s="54"/>
      <c r="AE191" s="54"/>
      <c r="AG191" s="54"/>
      <c r="AH191" s="54"/>
      <c r="AI191" s="54"/>
      <c r="AJ191" s="54"/>
    </row>
    <row r="192" ht="14.25" customHeight="1">
      <c r="E192" s="56"/>
      <c r="F192" s="56"/>
      <c r="T192" s="54"/>
      <c r="U192" s="54"/>
      <c r="AC192" s="54"/>
      <c r="AE192" s="54"/>
      <c r="AG192" s="54"/>
      <c r="AH192" s="54"/>
      <c r="AI192" s="54"/>
      <c r="AJ192" s="54"/>
    </row>
    <row r="193" ht="14.25" customHeight="1">
      <c r="E193" s="56"/>
      <c r="F193" s="56"/>
      <c r="T193" s="54"/>
      <c r="U193" s="54"/>
      <c r="AC193" s="54"/>
      <c r="AE193" s="54"/>
      <c r="AG193" s="54"/>
      <c r="AH193" s="54"/>
      <c r="AI193" s="54"/>
      <c r="AJ193" s="54"/>
    </row>
    <row r="194" ht="14.25" customHeight="1">
      <c r="E194" s="56"/>
      <c r="F194" s="56"/>
      <c r="T194" s="54"/>
      <c r="U194" s="54"/>
      <c r="AC194" s="54"/>
      <c r="AE194" s="54"/>
      <c r="AG194" s="54"/>
      <c r="AH194" s="54"/>
      <c r="AI194" s="54"/>
      <c r="AJ194" s="54"/>
    </row>
    <row r="195" ht="14.25" customHeight="1">
      <c r="E195" s="56"/>
      <c r="F195" s="56"/>
      <c r="T195" s="54"/>
      <c r="U195" s="54"/>
      <c r="AC195" s="54"/>
      <c r="AE195" s="54"/>
      <c r="AG195" s="54"/>
      <c r="AH195" s="54"/>
      <c r="AI195" s="54"/>
      <c r="AJ195" s="54"/>
    </row>
    <row r="196" ht="14.25" customHeight="1">
      <c r="E196" s="56"/>
      <c r="F196" s="56"/>
      <c r="T196" s="54"/>
      <c r="U196" s="54"/>
      <c r="AC196" s="54"/>
      <c r="AE196" s="54"/>
      <c r="AG196" s="54"/>
      <c r="AH196" s="54"/>
      <c r="AI196" s="54"/>
      <c r="AJ196" s="54"/>
    </row>
    <row r="197" ht="14.25" customHeight="1">
      <c r="E197" s="56"/>
      <c r="F197" s="56"/>
      <c r="T197" s="54"/>
      <c r="U197" s="54"/>
      <c r="AC197" s="54"/>
      <c r="AE197" s="54"/>
      <c r="AG197" s="54"/>
      <c r="AH197" s="54"/>
      <c r="AI197" s="54"/>
      <c r="AJ197" s="54"/>
    </row>
    <row r="198" ht="14.25" customHeight="1">
      <c r="E198" s="56"/>
      <c r="F198" s="56"/>
      <c r="T198" s="54"/>
      <c r="U198" s="54"/>
      <c r="AC198" s="54"/>
      <c r="AE198" s="54"/>
      <c r="AG198" s="54"/>
      <c r="AH198" s="54"/>
      <c r="AI198" s="54"/>
      <c r="AJ198" s="54"/>
    </row>
    <row r="199" ht="14.25" customHeight="1">
      <c r="E199" s="56"/>
      <c r="F199" s="56"/>
      <c r="T199" s="54"/>
      <c r="U199" s="54"/>
      <c r="AC199" s="54"/>
      <c r="AE199" s="54"/>
      <c r="AG199" s="54"/>
      <c r="AH199" s="54"/>
      <c r="AI199" s="54"/>
      <c r="AJ199" s="54"/>
    </row>
    <row r="200" ht="14.25" customHeight="1">
      <c r="E200" s="56"/>
      <c r="F200" s="56"/>
      <c r="T200" s="54"/>
      <c r="U200" s="54"/>
      <c r="AC200" s="54"/>
      <c r="AE200" s="54"/>
      <c r="AG200" s="54"/>
      <c r="AH200" s="54"/>
      <c r="AI200" s="54"/>
      <c r="AJ200" s="54"/>
    </row>
    <row r="201" ht="14.25" customHeight="1">
      <c r="E201" s="56"/>
      <c r="F201" s="56"/>
      <c r="T201" s="54"/>
      <c r="U201" s="54"/>
      <c r="AC201" s="54"/>
      <c r="AE201" s="54"/>
      <c r="AG201" s="54"/>
      <c r="AH201" s="54"/>
      <c r="AI201" s="54"/>
      <c r="AJ201" s="54"/>
    </row>
    <row r="202" ht="14.25" customHeight="1">
      <c r="E202" s="56"/>
      <c r="F202" s="56"/>
      <c r="T202" s="54"/>
      <c r="U202" s="54"/>
      <c r="AC202" s="54"/>
      <c r="AE202" s="54"/>
      <c r="AG202" s="54"/>
      <c r="AH202" s="54"/>
      <c r="AI202" s="54"/>
      <c r="AJ202" s="54"/>
    </row>
    <row r="203" ht="14.25" customHeight="1">
      <c r="E203" s="56"/>
      <c r="F203" s="56"/>
      <c r="T203" s="54"/>
      <c r="U203" s="54"/>
      <c r="AC203" s="54"/>
      <c r="AE203" s="54"/>
      <c r="AG203" s="54"/>
      <c r="AH203" s="54"/>
      <c r="AI203" s="54"/>
      <c r="AJ203" s="54"/>
    </row>
    <row r="204" ht="14.25" customHeight="1">
      <c r="E204" s="56"/>
      <c r="F204" s="56"/>
      <c r="T204" s="54"/>
      <c r="U204" s="54"/>
      <c r="AC204" s="54"/>
      <c r="AE204" s="54"/>
      <c r="AG204" s="54"/>
      <c r="AH204" s="54"/>
      <c r="AI204" s="54"/>
      <c r="AJ204" s="54"/>
    </row>
    <row r="205" ht="14.25" customHeight="1">
      <c r="E205" s="56"/>
      <c r="F205" s="56"/>
      <c r="T205" s="54"/>
      <c r="U205" s="54"/>
      <c r="AC205" s="54"/>
      <c r="AE205" s="54"/>
      <c r="AG205" s="54"/>
      <c r="AH205" s="54"/>
      <c r="AI205" s="54"/>
      <c r="AJ205" s="54"/>
    </row>
    <row r="206" ht="14.25" customHeight="1">
      <c r="E206" s="56"/>
      <c r="F206" s="56"/>
      <c r="T206" s="54"/>
      <c r="U206" s="54"/>
      <c r="AC206" s="54"/>
      <c r="AE206" s="54"/>
      <c r="AG206" s="54"/>
      <c r="AH206" s="54"/>
      <c r="AI206" s="54"/>
      <c r="AJ206" s="54"/>
    </row>
    <row r="207" ht="14.25" customHeight="1">
      <c r="E207" s="56"/>
      <c r="F207" s="56"/>
      <c r="T207" s="54"/>
      <c r="U207" s="54"/>
      <c r="AC207" s="54"/>
      <c r="AE207" s="54"/>
      <c r="AG207" s="54"/>
      <c r="AH207" s="54"/>
      <c r="AI207" s="54"/>
      <c r="AJ207" s="54"/>
    </row>
    <row r="208" ht="14.25" customHeight="1">
      <c r="E208" s="56"/>
      <c r="F208" s="56"/>
      <c r="T208" s="54"/>
      <c r="U208" s="54"/>
      <c r="AC208" s="54"/>
      <c r="AE208" s="54"/>
      <c r="AG208" s="54"/>
      <c r="AH208" s="54"/>
      <c r="AI208" s="54"/>
      <c r="AJ208" s="54"/>
    </row>
    <row r="209" ht="14.25" customHeight="1">
      <c r="E209" s="56"/>
      <c r="F209" s="56"/>
      <c r="T209" s="54"/>
      <c r="U209" s="54"/>
      <c r="AC209" s="54"/>
      <c r="AE209" s="54"/>
      <c r="AG209" s="54"/>
      <c r="AH209" s="54"/>
      <c r="AI209" s="54"/>
      <c r="AJ209" s="54"/>
    </row>
    <row r="210" ht="14.25" customHeight="1">
      <c r="E210" s="56"/>
      <c r="F210" s="56"/>
      <c r="T210" s="54"/>
      <c r="U210" s="54"/>
      <c r="AC210" s="54"/>
      <c r="AE210" s="54"/>
      <c r="AG210" s="54"/>
      <c r="AH210" s="54"/>
      <c r="AI210" s="54"/>
      <c r="AJ210" s="54"/>
    </row>
    <row r="211" ht="14.25" customHeight="1">
      <c r="E211" s="56"/>
      <c r="F211" s="56"/>
      <c r="T211" s="54"/>
      <c r="U211" s="54"/>
      <c r="AC211" s="54"/>
      <c r="AE211" s="54"/>
      <c r="AG211" s="54"/>
      <c r="AH211" s="54"/>
      <c r="AI211" s="54"/>
      <c r="AJ211" s="54"/>
    </row>
    <row r="212" ht="14.25" customHeight="1">
      <c r="E212" s="56"/>
      <c r="F212" s="56"/>
      <c r="T212" s="54"/>
      <c r="U212" s="54"/>
      <c r="AC212" s="54"/>
      <c r="AE212" s="54"/>
      <c r="AG212" s="54"/>
      <c r="AH212" s="54"/>
      <c r="AI212" s="54"/>
      <c r="AJ212" s="54"/>
    </row>
    <row r="213" ht="14.25" customHeight="1">
      <c r="E213" s="56"/>
      <c r="F213" s="56"/>
      <c r="T213" s="54"/>
      <c r="U213" s="54"/>
      <c r="AC213" s="54"/>
      <c r="AE213" s="54"/>
      <c r="AG213" s="54"/>
      <c r="AH213" s="54"/>
      <c r="AI213" s="54"/>
      <c r="AJ213" s="54"/>
    </row>
    <row r="214" ht="14.25" customHeight="1">
      <c r="E214" s="56"/>
      <c r="F214" s="56"/>
      <c r="T214" s="54"/>
      <c r="U214" s="54"/>
      <c r="AC214" s="54"/>
      <c r="AE214" s="54"/>
      <c r="AG214" s="54"/>
      <c r="AH214" s="54"/>
      <c r="AI214" s="54"/>
      <c r="AJ214" s="54"/>
    </row>
    <row r="215" ht="14.25" customHeight="1">
      <c r="E215" s="56"/>
      <c r="F215" s="56"/>
      <c r="T215" s="54"/>
      <c r="U215" s="54"/>
      <c r="AC215" s="54"/>
      <c r="AE215" s="54"/>
      <c r="AG215" s="54"/>
      <c r="AH215" s="54"/>
      <c r="AI215" s="54"/>
      <c r="AJ215" s="54"/>
    </row>
    <row r="216" ht="14.25" customHeight="1">
      <c r="E216" s="56"/>
      <c r="F216" s="56"/>
      <c r="T216" s="54"/>
      <c r="U216" s="54"/>
      <c r="AC216" s="54"/>
      <c r="AE216" s="54"/>
      <c r="AG216" s="54"/>
      <c r="AH216" s="54"/>
      <c r="AI216" s="54"/>
      <c r="AJ216" s="54"/>
    </row>
    <row r="217" ht="14.25" customHeight="1">
      <c r="E217" s="56"/>
      <c r="F217" s="56"/>
      <c r="T217" s="54"/>
      <c r="U217" s="54"/>
      <c r="AC217" s="54"/>
      <c r="AE217" s="54"/>
      <c r="AG217" s="54"/>
      <c r="AH217" s="54"/>
      <c r="AI217" s="54"/>
      <c r="AJ217" s="54"/>
    </row>
    <row r="218" ht="14.25" customHeight="1">
      <c r="E218" s="56"/>
      <c r="F218" s="56"/>
      <c r="T218" s="54"/>
      <c r="U218" s="54"/>
      <c r="AC218" s="54"/>
      <c r="AE218" s="54"/>
      <c r="AG218" s="54"/>
      <c r="AH218" s="54"/>
      <c r="AI218" s="54"/>
      <c r="AJ218" s="54"/>
    </row>
    <row r="219" ht="14.25" customHeight="1">
      <c r="E219" s="56"/>
      <c r="F219" s="56"/>
      <c r="T219" s="54"/>
      <c r="U219" s="54"/>
      <c r="AC219" s="54"/>
      <c r="AE219" s="54"/>
      <c r="AG219" s="54"/>
      <c r="AH219" s="54"/>
      <c r="AI219" s="54"/>
      <c r="AJ219" s="54"/>
    </row>
    <row r="220" ht="14.25" customHeight="1">
      <c r="E220" s="56"/>
      <c r="F220" s="56"/>
      <c r="T220" s="54"/>
      <c r="U220" s="54"/>
      <c r="AC220" s="54"/>
      <c r="AE220" s="54"/>
      <c r="AG220" s="54"/>
      <c r="AH220" s="54"/>
      <c r="AI220" s="54"/>
      <c r="AJ220" s="54"/>
    </row>
    <row r="221" ht="14.25" customHeight="1">
      <c r="E221" s="56"/>
      <c r="F221" s="56"/>
      <c r="T221" s="54"/>
      <c r="U221" s="54"/>
      <c r="AC221" s="54"/>
      <c r="AE221" s="54"/>
      <c r="AG221" s="54"/>
      <c r="AH221" s="54"/>
      <c r="AI221" s="54"/>
      <c r="AJ221" s="54"/>
    </row>
    <row r="222" ht="14.25" customHeight="1">
      <c r="E222" s="56"/>
      <c r="F222" s="56"/>
      <c r="T222" s="54"/>
      <c r="U222" s="54"/>
      <c r="AC222" s="54"/>
      <c r="AE222" s="54"/>
      <c r="AG222" s="54"/>
      <c r="AH222" s="54"/>
      <c r="AI222" s="54"/>
      <c r="AJ222" s="54"/>
    </row>
    <row r="223" ht="14.25" customHeight="1">
      <c r="E223" s="56"/>
      <c r="F223" s="56"/>
      <c r="T223" s="54"/>
      <c r="U223" s="54"/>
      <c r="AC223" s="54"/>
      <c r="AE223" s="54"/>
      <c r="AG223" s="54"/>
      <c r="AH223" s="54"/>
      <c r="AI223" s="54"/>
      <c r="AJ223" s="54"/>
    </row>
    <row r="224" ht="14.25" customHeight="1">
      <c r="E224" s="56"/>
      <c r="F224" s="56"/>
      <c r="T224" s="54"/>
      <c r="U224" s="54"/>
      <c r="AC224" s="54"/>
      <c r="AE224" s="54"/>
      <c r="AG224" s="54"/>
      <c r="AH224" s="54"/>
      <c r="AI224" s="54"/>
      <c r="AJ224" s="54"/>
    </row>
    <row r="225" ht="14.25" customHeight="1">
      <c r="E225" s="56"/>
      <c r="F225" s="56"/>
      <c r="T225" s="54"/>
      <c r="U225" s="54"/>
      <c r="AC225" s="54"/>
      <c r="AE225" s="54"/>
      <c r="AG225" s="54"/>
      <c r="AH225" s="54"/>
      <c r="AI225" s="54"/>
      <c r="AJ225" s="54"/>
    </row>
    <row r="226" ht="14.25" customHeight="1">
      <c r="E226" s="56"/>
      <c r="F226" s="56"/>
      <c r="T226" s="54"/>
      <c r="U226" s="54"/>
      <c r="AC226" s="54"/>
      <c r="AE226" s="54"/>
      <c r="AG226" s="54"/>
      <c r="AH226" s="54"/>
      <c r="AI226" s="54"/>
      <c r="AJ226" s="54"/>
    </row>
    <row r="227" ht="14.25" customHeight="1">
      <c r="E227" s="56"/>
      <c r="F227" s="56"/>
      <c r="T227" s="54"/>
      <c r="U227" s="54"/>
      <c r="AC227" s="54"/>
      <c r="AE227" s="54"/>
      <c r="AG227" s="54"/>
      <c r="AH227" s="54"/>
      <c r="AI227" s="54"/>
      <c r="AJ227" s="54"/>
    </row>
    <row r="228" ht="14.25" customHeight="1">
      <c r="E228" s="56"/>
      <c r="F228" s="56"/>
      <c r="T228" s="54"/>
      <c r="U228" s="54"/>
      <c r="AC228" s="54"/>
      <c r="AE228" s="54"/>
      <c r="AG228" s="54"/>
      <c r="AH228" s="54"/>
      <c r="AI228" s="54"/>
      <c r="AJ228" s="54"/>
    </row>
    <row r="229" ht="14.25" customHeight="1">
      <c r="E229" s="56"/>
      <c r="F229" s="56"/>
      <c r="T229" s="54"/>
      <c r="U229" s="54"/>
      <c r="AC229" s="54"/>
      <c r="AE229" s="54"/>
      <c r="AG229" s="54"/>
      <c r="AH229" s="54"/>
      <c r="AI229" s="54"/>
      <c r="AJ229" s="54"/>
    </row>
    <row r="230" ht="14.25" customHeight="1">
      <c r="E230" s="56"/>
      <c r="F230" s="56"/>
      <c r="T230" s="54"/>
      <c r="U230" s="54"/>
      <c r="AC230" s="54"/>
      <c r="AE230" s="54"/>
      <c r="AG230" s="54"/>
      <c r="AH230" s="54"/>
      <c r="AI230" s="54"/>
      <c r="AJ230" s="54"/>
    </row>
    <row r="231" ht="14.25" customHeight="1">
      <c r="E231" s="56"/>
      <c r="F231" s="56"/>
      <c r="T231" s="54"/>
      <c r="U231" s="54"/>
      <c r="AC231" s="54"/>
      <c r="AE231" s="54"/>
      <c r="AG231" s="54"/>
      <c r="AH231" s="54"/>
      <c r="AI231" s="54"/>
      <c r="AJ231" s="54"/>
    </row>
    <row r="232" ht="14.25" customHeight="1">
      <c r="E232" s="56"/>
      <c r="F232" s="56"/>
      <c r="T232" s="54"/>
      <c r="U232" s="54"/>
      <c r="AC232" s="54"/>
      <c r="AE232" s="54"/>
      <c r="AG232" s="54"/>
      <c r="AH232" s="54"/>
      <c r="AI232" s="54"/>
      <c r="AJ232" s="54"/>
    </row>
    <row r="233" ht="14.25" customHeight="1">
      <c r="E233" s="56"/>
      <c r="F233" s="56"/>
      <c r="T233" s="54"/>
      <c r="U233" s="54"/>
      <c r="AC233" s="54"/>
      <c r="AE233" s="54"/>
      <c r="AG233" s="54"/>
      <c r="AH233" s="54"/>
      <c r="AI233" s="54"/>
      <c r="AJ233" s="54"/>
    </row>
    <row r="234" ht="14.25" customHeight="1">
      <c r="E234" s="56"/>
      <c r="F234" s="56"/>
      <c r="T234" s="54"/>
      <c r="U234" s="54"/>
      <c r="AC234" s="54"/>
      <c r="AE234" s="54"/>
      <c r="AG234" s="54"/>
      <c r="AH234" s="54"/>
      <c r="AI234" s="54"/>
      <c r="AJ234" s="54"/>
    </row>
    <row r="235" ht="14.25" customHeight="1">
      <c r="E235" s="56"/>
      <c r="F235" s="56"/>
      <c r="T235" s="54"/>
      <c r="U235" s="54"/>
      <c r="AC235" s="54"/>
      <c r="AE235" s="54"/>
      <c r="AG235" s="54"/>
      <c r="AH235" s="54"/>
      <c r="AI235" s="54"/>
      <c r="AJ235" s="54"/>
    </row>
    <row r="236" ht="14.25" customHeight="1">
      <c r="E236" s="56"/>
      <c r="F236" s="56"/>
      <c r="T236" s="54"/>
      <c r="U236" s="54"/>
      <c r="AC236" s="54"/>
      <c r="AE236" s="54"/>
      <c r="AG236" s="54"/>
      <c r="AH236" s="54"/>
      <c r="AI236" s="54"/>
      <c r="AJ236" s="54"/>
    </row>
    <row r="237" ht="14.25" customHeight="1">
      <c r="E237" s="56"/>
      <c r="F237" s="56"/>
      <c r="T237" s="54"/>
      <c r="U237" s="54"/>
      <c r="AC237" s="54"/>
      <c r="AE237" s="54"/>
      <c r="AG237" s="54"/>
      <c r="AH237" s="54"/>
      <c r="AI237" s="54"/>
      <c r="AJ237" s="54"/>
    </row>
    <row r="238" ht="14.25" customHeight="1">
      <c r="E238" s="56"/>
      <c r="F238" s="56"/>
      <c r="T238" s="54"/>
      <c r="U238" s="54"/>
      <c r="AC238" s="54"/>
      <c r="AE238" s="54"/>
      <c r="AG238" s="54"/>
      <c r="AH238" s="54"/>
      <c r="AI238" s="54"/>
      <c r="AJ238" s="54"/>
    </row>
    <row r="239" ht="14.25" customHeight="1">
      <c r="E239" s="56"/>
      <c r="F239" s="56"/>
      <c r="T239" s="54"/>
      <c r="U239" s="54"/>
      <c r="AC239" s="54"/>
      <c r="AE239" s="54"/>
      <c r="AG239" s="54"/>
      <c r="AH239" s="54"/>
      <c r="AI239" s="54"/>
      <c r="AJ239" s="54"/>
    </row>
    <row r="240" ht="14.25" customHeight="1">
      <c r="E240" s="56"/>
      <c r="F240" s="56"/>
      <c r="T240" s="54"/>
      <c r="U240" s="54"/>
      <c r="AC240" s="54"/>
      <c r="AE240" s="54"/>
      <c r="AG240" s="54"/>
      <c r="AH240" s="54"/>
      <c r="AI240" s="54"/>
      <c r="AJ240" s="54"/>
    </row>
    <row r="241" ht="14.25" customHeight="1">
      <c r="E241" s="56"/>
      <c r="F241" s="56"/>
      <c r="T241" s="54"/>
      <c r="U241" s="54"/>
      <c r="AC241" s="54"/>
      <c r="AE241" s="54"/>
      <c r="AG241" s="54"/>
      <c r="AH241" s="54"/>
      <c r="AI241" s="54"/>
      <c r="AJ241" s="54"/>
    </row>
    <row r="242" ht="14.25" customHeight="1">
      <c r="E242" s="56"/>
      <c r="F242" s="56"/>
      <c r="T242" s="54"/>
      <c r="U242" s="54"/>
      <c r="AC242" s="54"/>
      <c r="AE242" s="54"/>
      <c r="AG242" s="54"/>
      <c r="AH242" s="54"/>
      <c r="AI242" s="54"/>
      <c r="AJ242" s="54"/>
    </row>
    <row r="243" ht="14.25" customHeight="1">
      <c r="E243" s="56"/>
      <c r="F243" s="56"/>
      <c r="T243" s="54"/>
      <c r="U243" s="54"/>
      <c r="AC243" s="54"/>
      <c r="AE243" s="54"/>
      <c r="AG243" s="54"/>
      <c r="AH243" s="54"/>
      <c r="AI243" s="54"/>
      <c r="AJ243" s="54"/>
    </row>
    <row r="244" ht="14.25" customHeight="1">
      <c r="E244" s="56"/>
      <c r="F244" s="56"/>
      <c r="T244" s="54"/>
      <c r="U244" s="54"/>
      <c r="AC244" s="54"/>
      <c r="AE244" s="54"/>
      <c r="AG244" s="54"/>
      <c r="AH244" s="54"/>
      <c r="AI244" s="54"/>
      <c r="AJ244" s="54"/>
    </row>
    <row r="245" ht="14.25" customHeight="1">
      <c r="E245" s="56"/>
      <c r="F245" s="56"/>
      <c r="T245" s="54"/>
      <c r="U245" s="54"/>
      <c r="AC245" s="54"/>
      <c r="AE245" s="54"/>
      <c r="AG245" s="54"/>
      <c r="AH245" s="54"/>
      <c r="AI245" s="54"/>
      <c r="AJ245" s="54"/>
    </row>
    <row r="246" ht="14.25" customHeight="1">
      <c r="E246" s="56"/>
      <c r="F246" s="56"/>
      <c r="T246" s="54"/>
      <c r="U246" s="54"/>
      <c r="AC246" s="54"/>
      <c r="AE246" s="54"/>
      <c r="AG246" s="54"/>
      <c r="AH246" s="54"/>
      <c r="AI246" s="54"/>
      <c r="AJ246" s="54"/>
    </row>
    <row r="247" ht="14.25" customHeight="1">
      <c r="E247" s="56"/>
      <c r="F247" s="56"/>
      <c r="T247" s="54"/>
      <c r="U247" s="54"/>
      <c r="AC247" s="54"/>
      <c r="AE247" s="54"/>
      <c r="AG247" s="54"/>
      <c r="AH247" s="54"/>
      <c r="AI247" s="54"/>
      <c r="AJ247" s="54"/>
    </row>
    <row r="248" ht="14.25" customHeight="1">
      <c r="E248" s="56"/>
      <c r="F248" s="56"/>
      <c r="T248" s="54"/>
      <c r="U248" s="54"/>
      <c r="AC248" s="54"/>
      <c r="AE248" s="54"/>
      <c r="AG248" s="54"/>
      <c r="AH248" s="54"/>
      <c r="AI248" s="54"/>
      <c r="AJ248" s="54"/>
    </row>
    <row r="249" ht="14.25" customHeight="1">
      <c r="E249" s="56"/>
      <c r="F249" s="56"/>
      <c r="T249" s="54"/>
      <c r="U249" s="54"/>
      <c r="AC249" s="54"/>
      <c r="AE249" s="54"/>
      <c r="AG249" s="54"/>
      <c r="AH249" s="54"/>
      <c r="AI249" s="54"/>
      <c r="AJ249" s="54"/>
    </row>
    <row r="250" ht="14.25" customHeight="1">
      <c r="E250" s="56"/>
      <c r="F250" s="56"/>
      <c r="T250" s="54"/>
      <c r="U250" s="54"/>
      <c r="AC250" s="54"/>
      <c r="AE250" s="54"/>
      <c r="AG250" s="54"/>
      <c r="AH250" s="54"/>
      <c r="AI250" s="54"/>
      <c r="AJ250" s="54"/>
    </row>
    <row r="251" ht="14.25" customHeight="1">
      <c r="E251" s="56"/>
      <c r="F251" s="56"/>
      <c r="T251" s="54"/>
      <c r="U251" s="54"/>
      <c r="AC251" s="54"/>
      <c r="AE251" s="54"/>
      <c r="AG251" s="54"/>
      <c r="AH251" s="54"/>
      <c r="AI251" s="54"/>
      <c r="AJ251" s="54"/>
    </row>
    <row r="252" ht="14.25" customHeight="1">
      <c r="E252" s="56"/>
      <c r="F252" s="56"/>
      <c r="T252" s="54"/>
      <c r="U252" s="54"/>
      <c r="AC252" s="54"/>
      <c r="AE252" s="54"/>
      <c r="AG252" s="54"/>
      <c r="AH252" s="54"/>
      <c r="AI252" s="54"/>
      <c r="AJ252" s="54"/>
    </row>
    <row r="253" ht="14.25" customHeight="1">
      <c r="E253" s="56"/>
      <c r="F253" s="56"/>
      <c r="T253" s="54"/>
      <c r="U253" s="54"/>
      <c r="AC253" s="54"/>
      <c r="AE253" s="54"/>
      <c r="AG253" s="54"/>
      <c r="AH253" s="54"/>
      <c r="AI253" s="54"/>
      <c r="AJ253" s="54"/>
    </row>
    <row r="254" ht="14.25" customHeight="1">
      <c r="E254" s="56"/>
      <c r="F254" s="56"/>
      <c r="T254" s="54"/>
      <c r="U254" s="54"/>
      <c r="AC254" s="54"/>
      <c r="AE254" s="54"/>
      <c r="AG254" s="54"/>
      <c r="AH254" s="54"/>
      <c r="AI254" s="54"/>
      <c r="AJ254" s="54"/>
    </row>
    <row r="255" ht="14.25" customHeight="1">
      <c r="E255" s="56"/>
      <c r="F255" s="56"/>
      <c r="T255" s="54"/>
      <c r="U255" s="54"/>
      <c r="AC255" s="54"/>
      <c r="AE255" s="54"/>
      <c r="AG255" s="54"/>
      <c r="AH255" s="54"/>
      <c r="AI255" s="54"/>
      <c r="AJ255" s="54"/>
    </row>
    <row r="256" ht="14.25" customHeight="1">
      <c r="E256" s="56"/>
      <c r="F256" s="56"/>
      <c r="T256" s="54"/>
      <c r="U256" s="54"/>
      <c r="AC256" s="54"/>
      <c r="AE256" s="54"/>
      <c r="AG256" s="54"/>
      <c r="AH256" s="54"/>
      <c r="AI256" s="54"/>
      <c r="AJ256" s="54"/>
    </row>
    <row r="257" ht="14.25" customHeight="1">
      <c r="E257" s="56"/>
      <c r="F257" s="56"/>
      <c r="T257" s="54"/>
      <c r="U257" s="54"/>
      <c r="AC257" s="54"/>
      <c r="AE257" s="54"/>
      <c r="AG257" s="54"/>
      <c r="AH257" s="54"/>
      <c r="AI257" s="54"/>
      <c r="AJ257" s="54"/>
    </row>
    <row r="258" ht="14.25" customHeight="1">
      <c r="E258" s="56"/>
      <c r="F258" s="56"/>
      <c r="T258" s="54"/>
      <c r="U258" s="54"/>
      <c r="AC258" s="54"/>
      <c r="AE258" s="54"/>
      <c r="AG258" s="54"/>
      <c r="AH258" s="54"/>
      <c r="AI258" s="54"/>
      <c r="AJ258" s="54"/>
    </row>
    <row r="259" ht="14.25" customHeight="1">
      <c r="E259" s="56"/>
      <c r="F259" s="56"/>
      <c r="T259" s="54"/>
      <c r="U259" s="54"/>
      <c r="AC259" s="54"/>
      <c r="AE259" s="54"/>
      <c r="AG259" s="54"/>
      <c r="AH259" s="54"/>
      <c r="AI259" s="54"/>
      <c r="AJ259" s="54"/>
    </row>
    <row r="260" ht="14.25" customHeight="1">
      <c r="E260" s="56"/>
      <c r="F260" s="56"/>
      <c r="T260" s="54"/>
      <c r="U260" s="54"/>
      <c r="AC260" s="54"/>
      <c r="AE260" s="54"/>
      <c r="AG260" s="54"/>
      <c r="AH260" s="54"/>
      <c r="AI260" s="54"/>
      <c r="AJ260" s="54"/>
    </row>
    <row r="261" ht="14.25" customHeight="1">
      <c r="E261" s="56"/>
      <c r="F261" s="56"/>
      <c r="T261" s="54"/>
      <c r="U261" s="54"/>
      <c r="AC261" s="54"/>
      <c r="AE261" s="54"/>
      <c r="AG261" s="54"/>
      <c r="AH261" s="54"/>
      <c r="AI261" s="54"/>
      <c r="AJ261" s="54"/>
    </row>
    <row r="262" ht="14.25" customHeight="1">
      <c r="E262" s="56"/>
      <c r="F262" s="56"/>
      <c r="T262" s="54"/>
      <c r="U262" s="54"/>
      <c r="AC262" s="54"/>
      <c r="AE262" s="54"/>
      <c r="AG262" s="54"/>
      <c r="AH262" s="54"/>
      <c r="AI262" s="54"/>
      <c r="AJ262" s="54"/>
    </row>
    <row r="263" ht="14.25" customHeight="1">
      <c r="E263" s="56"/>
      <c r="F263" s="56"/>
      <c r="T263" s="54"/>
      <c r="U263" s="54"/>
      <c r="AC263" s="54"/>
      <c r="AE263" s="54"/>
      <c r="AG263" s="54"/>
      <c r="AH263" s="54"/>
      <c r="AI263" s="54"/>
      <c r="AJ263" s="54"/>
    </row>
    <row r="264" ht="14.25" customHeight="1">
      <c r="E264" s="56"/>
      <c r="F264" s="56"/>
      <c r="T264" s="54"/>
      <c r="U264" s="54"/>
      <c r="AC264" s="54"/>
      <c r="AE264" s="54"/>
      <c r="AG264" s="54"/>
      <c r="AH264" s="54"/>
      <c r="AI264" s="54"/>
      <c r="AJ264" s="54"/>
    </row>
    <row r="265" ht="14.25" customHeight="1">
      <c r="E265" s="56"/>
      <c r="F265" s="56"/>
      <c r="T265" s="54"/>
      <c r="U265" s="54"/>
      <c r="AC265" s="54"/>
      <c r="AE265" s="54"/>
      <c r="AG265" s="54"/>
      <c r="AH265" s="54"/>
      <c r="AI265" s="54"/>
      <c r="AJ265" s="54"/>
    </row>
    <row r="266" ht="14.25" customHeight="1">
      <c r="E266" s="56"/>
      <c r="F266" s="56"/>
      <c r="T266" s="54"/>
      <c r="U266" s="54"/>
      <c r="AC266" s="54"/>
      <c r="AE266" s="54"/>
      <c r="AG266" s="54"/>
      <c r="AH266" s="54"/>
      <c r="AI266" s="54"/>
      <c r="AJ266" s="54"/>
    </row>
    <row r="267" ht="14.25" customHeight="1">
      <c r="E267" s="56"/>
      <c r="F267" s="56"/>
      <c r="T267" s="54"/>
      <c r="U267" s="54"/>
      <c r="AC267" s="54"/>
      <c r="AE267" s="54"/>
      <c r="AG267" s="54"/>
      <c r="AH267" s="54"/>
      <c r="AI267" s="54"/>
      <c r="AJ267" s="54"/>
    </row>
    <row r="268" ht="14.25" customHeight="1">
      <c r="E268" s="56"/>
      <c r="F268" s="56"/>
      <c r="T268" s="54"/>
      <c r="U268" s="54"/>
      <c r="AC268" s="54"/>
      <c r="AE268" s="54"/>
      <c r="AG268" s="54"/>
      <c r="AH268" s="54"/>
      <c r="AI268" s="54"/>
      <c r="AJ268" s="54"/>
    </row>
    <row r="269" ht="14.25" customHeight="1">
      <c r="E269" s="56"/>
      <c r="F269" s="56"/>
      <c r="T269" s="54"/>
      <c r="U269" s="54"/>
      <c r="AC269" s="54"/>
      <c r="AE269" s="54"/>
      <c r="AG269" s="54"/>
      <c r="AH269" s="54"/>
      <c r="AI269" s="54"/>
      <c r="AJ269" s="54"/>
    </row>
    <row r="270" ht="14.25" customHeight="1">
      <c r="E270" s="56"/>
      <c r="F270" s="56"/>
      <c r="T270" s="54"/>
      <c r="U270" s="54"/>
      <c r="AC270" s="54"/>
      <c r="AE270" s="54"/>
      <c r="AG270" s="54"/>
      <c r="AH270" s="54"/>
      <c r="AI270" s="54"/>
      <c r="AJ270" s="54"/>
    </row>
    <row r="271" ht="14.25" customHeight="1">
      <c r="E271" s="56"/>
      <c r="F271" s="56"/>
      <c r="T271" s="54"/>
      <c r="U271" s="54"/>
      <c r="AC271" s="54"/>
      <c r="AE271" s="54"/>
      <c r="AG271" s="54"/>
      <c r="AH271" s="54"/>
      <c r="AI271" s="54"/>
      <c r="AJ271" s="54"/>
    </row>
    <row r="272" ht="14.25" customHeight="1">
      <c r="E272" s="56"/>
      <c r="F272" s="56"/>
      <c r="T272" s="54"/>
      <c r="U272" s="54"/>
      <c r="AC272" s="54"/>
      <c r="AE272" s="54"/>
      <c r="AG272" s="54"/>
      <c r="AH272" s="54"/>
      <c r="AI272" s="54"/>
      <c r="AJ272" s="54"/>
    </row>
    <row r="273" ht="14.25" customHeight="1">
      <c r="E273" s="56"/>
      <c r="F273" s="56"/>
      <c r="T273" s="54"/>
      <c r="U273" s="54"/>
      <c r="AC273" s="54"/>
      <c r="AE273" s="54"/>
      <c r="AG273" s="54"/>
      <c r="AH273" s="54"/>
      <c r="AI273" s="54"/>
      <c r="AJ273" s="54"/>
    </row>
    <row r="274" ht="14.25" customHeight="1">
      <c r="E274" s="56"/>
      <c r="F274" s="56"/>
      <c r="T274" s="54"/>
      <c r="U274" s="54"/>
      <c r="AC274" s="54"/>
      <c r="AE274" s="54"/>
      <c r="AG274" s="54"/>
      <c r="AH274" s="54"/>
      <c r="AI274" s="54"/>
      <c r="AJ274" s="54"/>
    </row>
    <row r="275" ht="14.25" customHeight="1">
      <c r="E275" s="56"/>
      <c r="F275" s="56"/>
      <c r="T275" s="54"/>
      <c r="U275" s="54"/>
      <c r="AC275" s="54"/>
      <c r="AE275" s="54"/>
      <c r="AG275" s="54"/>
      <c r="AH275" s="54"/>
      <c r="AI275" s="54"/>
      <c r="AJ275" s="54"/>
    </row>
    <row r="276" ht="14.25" customHeight="1">
      <c r="E276" s="56"/>
      <c r="F276" s="56"/>
      <c r="T276" s="54"/>
      <c r="U276" s="54"/>
      <c r="AC276" s="54"/>
      <c r="AE276" s="54"/>
      <c r="AG276" s="54"/>
      <c r="AH276" s="54"/>
      <c r="AI276" s="54"/>
      <c r="AJ276" s="54"/>
    </row>
    <row r="277" ht="14.25" customHeight="1">
      <c r="E277" s="56"/>
      <c r="F277" s="56"/>
      <c r="T277" s="54"/>
      <c r="U277" s="54"/>
      <c r="AC277" s="54"/>
      <c r="AE277" s="54"/>
      <c r="AG277" s="54"/>
      <c r="AH277" s="54"/>
      <c r="AI277" s="54"/>
      <c r="AJ277" s="54"/>
    </row>
    <row r="278" ht="14.25" customHeight="1">
      <c r="E278" s="56"/>
      <c r="F278" s="56"/>
      <c r="T278" s="54"/>
      <c r="U278" s="54"/>
      <c r="AC278" s="54"/>
      <c r="AE278" s="54"/>
      <c r="AG278" s="54"/>
      <c r="AH278" s="54"/>
      <c r="AI278" s="54"/>
      <c r="AJ278" s="54"/>
    </row>
    <row r="279" ht="14.25" customHeight="1">
      <c r="E279" s="56"/>
      <c r="F279" s="56"/>
      <c r="T279" s="54"/>
      <c r="U279" s="54"/>
      <c r="AC279" s="54"/>
      <c r="AE279" s="54"/>
      <c r="AG279" s="54"/>
      <c r="AH279" s="54"/>
      <c r="AI279" s="54"/>
      <c r="AJ279" s="54"/>
    </row>
    <row r="280" ht="14.25" customHeight="1">
      <c r="E280" s="56"/>
      <c r="F280" s="56"/>
      <c r="T280" s="54"/>
      <c r="U280" s="54"/>
      <c r="AC280" s="54"/>
      <c r="AE280" s="54"/>
      <c r="AG280" s="54"/>
      <c r="AH280" s="54"/>
      <c r="AI280" s="54"/>
      <c r="AJ280" s="54"/>
    </row>
    <row r="281" ht="14.25" customHeight="1">
      <c r="E281" s="56"/>
      <c r="F281" s="56"/>
      <c r="T281" s="54"/>
      <c r="U281" s="54"/>
      <c r="AC281" s="54"/>
      <c r="AE281" s="54"/>
      <c r="AG281" s="54"/>
      <c r="AH281" s="54"/>
      <c r="AI281" s="54"/>
      <c r="AJ281" s="54"/>
    </row>
    <row r="282" ht="14.25" customHeight="1">
      <c r="E282" s="56"/>
      <c r="F282" s="56"/>
      <c r="T282" s="54"/>
      <c r="U282" s="54"/>
      <c r="AC282" s="54"/>
      <c r="AE282" s="54"/>
      <c r="AG282" s="54"/>
      <c r="AH282" s="54"/>
      <c r="AI282" s="54"/>
      <c r="AJ282" s="54"/>
    </row>
    <row r="283" ht="14.25" customHeight="1">
      <c r="E283" s="56"/>
      <c r="F283" s="56"/>
      <c r="T283" s="54"/>
      <c r="U283" s="54"/>
      <c r="AC283" s="54"/>
      <c r="AE283" s="54"/>
      <c r="AG283" s="54"/>
      <c r="AH283" s="54"/>
      <c r="AI283" s="54"/>
      <c r="AJ283" s="54"/>
    </row>
    <row r="284" ht="14.25" customHeight="1">
      <c r="E284" s="56"/>
      <c r="F284" s="56"/>
      <c r="T284" s="54"/>
      <c r="U284" s="54"/>
      <c r="AC284" s="54"/>
      <c r="AE284" s="54"/>
      <c r="AG284" s="54"/>
      <c r="AH284" s="54"/>
      <c r="AI284" s="54"/>
      <c r="AJ284" s="54"/>
    </row>
    <row r="285" ht="14.25" customHeight="1">
      <c r="E285" s="56"/>
      <c r="F285" s="56"/>
      <c r="T285" s="54"/>
      <c r="U285" s="54"/>
      <c r="AC285" s="54"/>
      <c r="AE285" s="54"/>
      <c r="AG285" s="54"/>
      <c r="AH285" s="54"/>
      <c r="AI285" s="54"/>
      <c r="AJ285" s="54"/>
    </row>
    <row r="286" ht="14.25" customHeight="1">
      <c r="E286" s="56"/>
      <c r="F286" s="56"/>
      <c r="T286" s="54"/>
      <c r="U286" s="54"/>
      <c r="AC286" s="54"/>
      <c r="AE286" s="54"/>
      <c r="AG286" s="54"/>
      <c r="AH286" s="54"/>
      <c r="AI286" s="54"/>
      <c r="AJ286" s="54"/>
    </row>
    <row r="287" ht="14.25" customHeight="1">
      <c r="E287" s="56"/>
      <c r="F287" s="56"/>
      <c r="T287" s="54"/>
      <c r="U287" s="54"/>
      <c r="AC287" s="54"/>
      <c r="AE287" s="54"/>
      <c r="AG287" s="54"/>
      <c r="AH287" s="54"/>
      <c r="AI287" s="54"/>
      <c r="AJ287" s="54"/>
    </row>
    <row r="288" ht="14.25" customHeight="1">
      <c r="E288" s="56"/>
      <c r="F288" s="56"/>
      <c r="T288" s="54"/>
      <c r="U288" s="54"/>
      <c r="AC288" s="54"/>
      <c r="AE288" s="54"/>
      <c r="AG288" s="54"/>
      <c r="AH288" s="54"/>
      <c r="AI288" s="54"/>
      <c r="AJ288" s="54"/>
    </row>
    <row r="289" ht="14.25" customHeight="1">
      <c r="E289" s="56"/>
      <c r="F289" s="56"/>
      <c r="T289" s="54"/>
      <c r="U289" s="54"/>
      <c r="AC289" s="54"/>
      <c r="AE289" s="54"/>
      <c r="AG289" s="54"/>
      <c r="AH289" s="54"/>
      <c r="AI289" s="54"/>
      <c r="AJ289" s="54"/>
    </row>
    <row r="290" ht="14.25" customHeight="1">
      <c r="E290" s="56"/>
      <c r="F290" s="56"/>
      <c r="T290" s="54"/>
      <c r="U290" s="54"/>
      <c r="AC290" s="54"/>
      <c r="AE290" s="54"/>
      <c r="AG290" s="54"/>
      <c r="AH290" s="54"/>
      <c r="AI290" s="54"/>
      <c r="AJ290" s="54"/>
    </row>
    <row r="291" ht="14.25" customHeight="1">
      <c r="E291" s="56"/>
      <c r="F291" s="56"/>
      <c r="T291" s="54"/>
      <c r="U291" s="54"/>
      <c r="AC291" s="54"/>
      <c r="AE291" s="54"/>
      <c r="AG291" s="54"/>
      <c r="AH291" s="54"/>
      <c r="AI291" s="54"/>
      <c r="AJ291" s="54"/>
    </row>
    <row r="292" ht="14.25" customHeight="1">
      <c r="E292" s="56"/>
      <c r="F292" s="56"/>
      <c r="T292" s="54"/>
      <c r="U292" s="54"/>
      <c r="AC292" s="54"/>
      <c r="AE292" s="54"/>
      <c r="AG292" s="54"/>
      <c r="AH292" s="54"/>
      <c r="AI292" s="54"/>
      <c r="AJ292" s="54"/>
    </row>
    <row r="293" ht="14.25" customHeight="1">
      <c r="E293" s="56"/>
      <c r="F293" s="56"/>
      <c r="T293" s="54"/>
      <c r="U293" s="54"/>
      <c r="AC293" s="54"/>
      <c r="AE293" s="54"/>
      <c r="AG293" s="54"/>
      <c r="AH293" s="54"/>
      <c r="AI293" s="54"/>
      <c r="AJ293" s="54"/>
    </row>
    <row r="294" ht="14.25" customHeight="1">
      <c r="E294" s="56"/>
      <c r="F294" s="56"/>
      <c r="T294" s="54"/>
      <c r="U294" s="54"/>
      <c r="AC294" s="54"/>
      <c r="AE294" s="54"/>
      <c r="AG294" s="54"/>
      <c r="AH294" s="54"/>
      <c r="AI294" s="54"/>
      <c r="AJ294" s="54"/>
    </row>
    <row r="295" ht="14.25" customHeight="1">
      <c r="E295" s="56"/>
      <c r="F295" s="56"/>
      <c r="T295" s="54"/>
      <c r="U295" s="54"/>
      <c r="AC295" s="54"/>
      <c r="AE295" s="54"/>
      <c r="AG295" s="54"/>
      <c r="AH295" s="54"/>
      <c r="AI295" s="54"/>
      <c r="AJ295" s="54"/>
    </row>
    <row r="296" ht="14.25" customHeight="1">
      <c r="E296" s="56"/>
      <c r="F296" s="56"/>
      <c r="T296" s="54"/>
      <c r="U296" s="54"/>
      <c r="AC296" s="54"/>
      <c r="AE296" s="54"/>
      <c r="AG296" s="54"/>
      <c r="AH296" s="54"/>
      <c r="AI296" s="54"/>
      <c r="AJ296" s="54"/>
    </row>
    <row r="297" ht="14.25" customHeight="1">
      <c r="E297" s="56"/>
      <c r="F297" s="56"/>
      <c r="T297" s="54"/>
      <c r="U297" s="54"/>
      <c r="AC297" s="54"/>
      <c r="AE297" s="54"/>
      <c r="AG297" s="54"/>
      <c r="AH297" s="54"/>
      <c r="AI297" s="54"/>
      <c r="AJ297" s="54"/>
    </row>
    <row r="298" ht="14.25" customHeight="1">
      <c r="E298" s="56"/>
      <c r="F298" s="56"/>
      <c r="T298" s="54"/>
      <c r="U298" s="54"/>
      <c r="AC298" s="54"/>
      <c r="AE298" s="54"/>
      <c r="AG298" s="54"/>
      <c r="AH298" s="54"/>
      <c r="AI298" s="54"/>
      <c r="AJ298" s="54"/>
    </row>
    <row r="299" ht="14.25" customHeight="1">
      <c r="E299" s="56"/>
      <c r="F299" s="56"/>
      <c r="T299" s="54"/>
      <c r="U299" s="54"/>
      <c r="AC299" s="54"/>
      <c r="AE299" s="54"/>
      <c r="AG299" s="54"/>
      <c r="AH299" s="54"/>
      <c r="AI299" s="54"/>
      <c r="AJ299" s="54"/>
    </row>
    <row r="300" ht="14.25" customHeight="1">
      <c r="E300" s="56"/>
      <c r="F300" s="56"/>
      <c r="T300" s="54"/>
      <c r="U300" s="54"/>
      <c r="AC300" s="54"/>
      <c r="AE300" s="54"/>
      <c r="AG300" s="54"/>
      <c r="AH300" s="54"/>
      <c r="AI300" s="54"/>
      <c r="AJ300" s="54"/>
    </row>
    <row r="301" ht="14.25" customHeight="1">
      <c r="E301" s="56"/>
      <c r="F301" s="56"/>
      <c r="T301" s="54"/>
      <c r="U301" s="54"/>
      <c r="AC301" s="54"/>
      <c r="AE301" s="54"/>
      <c r="AG301" s="54"/>
      <c r="AH301" s="54"/>
      <c r="AI301" s="54"/>
      <c r="AJ301" s="54"/>
    </row>
    <row r="302" ht="14.25" customHeight="1">
      <c r="E302" s="56"/>
      <c r="F302" s="56"/>
      <c r="T302" s="54"/>
      <c r="U302" s="54"/>
      <c r="AC302" s="54"/>
      <c r="AE302" s="54"/>
      <c r="AG302" s="54"/>
      <c r="AH302" s="54"/>
      <c r="AI302" s="54"/>
      <c r="AJ302" s="54"/>
    </row>
    <row r="303" ht="14.25" customHeight="1">
      <c r="E303" s="56"/>
      <c r="F303" s="56"/>
      <c r="T303" s="54"/>
      <c r="U303" s="54"/>
      <c r="AC303" s="54"/>
      <c r="AE303" s="54"/>
      <c r="AG303" s="54"/>
      <c r="AH303" s="54"/>
      <c r="AI303" s="54"/>
      <c r="AJ303" s="54"/>
    </row>
    <row r="304" ht="14.25" customHeight="1">
      <c r="E304" s="56"/>
      <c r="F304" s="56"/>
      <c r="T304" s="54"/>
      <c r="U304" s="54"/>
      <c r="AC304" s="54"/>
      <c r="AE304" s="54"/>
      <c r="AG304" s="54"/>
      <c r="AH304" s="54"/>
      <c r="AI304" s="54"/>
      <c r="AJ304" s="54"/>
    </row>
    <row r="305" ht="14.25" customHeight="1">
      <c r="E305" s="56"/>
      <c r="F305" s="56"/>
      <c r="T305" s="54"/>
      <c r="U305" s="54"/>
      <c r="AC305" s="54"/>
      <c r="AE305" s="54"/>
      <c r="AG305" s="54"/>
      <c r="AH305" s="54"/>
      <c r="AI305" s="54"/>
      <c r="AJ305" s="54"/>
    </row>
    <row r="306" ht="14.25" customHeight="1">
      <c r="E306" s="56"/>
      <c r="F306" s="56"/>
      <c r="T306" s="54"/>
      <c r="U306" s="54"/>
      <c r="AC306" s="54"/>
      <c r="AE306" s="54"/>
      <c r="AG306" s="54"/>
      <c r="AH306" s="54"/>
      <c r="AI306" s="54"/>
      <c r="AJ306" s="54"/>
    </row>
    <row r="307" ht="14.25" customHeight="1">
      <c r="E307" s="56"/>
      <c r="F307" s="56"/>
      <c r="T307" s="54"/>
      <c r="U307" s="54"/>
      <c r="AC307" s="54"/>
      <c r="AE307" s="54"/>
      <c r="AG307" s="54"/>
      <c r="AH307" s="54"/>
      <c r="AI307" s="54"/>
      <c r="AJ307" s="54"/>
    </row>
    <row r="308" ht="14.25" customHeight="1">
      <c r="E308" s="56"/>
      <c r="F308" s="56"/>
      <c r="T308" s="54"/>
      <c r="U308" s="54"/>
      <c r="AC308" s="54"/>
      <c r="AE308" s="54"/>
      <c r="AG308" s="54"/>
      <c r="AH308" s="54"/>
      <c r="AI308" s="54"/>
      <c r="AJ308" s="54"/>
    </row>
    <row r="309" ht="14.25" customHeight="1">
      <c r="E309" s="56"/>
      <c r="F309" s="56"/>
      <c r="T309" s="54"/>
      <c r="U309" s="54"/>
      <c r="AC309" s="54"/>
      <c r="AE309" s="54"/>
      <c r="AG309" s="54"/>
      <c r="AH309" s="54"/>
      <c r="AI309" s="54"/>
      <c r="AJ309" s="54"/>
    </row>
    <row r="310" ht="14.25" customHeight="1">
      <c r="E310" s="56"/>
      <c r="F310" s="56"/>
      <c r="T310" s="54"/>
      <c r="U310" s="54"/>
      <c r="AC310" s="54"/>
      <c r="AE310" s="54"/>
      <c r="AG310" s="54"/>
      <c r="AH310" s="54"/>
      <c r="AI310" s="54"/>
      <c r="AJ310" s="54"/>
    </row>
    <row r="311" ht="14.25" customHeight="1">
      <c r="E311" s="56"/>
      <c r="F311" s="56"/>
      <c r="T311" s="54"/>
      <c r="U311" s="54"/>
      <c r="AC311" s="54"/>
      <c r="AE311" s="54"/>
      <c r="AG311" s="54"/>
      <c r="AH311" s="54"/>
      <c r="AI311" s="54"/>
      <c r="AJ311" s="54"/>
    </row>
    <row r="312" ht="14.25" customHeight="1">
      <c r="E312" s="56"/>
      <c r="F312" s="56"/>
      <c r="T312" s="54"/>
      <c r="U312" s="54"/>
      <c r="AC312" s="54"/>
      <c r="AE312" s="54"/>
      <c r="AG312" s="54"/>
      <c r="AH312" s="54"/>
      <c r="AI312" s="54"/>
      <c r="AJ312" s="54"/>
    </row>
    <row r="313" ht="14.25" customHeight="1">
      <c r="E313" s="56"/>
      <c r="F313" s="56"/>
      <c r="T313" s="54"/>
      <c r="U313" s="54"/>
      <c r="AC313" s="54"/>
      <c r="AE313" s="54"/>
      <c r="AG313" s="54"/>
      <c r="AH313" s="54"/>
      <c r="AI313" s="54"/>
      <c r="AJ313" s="54"/>
    </row>
    <row r="314" ht="14.25" customHeight="1">
      <c r="E314" s="56"/>
      <c r="F314" s="56"/>
      <c r="T314" s="54"/>
      <c r="U314" s="54"/>
      <c r="AC314" s="54"/>
      <c r="AE314" s="54"/>
      <c r="AG314" s="54"/>
      <c r="AH314" s="54"/>
      <c r="AI314" s="54"/>
      <c r="AJ314" s="54"/>
    </row>
    <row r="315" ht="14.25" customHeight="1">
      <c r="E315" s="56"/>
      <c r="F315" s="56"/>
      <c r="T315" s="54"/>
      <c r="U315" s="54"/>
      <c r="AC315" s="54"/>
      <c r="AE315" s="54"/>
      <c r="AG315" s="54"/>
      <c r="AH315" s="54"/>
      <c r="AI315" s="54"/>
      <c r="AJ315" s="54"/>
    </row>
    <row r="316" ht="14.25" customHeight="1">
      <c r="E316" s="56"/>
      <c r="F316" s="56"/>
      <c r="T316" s="54"/>
      <c r="U316" s="54"/>
      <c r="AC316" s="54"/>
      <c r="AE316" s="54"/>
      <c r="AG316" s="54"/>
      <c r="AH316" s="54"/>
      <c r="AI316" s="54"/>
      <c r="AJ316" s="54"/>
    </row>
    <row r="317" ht="14.25" customHeight="1">
      <c r="E317" s="56"/>
      <c r="F317" s="56"/>
      <c r="T317" s="54"/>
      <c r="U317" s="54"/>
      <c r="AC317" s="54"/>
      <c r="AE317" s="54"/>
      <c r="AG317" s="54"/>
      <c r="AH317" s="54"/>
      <c r="AI317" s="54"/>
      <c r="AJ317" s="54"/>
    </row>
    <row r="318" ht="14.25" customHeight="1">
      <c r="E318" s="56"/>
      <c r="F318" s="56"/>
      <c r="T318" s="54"/>
      <c r="U318" s="54"/>
      <c r="AC318" s="54"/>
      <c r="AE318" s="54"/>
      <c r="AG318" s="54"/>
      <c r="AH318" s="54"/>
      <c r="AI318" s="54"/>
      <c r="AJ318" s="54"/>
    </row>
    <row r="319" ht="14.25" customHeight="1">
      <c r="E319" s="56"/>
      <c r="F319" s="56"/>
      <c r="T319" s="54"/>
      <c r="U319" s="54"/>
      <c r="AC319" s="54"/>
      <c r="AE319" s="54"/>
      <c r="AG319" s="54"/>
      <c r="AH319" s="54"/>
      <c r="AI319" s="54"/>
      <c r="AJ319" s="54"/>
    </row>
    <row r="320" ht="14.25" customHeight="1">
      <c r="E320" s="56"/>
      <c r="F320" s="56"/>
      <c r="T320" s="54"/>
      <c r="U320" s="54"/>
      <c r="AC320" s="54"/>
      <c r="AE320" s="54"/>
      <c r="AG320" s="54"/>
      <c r="AH320" s="54"/>
      <c r="AI320" s="54"/>
      <c r="AJ320" s="54"/>
    </row>
    <row r="321" ht="14.25" customHeight="1">
      <c r="E321" s="56"/>
      <c r="F321" s="56"/>
      <c r="T321" s="54"/>
      <c r="U321" s="54"/>
      <c r="AC321" s="54"/>
      <c r="AE321" s="54"/>
      <c r="AG321" s="54"/>
      <c r="AH321" s="54"/>
      <c r="AI321" s="54"/>
      <c r="AJ321" s="54"/>
    </row>
    <row r="322" ht="14.25" customHeight="1">
      <c r="E322" s="56"/>
      <c r="F322" s="56"/>
      <c r="T322" s="54"/>
      <c r="U322" s="54"/>
      <c r="AC322" s="54"/>
      <c r="AE322" s="54"/>
      <c r="AG322" s="54"/>
      <c r="AH322" s="54"/>
      <c r="AI322" s="54"/>
      <c r="AJ322" s="54"/>
    </row>
    <row r="323" ht="14.25" customHeight="1">
      <c r="E323" s="56"/>
      <c r="F323" s="56"/>
      <c r="T323" s="54"/>
      <c r="U323" s="54"/>
      <c r="AC323" s="54"/>
      <c r="AE323" s="54"/>
      <c r="AG323" s="54"/>
      <c r="AH323" s="54"/>
      <c r="AI323" s="54"/>
      <c r="AJ323" s="54"/>
    </row>
    <row r="324" ht="14.25" customHeight="1">
      <c r="E324" s="56"/>
      <c r="F324" s="56"/>
      <c r="T324" s="54"/>
      <c r="U324" s="54"/>
      <c r="AC324" s="54"/>
      <c r="AE324" s="54"/>
      <c r="AG324" s="54"/>
      <c r="AH324" s="54"/>
      <c r="AI324" s="54"/>
      <c r="AJ324" s="54"/>
    </row>
    <row r="325" ht="14.25" customHeight="1">
      <c r="E325" s="56"/>
      <c r="F325" s="56"/>
      <c r="T325" s="54"/>
      <c r="U325" s="54"/>
      <c r="AC325" s="54"/>
      <c r="AE325" s="54"/>
      <c r="AG325" s="54"/>
      <c r="AH325" s="54"/>
      <c r="AI325" s="54"/>
      <c r="AJ325" s="54"/>
    </row>
    <row r="326" ht="14.25" customHeight="1">
      <c r="E326" s="56"/>
      <c r="F326" s="56"/>
      <c r="T326" s="54"/>
      <c r="U326" s="54"/>
      <c r="AC326" s="54"/>
      <c r="AE326" s="54"/>
      <c r="AG326" s="54"/>
      <c r="AH326" s="54"/>
      <c r="AI326" s="54"/>
      <c r="AJ326" s="54"/>
    </row>
    <row r="327" ht="14.25" customHeight="1">
      <c r="E327" s="56"/>
      <c r="F327" s="56"/>
      <c r="T327" s="54"/>
      <c r="U327" s="54"/>
      <c r="AC327" s="54"/>
      <c r="AE327" s="54"/>
      <c r="AG327" s="54"/>
      <c r="AH327" s="54"/>
      <c r="AI327" s="54"/>
      <c r="AJ327" s="54"/>
    </row>
    <row r="328" ht="14.25" customHeight="1">
      <c r="E328" s="56"/>
      <c r="F328" s="56"/>
      <c r="T328" s="54"/>
      <c r="U328" s="54"/>
      <c r="AC328" s="54"/>
      <c r="AE328" s="54"/>
      <c r="AG328" s="54"/>
      <c r="AH328" s="54"/>
      <c r="AI328" s="54"/>
      <c r="AJ328" s="54"/>
    </row>
    <row r="329" ht="14.25" customHeight="1">
      <c r="E329" s="56"/>
      <c r="F329" s="56"/>
      <c r="T329" s="54"/>
      <c r="U329" s="54"/>
      <c r="AC329" s="54"/>
      <c r="AE329" s="54"/>
      <c r="AG329" s="54"/>
      <c r="AH329" s="54"/>
      <c r="AI329" s="54"/>
      <c r="AJ329" s="54"/>
    </row>
    <row r="330" ht="14.25" customHeight="1">
      <c r="E330" s="56"/>
      <c r="F330" s="56"/>
      <c r="T330" s="54"/>
      <c r="U330" s="54"/>
      <c r="AC330" s="54"/>
      <c r="AE330" s="54"/>
      <c r="AG330" s="54"/>
      <c r="AH330" s="54"/>
      <c r="AI330" s="54"/>
      <c r="AJ330" s="54"/>
    </row>
    <row r="331" ht="14.25" customHeight="1">
      <c r="E331" s="56"/>
      <c r="F331" s="56"/>
      <c r="T331" s="54"/>
      <c r="U331" s="54"/>
      <c r="AC331" s="54"/>
      <c r="AE331" s="54"/>
      <c r="AG331" s="54"/>
      <c r="AH331" s="54"/>
      <c r="AI331" s="54"/>
      <c r="AJ331" s="54"/>
    </row>
    <row r="332" ht="14.25" customHeight="1">
      <c r="E332" s="56"/>
      <c r="F332" s="56"/>
      <c r="T332" s="54"/>
      <c r="U332" s="54"/>
      <c r="AC332" s="54"/>
      <c r="AE332" s="54"/>
      <c r="AG332" s="54"/>
      <c r="AH332" s="54"/>
      <c r="AI332" s="54"/>
      <c r="AJ332" s="54"/>
    </row>
    <row r="333" ht="14.25" customHeight="1">
      <c r="E333" s="56"/>
      <c r="F333" s="56"/>
      <c r="T333" s="54"/>
      <c r="U333" s="54"/>
      <c r="AC333" s="54"/>
      <c r="AE333" s="54"/>
      <c r="AG333" s="54"/>
      <c r="AH333" s="54"/>
      <c r="AI333" s="54"/>
      <c r="AJ333" s="54"/>
    </row>
    <row r="334" ht="14.25" customHeight="1">
      <c r="E334" s="56"/>
      <c r="F334" s="56"/>
      <c r="T334" s="54"/>
      <c r="U334" s="54"/>
      <c r="AC334" s="54"/>
      <c r="AE334" s="54"/>
      <c r="AG334" s="54"/>
      <c r="AH334" s="54"/>
      <c r="AI334" s="54"/>
      <c r="AJ334" s="54"/>
    </row>
    <row r="335" ht="14.25" customHeight="1">
      <c r="E335" s="56"/>
      <c r="F335" s="56"/>
      <c r="T335" s="54"/>
      <c r="U335" s="54"/>
      <c r="AC335" s="54"/>
      <c r="AE335" s="54"/>
      <c r="AG335" s="54"/>
      <c r="AH335" s="54"/>
      <c r="AI335" s="54"/>
      <c r="AJ335" s="54"/>
    </row>
    <row r="336" ht="14.25" customHeight="1">
      <c r="E336" s="56"/>
      <c r="F336" s="56"/>
      <c r="T336" s="54"/>
      <c r="U336" s="54"/>
      <c r="AC336" s="54"/>
      <c r="AE336" s="54"/>
      <c r="AG336" s="54"/>
      <c r="AH336" s="54"/>
      <c r="AI336" s="54"/>
      <c r="AJ336" s="54"/>
    </row>
    <row r="337" ht="14.25" customHeight="1">
      <c r="E337" s="56"/>
      <c r="F337" s="56"/>
      <c r="T337" s="54"/>
      <c r="U337" s="54"/>
      <c r="AC337" s="54"/>
      <c r="AE337" s="54"/>
      <c r="AG337" s="54"/>
      <c r="AH337" s="54"/>
      <c r="AI337" s="54"/>
      <c r="AJ337" s="54"/>
    </row>
    <row r="338" ht="14.25" customHeight="1">
      <c r="E338" s="56"/>
      <c r="F338" s="56"/>
      <c r="T338" s="54"/>
      <c r="U338" s="54"/>
      <c r="AC338" s="54"/>
      <c r="AE338" s="54"/>
      <c r="AG338" s="54"/>
      <c r="AH338" s="54"/>
      <c r="AI338" s="54"/>
      <c r="AJ338" s="54"/>
    </row>
    <row r="339" ht="14.25" customHeight="1">
      <c r="E339" s="56"/>
      <c r="F339" s="56"/>
      <c r="T339" s="54"/>
      <c r="U339" s="54"/>
      <c r="AC339" s="54"/>
      <c r="AE339" s="54"/>
      <c r="AG339" s="54"/>
      <c r="AH339" s="54"/>
      <c r="AI339" s="54"/>
      <c r="AJ339" s="54"/>
    </row>
    <row r="340" ht="14.25" customHeight="1">
      <c r="E340" s="56"/>
      <c r="F340" s="56"/>
      <c r="T340" s="54"/>
      <c r="U340" s="54"/>
      <c r="AC340" s="54"/>
      <c r="AE340" s="54"/>
      <c r="AG340" s="54"/>
      <c r="AH340" s="54"/>
      <c r="AI340" s="54"/>
      <c r="AJ340" s="54"/>
    </row>
    <row r="341" ht="14.25" customHeight="1">
      <c r="E341" s="56"/>
      <c r="F341" s="56"/>
      <c r="T341" s="54"/>
      <c r="U341" s="54"/>
      <c r="AC341" s="54"/>
      <c r="AE341" s="54"/>
      <c r="AG341" s="54"/>
      <c r="AH341" s="54"/>
      <c r="AI341" s="54"/>
      <c r="AJ341" s="54"/>
    </row>
    <row r="342" ht="14.25" customHeight="1">
      <c r="E342" s="56"/>
      <c r="F342" s="56"/>
      <c r="T342" s="54"/>
      <c r="U342" s="54"/>
      <c r="AC342" s="54"/>
      <c r="AE342" s="54"/>
      <c r="AG342" s="54"/>
      <c r="AH342" s="54"/>
      <c r="AI342" s="54"/>
      <c r="AJ342" s="54"/>
    </row>
    <row r="343" ht="14.25" customHeight="1">
      <c r="E343" s="56"/>
      <c r="F343" s="56"/>
      <c r="T343" s="54"/>
      <c r="U343" s="54"/>
      <c r="AC343" s="54"/>
      <c r="AE343" s="54"/>
      <c r="AG343" s="54"/>
      <c r="AH343" s="54"/>
      <c r="AI343" s="54"/>
      <c r="AJ343" s="54"/>
    </row>
    <row r="344" ht="14.25" customHeight="1">
      <c r="E344" s="56"/>
      <c r="F344" s="56"/>
      <c r="T344" s="54"/>
      <c r="U344" s="54"/>
      <c r="AC344" s="54"/>
      <c r="AE344" s="54"/>
      <c r="AG344" s="54"/>
      <c r="AH344" s="54"/>
      <c r="AI344" s="54"/>
      <c r="AJ344" s="54"/>
    </row>
    <row r="345" ht="14.25" customHeight="1">
      <c r="E345" s="56"/>
      <c r="F345" s="56"/>
      <c r="T345" s="54"/>
      <c r="U345" s="54"/>
      <c r="AC345" s="54"/>
      <c r="AE345" s="54"/>
      <c r="AG345" s="54"/>
      <c r="AH345" s="54"/>
      <c r="AI345" s="54"/>
      <c r="AJ345" s="54"/>
    </row>
    <row r="346" ht="14.25" customHeight="1">
      <c r="E346" s="56"/>
      <c r="F346" s="56"/>
      <c r="T346" s="54"/>
      <c r="U346" s="54"/>
      <c r="AC346" s="54"/>
      <c r="AE346" s="54"/>
      <c r="AG346" s="54"/>
      <c r="AH346" s="54"/>
      <c r="AI346" s="54"/>
      <c r="AJ346" s="54"/>
    </row>
    <row r="347" ht="14.25" customHeight="1">
      <c r="E347" s="56"/>
      <c r="F347" s="56"/>
      <c r="T347" s="54"/>
      <c r="U347" s="54"/>
      <c r="AC347" s="54"/>
      <c r="AE347" s="54"/>
      <c r="AG347" s="54"/>
      <c r="AH347" s="54"/>
      <c r="AI347" s="54"/>
      <c r="AJ347" s="54"/>
    </row>
    <row r="348" ht="14.25" customHeight="1">
      <c r="E348" s="56"/>
      <c r="F348" s="56"/>
      <c r="T348" s="54"/>
      <c r="U348" s="54"/>
      <c r="AC348" s="54"/>
      <c r="AE348" s="54"/>
      <c r="AG348" s="54"/>
      <c r="AH348" s="54"/>
      <c r="AI348" s="54"/>
      <c r="AJ348" s="54"/>
    </row>
    <row r="349" ht="14.25" customHeight="1">
      <c r="E349" s="56"/>
      <c r="F349" s="56"/>
      <c r="T349" s="54"/>
      <c r="U349" s="54"/>
      <c r="AC349" s="54"/>
      <c r="AE349" s="54"/>
      <c r="AG349" s="54"/>
      <c r="AH349" s="54"/>
      <c r="AI349" s="54"/>
      <c r="AJ349" s="54"/>
    </row>
    <row r="350" ht="14.25" customHeight="1">
      <c r="E350" s="56"/>
      <c r="F350" s="56"/>
      <c r="T350" s="54"/>
      <c r="U350" s="54"/>
      <c r="AC350" s="54"/>
      <c r="AE350" s="54"/>
      <c r="AG350" s="54"/>
      <c r="AH350" s="54"/>
      <c r="AI350" s="54"/>
      <c r="AJ350" s="54"/>
    </row>
    <row r="351" ht="14.25" customHeight="1">
      <c r="E351" s="56"/>
      <c r="F351" s="56"/>
      <c r="T351" s="54"/>
      <c r="U351" s="54"/>
      <c r="AC351" s="54"/>
      <c r="AE351" s="54"/>
      <c r="AG351" s="54"/>
      <c r="AH351" s="54"/>
      <c r="AI351" s="54"/>
      <c r="AJ351" s="54"/>
    </row>
    <row r="352" ht="14.25" customHeight="1">
      <c r="E352" s="56"/>
      <c r="F352" s="56"/>
      <c r="T352" s="54"/>
      <c r="U352" s="54"/>
      <c r="AC352" s="54"/>
      <c r="AE352" s="54"/>
      <c r="AG352" s="54"/>
      <c r="AH352" s="54"/>
      <c r="AI352" s="54"/>
      <c r="AJ352" s="54"/>
    </row>
    <row r="353" ht="14.25" customHeight="1">
      <c r="E353" s="56"/>
      <c r="F353" s="56"/>
      <c r="T353" s="54"/>
      <c r="U353" s="54"/>
      <c r="AC353" s="54"/>
      <c r="AE353" s="54"/>
      <c r="AG353" s="54"/>
      <c r="AH353" s="54"/>
      <c r="AI353" s="54"/>
      <c r="AJ353" s="54"/>
    </row>
    <row r="354" ht="14.25" customHeight="1">
      <c r="E354" s="56"/>
      <c r="F354" s="56"/>
      <c r="T354" s="54"/>
      <c r="U354" s="54"/>
      <c r="AC354" s="54"/>
      <c r="AE354" s="54"/>
      <c r="AG354" s="54"/>
      <c r="AH354" s="54"/>
      <c r="AI354" s="54"/>
      <c r="AJ354" s="54"/>
    </row>
    <row r="355" ht="14.25" customHeight="1">
      <c r="E355" s="56"/>
      <c r="F355" s="56"/>
      <c r="T355" s="54"/>
      <c r="U355" s="54"/>
      <c r="AC355" s="54"/>
      <c r="AE355" s="54"/>
      <c r="AG355" s="54"/>
      <c r="AH355" s="54"/>
      <c r="AI355" s="54"/>
      <c r="AJ355" s="54"/>
    </row>
    <row r="356" ht="14.25" customHeight="1">
      <c r="E356" s="56"/>
      <c r="F356" s="56"/>
      <c r="T356" s="54"/>
      <c r="U356" s="54"/>
      <c r="AC356" s="54"/>
      <c r="AE356" s="54"/>
      <c r="AG356" s="54"/>
      <c r="AH356" s="54"/>
      <c r="AI356" s="54"/>
      <c r="AJ356" s="54"/>
    </row>
    <row r="357" ht="14.25" customHeight="1">
      <c r="E357" s="56"/>
      <c r="F357" s="56"/>
      <c r="T357" s="54"/>
      <c r="U357" s="54"/>
      <c r="AC357" s="54"/>
      <c r="AE357" s="54"/>
      <c r="AG357" s="54"/>
      <c r="AH357" s="54"/>
      <c r="AI357" s="54"/>
      <c r="AJ357" s="54"/>
    </row>
    <row r="358" ht="14.25" customHeight="1">
      <c r="E358" s="56"/>
      <c r="F358" s="56"/>
      <c r="T358" s="54"/>
      <c r="U358" s="54"/>
      <c r="AC358" s="54"/>
      <c r="AE358" s="54"/>
      <c r="AG358" s="54"/>
      <c r="AH358" s="54"/>
      <c r="AI358" s="54"/>
      <c r="AJ358" s="54"/>
    </row>
    <row r="359" ht="14.25" customHeight="1">
      <c r="E359" s="56"/>
      <c r="F359" s="56"/>
      <c r="T359" s="54"/>
      <c r="U359" s="54"/>
      <c r="AC359" s="54"/>
      <c r="AE359" s="54"/>
      <c r="AG359" s="54"/>
      <c r="AH359" s="54"/>
      <c r="AI359" s="54"/>
      <c r="AJ359" s="54"/>
    </row>
    <row r="360" ht="14.25" customHeight="1">
      <c r="E360" s="56"/>
      <c r="F360" s="56"/>
      <c r="T360" s="54"/>
      <c r="U360" s="54"/>
      <c r="AC360" s="54"/>
      <c r="AE360" s="54"/>
      <c r="AG360" s="54"/>
      <c r="AH360" s="54"/>
      <c r="AI360" s="54"/>
      <c r="AJ360" s="54"/>
    </row>
    <row r="361" ht="14.25" customHeight="1">
      <c r="E361" s="56"/>
      <c r="F361" s="56"/>
      <c r="T361" s="54"/>
      <c r="U361" s="54"/>
      <c r="AC361" s="54"/>
      <c r="AE361" s="54"/>
      <c r="AG361" s="54"/>
      <c r="AH361" s="54"/>
      <c r="AI361" s="54"/>
      <c r="AJ361" s="54"/>
    </row>
    <row r="362" ht="14.25" customHeight="1">
      <c r="E362" s="56"/>
      <c r="F362" s="56"/>
      <c r="T362" s="54"/>
      <c r="U362" s="54"/>
      <c r="AC362" s="54"/>
      <c r="AE362" s="54"/>
      <c r="AG362" s="54"/>
      <c r="AH362" s="54"/>
      <c r="AI362" s="54"/>
      <c r="AJ362" s="54"/>
    </row>
    <row r="363" ht="14.25" customHeight="1">
      <c r="E363" s="56"/>
      <c r="F363" s="56"/>
      <c r="T363" s="54"/>
      <c r="U363" s="54"/>
      <c r="AC363" s="54"/>
      <c r="AE363" s="54"/>
      <c r="AG363" s="54"/>
      <c r="AH363" s="54"/>
      <c r="AI363" s="54"/>
      <c r="AJ363" s="54"/>
    </row>
    <row r="364" ht="14.25" customHeight="1">
      <c r="E364" s="56"/>
      <c r="F364" s="56"/>
      <c r="T364" s="54"/>
      <c r="U364" s="54"/>
      <c r="AC364" s="54"/>
      <c r="AE364" s="54"/>
      <c r="AG364" s="54"/>
      <c r="AH364" s="54"/>
      <c r="AI364" s="54"/>
      <c r="AJ364" s="54"/>
    </row>
    <row r="365" ht="14.25" customHeight="1">
      <c r="E365" s="56"/>
      <c r="F365" s="56"/>
      <c r="T365" s="54"/>
      <c r="U365" s="54"/>
      <c r="AC365" s="54"/>
      <c r="AE365" s="54"/>
      <c r="AG365" s="54"/>
      <c r="AH365" s="54"/>
      <c r="AI365" s="54"/>
      <c r="AJ365" s="54"/>
    </row>
    <row r="366" ht="14.25" customHeight="1">
      <c r="E366" s="56"/>
      <c r="F366" s="56"/>
      <c r="T366" s="54"/>
      <c r="U366" s="54"/>
      <c r="AC366" s="54"/>
      <c r="AE366" s="54"/>
      <c r="AG366" s="54"/>
      <c r="AH366" s="54"/>
      <c r="AI366" s="54"/>
      <c r="AJ366" s="54"/>
    </row>
    <row r="367" ht="14.25" customHeight="1">
      <c r="E367" s="56"/>
      <c r="F367" s="56"/>
      <c r="T367" s="54"/>
      <c r="U367" s="54"/>
      <c r="AC367" s="54"/>
      <c r="AE367" s="54"/>
      <c r="AG367" s="54"/>
      <c r="AH367" s="54"/>
      <c r="AI367" s="54"/>
      <c r="AJ367" s="54"/>
    </row>
    <row r="368" ht="14.25" customHeight="1">
      <c r="E368" s="56"/>
      <c r="F368" s="56"/>
      <c r="T368" s="54"/>
      <c r="U368" s="54"/>
      <c r="AC368" s="54"/>
      <c r="AE368" s="54"/>
      <c r="AG368" s="54"/>
      <c r="AH368" s="54"/>
      <c r="AI368" s="54"/>
      <c r="AJ368" s="54"/>
    </row>
    <row r="369" ht="14.25" customHeight="1">
      <c r="E369" s="56"/>
      <c r="F369" s="56"/>
      <c r="T369" s="54"/>
      <c r="U369" s="54"/>
      <c r="AC369" s="54"/>
      <c r="AE369" s="54"/>
      <c r="AG369" s="54"/>
      <c r="AH369" s="54"/>
      <c r="AI369" s="54"/>
      <c r="AJ369" s="54"/>
    </row>
    <row r="370" ht="14.25" customHeight="1">
      <c r="E370" s="56"/>
      <c r="F370" s="56"/>
      <c r="T370" s="54"/>
      <c r="U370" s="54"/>
      <c r="AC370" s="54"/>
      <c r="AE370" s="54"/>
      <c r="AG370" s="54"/>
      <c r="AH370" s="54"/>
      <c r="AI370" s="54"/>
      <c r="AJ370" s="54"/>
    </row>
    <row r="371" ht="14.25" customHeight="1">
      <c r="E371" s="56"/>
      <c r="F371" s="56"/>
      <c r="T371" s="54"/>
      <c r="U371" s="54"/>
      <c r="AC371" s="54"/>
      <c r="AE371" s="54"/>
      <c r="AG371" s="54"/>
      <c r="AH371" s="54"/>
      <c r="AI371" s="54"/>
      <c r="AJ371" s="54"/>
    </row>
    <row r="372" ht="14.25" customHeight="1">
      <c r="E372" s="56"/>
      <c r="F372" s="56"/>
      <c r="T372" s="54"/>
      <c r="U372" s="54"/>
      <c r="AC372" s="54"/>
      <c r="AE372" s="54"/>
      <c r="AG372" s="54"/>
      <c r="AH372" s="54"/>
      <c r="AI372" s="54"/>
      <c r="AJ372" s="54"/>
    </row>
    <row r="373" ht="14.25" customHeight="1">
      <c r="E373" s="56"/>
      <c r="F373" s="56"/>
      <c r="T373" s="54"/>
      <c r="U373" s="54"/>
      <c r="AC373" s="54"/>
      <c r="AE373" s="54"/>
      <c r="AG373" s="54"/>
      <c r="AH373" s="54"/>
      <c r="AI373" s="54"/>
      <c r="AJ373" s="54"/>
    </row>
    <row r="374" ht="14.25" customHeight="1">
      <c r="E374" s="56"/>
      <c r="F374" s="56"/>
      <c r="T374" s="54"/>
      <c r="U374" s="54"/>
      <c r="AC374" s="54"/>
      <c r="AE374" s="54"/>
      <c r="AG374" s="54"/>
      <c r="AH374" s="54"/>
      <c r="AI374" s="54"/>
      <c r="AJ374" s="54"/>
    </row>
    <row r="375" ht="14.25" customHeight="1">
      <c r="E375" s="56"/>
      <c r="F375" s="56"/>
      <c r="T375" s="54"/>
      <c r="U375" s="54"/>
      <c r="AC375" s="54"/>
      <c r="AE375" s="54"/>
      <c r="AG375" s="54"/>
      <c r="AH375" s="54"/>
      <c r="AI375" s="54"/>
      <c r="AJ375" s="54"/>
    </row>
    <row r="376" ht="14.25" customHeight="1">
      <c r="E376" s="56"/>
      <c r="F376" s="56"/>
      <c r="T376" s="54"/>
      <c r="U376" s="54"/>
      <c r="AC376" s="54"/>
      <c r="AE376" s="54"/>
      <c r="AG376" s="54"/>
      <c r="AH376" s="54"/>
      <c r="AI376" s="54"/>
      <c r="AJ376" s="54"/>
    </row>
    <row r="377" ht="14.25" customHeight="1">
      <c r="E377" s="56"/>
      <c r="F377" s="56"/>
      <c r="T377" s="54"/>
      <c r="U377" s="54"/>
      <c r="AC377" s="54"/>
      <c r="AE377" s="54"/>
      <c r="AG377" s="54"/>
      <c r="AH377" s="54"/>
      <c r="AI377" s="54"/>
      <c r="AJ377" s="54"/>
    </row>
    <row r="378" ht="14.25" customHeight="1">
      <c r="E378" s="56"/>
      <c r="F378" s="56"/>
      <c r="T378" s="54"/>
      <c r="U378" s="54"/>
      <c r="AC378" s="54"/>
      <c r="AE378" s="54"/>
      <c r="AG378" s="54"/>
      <c r="AH378" s="54"/>
      <c r="AI378" s="54"/>
      <c r="AJ378" s="54"/>
    </row>
    <row r="379" ht="14.25" customHeight="1">
      <c r="E379" s="56"/>
      <c r="F379" s="56"/>
      <c r="T379" s="54"/>
      <c r="U379" s="54"/>
      <c r="AC379" s="54"/>
      <c r="AE379" s="54"/>
      <c r="AG379" s="54"/>
      <c r="AH379" s="54"/>
      <c r="AI379" s="54"/>
      <c r="AJ379" s="54"/>
    </row>
    <row r="380" ht="14.25" customHeight="1">
      <c r="E380" s="56"/>
      <c r="F380" s="56"/>
      <c r="T380" s="54"/>
      <c r="U380" s="54"/>
      <c r="AC380" s="54"/>
      <c r="AE380" s="54"/>
      <c r="AG380" s="54"/>
      <c r="AH380" s="54"/>
      <c r="AI380" s="54"/>
      <c r="AJ380" s="54"/>
    </row>
    <row r="381" ht="14.25" customHeight="1">
      <c r="E381" s="56"/>
      <c r="F381" s="56"/>
      <c r="T381" s="54"/>
      <c r="U381" s="54"/>
      <c r="AC381" s="54"/>
      <c r="AE381" s="54"/>
      <c r="AG381" s="54"/>
      <c r="AH381" s="54"/>
      <c r="AI381" s="54"/>
      <c r="AJ381" s="54"/>
    </row>
    <row r="382" ht="14.25" customHeight="1">
      <c r="E382" s="56"/>
      <c r="F382" s="56"/>
      <c r="T382" s="54"/>
      <c r="U382" s="54"/>
      <c r="AC382" s="54"/>
      <c r="AE382" s="54"/>
      <c r="AG382" s="54"/>
      <c r="AH382" s="54"/>
      <c r="AI382" s="54"/>
      <c r="AJ382" s="54"/>
    </row>
    <row r="383" ht="14.25" customHeight="1">
      <c r="E383" s="56"/>
      <c r="F383" s="56"/>
      <c r="T383" s="54"/>
      <c r="U383" s="54"/>
      <c r="AC383" s="54"/>
      <c r="AE383" s="54"/>
      <c r="AG383" s="54"/>
      <c r="AH383" s="54"/>
      <c r="AI383" s="54"/>
      <c r="AJ383" s="54"/>
    </row>
    <row r="384" ht="14.25" customHeight="1">
      <c r="E384" s="56"/>
      <c r="F384" s="56"/>
      <c r="T384" s="54"/>
      <c r="U384" s="54"/>
      <c r="AC384" s="54"/>
      <c r="AE384" s="54"/>
      <c r="AG384" s="54"/>
      <c r="AH384" s="54"/>
      <c r="AI384" s="54"/>
      <c r="AJ384" s="54"/>
    </row>
    <row r="385" ht="14.25" customHeight="1">
      <c r="E385" s="56"/>
      <c r="F385" s="56"/>
      <c r="T385" s="54"/>
      <c r="U385" s="54"/>
      <c r="AC385" s="54"/>
      <c r="AE385" s="54"/>
      <c r="AG385" s="54"/>
      <c r="AH385" s="54"/>
      <c r="AI385" s="54"/>
      <c r="AJ385" s="54"/>
    </row>
    <row r="386" ht="14.25" customHeight="1">
      <c r="E386" s="56"/>
      <c r="F386" s="56"/>
      <c r="T386" s="54"/>
      <c r="U386" s="54"/>
      <c r="AC386" s="54"/>
      <c r="AE386" s="54"/>
      <c r="AG386" s="54"/>
      <c r="AH386" s="54"/>
      <c r="AI386" s="54"/>
      <c r="AJ386" s="54"/>
    </row>
    <row r="387" ht="14.25" customHeight="1">
      <c r="E387" s="56"/>
      <c r="F387" s="56"/>
      <c r="T387" s="54"/>
      <c r="U387" s="54"/>
      <c r="AC387" s="54"/>
      <c r="AE387" s="54"/>
      <c r="AG387" s="54"/>
      <c r="AH387" s="54"/>
      <c r="AI387" s="54"/>
      <c r="AJ387" s="54"/>
    </row>
    <row r="388" ht="14.25" customHeight="1">
      <c r="E388" s="56"/>
      <c r="F388" s="56"/>
      <c r="T388" s="54"/>
      <c r="U388" s="54"/>
      <c r="AC388" s="54"/>
      <c r="AE388" s="54"/>
      <c r="AG388" s="54"/>
      <c r="AH388" s="54"/>
      <c r="AI388" s="54"/>
      <c r="AJ388" s="54"/>
    </row>
    <row r="389" ht="14.25" customHeight="1">
      <c r="E389" s="56"/>
      <c r="F389" s="56"/>
      <c r="T389" s="54"/>
      <c r="U389" s="54"/>
      <c r="AC389" s="54"/>
      <c r="AE389" s="54"/>
      <c r="AG389" s="54"/>
      <c r="AH389" s="54"/>
      <c r="AI389" s="54"/>
      <c r="AJ389" s="54"/>
    </row>
    <row r="390" ht="14.25" customHeight="1">
      <c r="E390" s="56"/>
      <c r="F390" s="56"/>
      <c r="T390" s="54"/>
      <c r="U390" s="54"/>
      <c r="AC390" s="54"/>
      <c r="AE390" s="54"/>
      <c r="AG390" s="54"/>
      <c r="AH390" s="54"/>
      <c r="AI390" s="54"/>
      <c r="AJ390" s="54"/>
    </row>
    <row r="391" ht="14.25" customHeight="1">
      <c r="E391" s="56"/>
      <c r="F391" s="56"/>
      <c r="T391" s="54"/>
      <c r="U391" s="54"/>
      <c r="AC391" s="54"/>
      <c r="AE391" s="54"/>
      <c r="AG391" s="54"/>
      <c r="AH391" s="54"/>
      <c r="AI391" s="54"/>
      <c r="AJ391" s="54"/>
    </row>
    <row r="392" ht="14.25" customHeight="1">
      <c r="E392" s="56"/>
      <c r="F392" s="56"/>
      <c r="T392" s="54"/>
      <c r="U392" s="54"/>
      <c r="AC392" s="54"/>
      <c r="AE392" s="54"/>
      <c r="AG392" s="54"/>
      <c r="AH392" s="54"/>
      <c r="AI392" s="54"/>
      <c r="AJ392" s="54"/>
    </row>
    <row r="393" ht="14.25" customHeight="1">
      <c r="E393" s="56"/>
      <c r="F393" s="56"/>
      <c r="T393" s="54"/>
      <c r="U393" s="54"/>
      <c r="AC393" s="54"/>
      <c r="AE393" s="54"/>
      <c r="AG393" s="54"/>
      <c r="AH393" s="54"/>
      <c r="AI393" s="54"/>
      <c r="AJ393" s="54"/>
    </row>
    <row r="394" ht="14.25" customHeight="1">
      <c r="E394" s="56"/>
      <c r="F394" s="56"/>
      <c r="T394" s="54"/>
      <c r="U394" s="54"/>
      <c r="AC394" s="54"/>
      <c r="AE394" s="54"/>
      <c r="AG394" s="54"/>
      <c r="AH394" s="54"/>
      <c r="AI394" s="54"/>
      <c r="AJ394" s="54"/>
    </row>
    <row r="395" ht="14.25" customHeight="1">
      <c r="E395" s="56"/>
      <c r="F395" s="56"/>
      <c r="T395" s="54"/>
      <c r="U395" s="54"/>
      <c r="AC395" s="54"/>
      <c r="AE395" s="54"/>
      <c r="AG395" s="54"/>
      <c r="AH395" s="54"/>
      <c r="AI395" s="54"/>
      <c r="AJ395" s="54"/>
    </row>
    <row r="396" ht="14.25" customHeight="1">
      <c r="E396" s="56"/>
      <c r="F396" s="56"/>
      <c r="T396" s="54"/>
      <c r="U396" s="54"/>
      <c r="AC396" s="54"/>
      <c r="AE396" s="54"/>
      <c r="AG396" s="54"/>
      <c r="AH396" s="54"/>
      <c r="AI396" s="54"/>
      <c r="AJ396" s="54"/>
    </row>
    <row r="397" ht="14.25" customHeight="1">
      <c r="E397" s="56"/>
      <c r="F397" s="56"/>
      <c r="T397" s="54"/>
      <c r="U397" s="54"/>
      <c r="AC397" s="54"/>
      <c r="AE397" s="54"/>
      <c r="AG397" s="54"/>
      <c r="AH397" s="54"/>
      <c r="AI397" s="54"/>
      <c r="AJ397" s="54"/>
    </row>
    <row r="398" ht="14.25" customHeight="1">
      <c r="E398" s="56"/>
      <c r="F398" s="56"/>
      <c r="T398" s="54"/>
      <c r="U398" s="54"/>
      <c r="AC398" s="54"/>
      <c r="AE398" s="54"/>
      <c r="AG398" s="54"/>
      <c r="AH398" s="54"/>
      <c r="AI398" s="54"/>
      <c r="AJ398" s="54"/>
    </row>
    <row r="399" ht="14.25" customHeight="1">
      <c r="E399" s="56"/>
      <c r="F399" s="56"/>
      <c r="T399" s="54"/>
      <c r="U399" s="54"/>
      <c r="AC399" s="54"/>
      <c r="AE399" s="54"/>
      <c r="AG399" s="54"/>
      <c r="AH399" s="54"/>
      <c r="AI399" s="54"/>
      <c r="AJ399" s="54"/>
    </row>
    <row r="400" ht="14.25" customHeight="1">
      <c r="E400" s="56"/>
      <c r="F400" s="56"/>
      <c r="T400" s="54"/>
      <c r="U400" s="54"/>
      <c r="AC400" s="54"/>
      <c r="AE400" s="54"/>
      <c r="AG400" s="54"/>
      <c r="AH400" s="54"/>
      <c r="AI400" s="54"/>
      <c r="AJ400" s="54"/>
    </row>
    <row r="401" ht="14.25" customHeight="1">
      <c r="E401" s="56"/>
      <c r="F401" s="56"/>
      <c r="T401" s="54"/>
      <c r="U401" s="54"/>
      <c r="AC401" s="54"/>
      <c r="AE401" s="54"/>
      <c r="AG401" s="54"/>
      <c r="AH401" s="54"/>
      <c r="AI401" s="54"/>
      <c r="AJ401" s="54"/>
    </row>
    <row r="402" ht="14.25" customHeight="1">
      <c r="E402" s="56"/>
      <c r="F402" s="56"/>
      <c r="T402" s="54"/>
      <c r="U402" s="54"/>
      <c r="AC402" s="54"/>
      <c r="AE402" s="54"/>
      <c r="AG402" s="54"/>
      <c r="AH402" s="54"/>
      <c r="AI402" s="54"/>
      <c r="AJ402" s="54"/>
    </row>
    <row r="403" ht="14.25" customHeight="1">
      <c r="E403" s="56"/>
      <c r="F403" s="56"/>
      <c r="T403" s="54"/>
      <c r="U403" s="54"/>
      <c r="AC403" s="54"/>
      <c r="AE403" s="54"/>
      <c r="AG403" s="54"/>
      <c r="AH403" s="54"/>
      <c r="AI403" s="54"/>
      <c r="AJ403" s="54"/>
    </row>
    <row r="404" ht="14.25" customHeight="1">
      <c r="E404" s="56"/>
      <c r="F404" s="56"/>
      <c r="T404" s="54"/>
      <c r="U404" s="54"/>
      <c r="AC404" s="54"/>
      <c r="AE404" s="54"/>
      <c r="AG404" s="54"/>
      <c r="AH404" s="54"/>
      <c r="AI404" s="54"/>
      <c r="AJ404" s="54"/>
    </row>
    <row r="405" ht="14.25" customHeight="1">
      <c r="E405" s="56"/>
      <c r="F405" s="56"/>
      <c r="T405" s="54"/>
      <c r="U405" s="54"/>
      <c r="AC405" s="54"/>
      <c r="AE405" s="54"/>
      <c r="AG405" s="54"/>
      <c r="AH405" s="54"/>
      <c r="AI405" s="54"/>
      <c r="AJ405" s="54"/>
    </row>
    <row r="406" ht="14.25" customHeight="1">
      <c r="E406" s="56"/>
      <c r="F406" s="56"/>
      <c r="T406" s="54"/>
      <c r="U406" s="54"/>
      <c r="AC406" s="54"/>
      <c r="AE406" s="54"/>
      <c r="AG406" s="54"/>
      <c r="AH406" s="54"/>
      <c r="AI406" s="54"/>
      <c r="AJ406" s="54"/>
    </row>
    <row r="407" ht="14.25" customHeight="1">
      <c r="E407" s="56"/>
      <c r="F407" s="56"/>
      <c r="T407" s="54"/>
      <c r="U407" s="54"/>
      <c r="AC407" s="54"/>
      <c r="AE407" s="54"/>
      <c r="AG407" s="54"/>
      <c r="AH407" s="54"/>
      <c r="AI407" s="54"/>
      <c r="AJ407" s="54"/>
    </row>
    <row r="408" ht="14.25" customHeight="1">
      <c r="E408" s="56"/>
      <c r="F408" s="56"/>
      <c r="T408" s="54"/>
      <c r="U408" s="54"/>
      <c r="AC408" s="54"/>
      <c r="AE408" s="54"/>
      <c r="AG408" s="54"/>
      <c r="AH408" s="54"/>
      <c r="AI408" s="54"/>
      <c r="AJ408" s="54"/>
    </row>
    <row r="409" ht="14.25" customHeight="1">
      <c r="E409" s="56"/>
      <c r="F409" s="56"/>
      <c r="T409" s="54"/>
      <c r="U409" s="54"/>
      <c r="AC409" s="54"/>
      <c r="AE409" s="54"/>
      <c r="AG409" s="54"/>
      <c r="AH409" s="54"/>
      <c r="AI409" s="54"/>
      <c r="AJ409" s="54"/>
    </row>
    <row r="410" ht="14.25" customHeight="1">
      <c r="E410" s="56"/>
      <c r="F410" s="56"/>
      <c r="T410" s="54"/>
      <c r="U410" s="54"/>
      <c r="AC410" s="54"/>
      <c r="AE410" s="54"/>
      <c r="AG410" s="54"/>
      <c r="AH410" s="54"/>
      <c r="AI410" s="54"/>
      <c r="AJ410" s="54"/>
    </row>
    <row r="411" ht="14.25" customHeight="1">
      <c r="E411" s="56"/>
      <c r="F411" s="56"/>
      <c r="T411" s="54"/>
      <c r="U411" s="54"/>
      <c r="AC411" s="54"/>
      <c r="AE411" s="54"/>
      <c r="AG411" s="54"/>
      <c r="AH411" s="54"/>
      <c r="AI411" s="54"/>
      <c r="AJ411" s="54"/>
    </row>
    <row r="412" ht="14.25" customHeight="1">
      <c r="E412" s="56"/>
      <c r="F412" s="56"/>
      <c r="T412" s="54"/>
      <c r="U412" s="54"/>
      <c r="AC412" s="54"/>
      <c r="AE412" s="54"/>
      <c r="AG412" s="54"/>
      <c r="AH412" s="54"/>
      <c r="AI412" s="54"/>
      <c r="AJ412" s="54"/>
    </row>
    <row r="413" ht="14.25" customHeight="1">
      <c r="E413" s="56"/>
      <c r="F413" s="56"/>
      <c r="T413" s="54"/>
      <c r="U413" s="54"/>
      <c r="AC413" s="54"/>
      <c r="AE413" s="54"/>
      <c r="AG413" s="54"/>
      <c r="AH413" s="54"/>
      <c r="AI413" s="54"/>
      <c r="AJ413" s="54"/>
    </row>
    <row r="414" ht="14.25" customHeight="1">
      <c r="E414" s="56"/>
      <c r="F414" s="56"/>
      <c r="T414" s="54"/>
      <c r="U414" s="54"/>
      <c r="AC414" s="54"/>
      <c r="AE414" s="54"/>
      <c r="AG414" s="54"/>
      <c r="AH414" s="54"/>
      <c r="AI414" s="54"/>
      <c r="AJ414" s="54"/>
    </row>
    <row r="415" ht="14.25" customHeight="1">
      <c r="E415" s="56"/>
      <c r="F415" s="56"/>
      <c r="T415" s="54"/>
      <c r="U415" s="54"/>
      <c r="AC415" s="54"/>
      <c r="AE415" s="54"/>
      <c r="AG415" s="54"/>
      <c r="AH415" s="54"/>
      <c r="AI415" s="54"/>
      <c r="AJ415" s="54"/>
    </row>
    <row r="416" ht="14.25" customHeight="1">
      <c r="E416" s="56"/>
      <c r="F416" s="56"/>
      <c r="T416" s="54"/>
      <c r="U416" s="54"/>
      <c r="AC416" s="54"/>
      <c r="AE416" s="54"/>
      <c r="AG416" s="54"/>
      <c r="AH416" s="54"/>
      <c r="AI416" s="54"/>
      <c r="AJ416" s="54"/>
    </row>
    <row r="417" ht="14.25" customHeight="1">
      <c r="E417" s="56"/>
      <c r="F417" s="56"/>
      <c r="T417" s="54"/>
      <c r="U417" s="54"/>
      <c r="AC417" s="54"/>
      <c r="AE417" s="54"/>
      <c r="AG417" s="54"/>
      <c r="AH417" s="54"/>
      <c r="AI417" s="54"/>
      <c r="AJ417" s="54"/>
    </row>
    <row r="418" ht="14.25" customHeight="1">
      <c r="E418" s="56"/>
      <c r="F418" s="56"/>
      <c r="T418" s="54"/>
      <c r="U418" s="54"/>
      <c r="AC418" s="54"/>
      <c r="AE418" s="54"/>
      <c r="AG418" s="54"/>
      <c r="AH418" s="54"/>
      <c r="AI418" s="54"/>
      <c r="AJ418" s="54"/>
    </row>
    <row r="419" ht="14.25" customHeight="1">
      <c r="E419" s="56"/>
      <c r="F419" s="56"/>
      <c r="T419" s="54"/>
      <c r="U419" s="54"/>
      <c r="AC419" s="54"/>
      <c r="AE419" s="54"/>
      <c r="AG419" s="54"/>
      <c r="AH419" s="54"/>
      <c r="AI419" s="54"/>
      <c r="AJ419" s="54"/>
    </row>
    <row r="420" ht="14.25" customHeight="1">
      <c r="E420" s="56"/>
      <c r="F420" s="56"/>
      <c r="T420" s="54"/>
      <c r="U420" s="54"/>
      <c r="AC420" s="54"/>
      <c r="AE420" s="54"/>
      <c r="AG420" s="54"/>
      <c r="AH420" s="54"/>
      <c r="AI420" s="54"/>
      <c r="AJ420" s="54"/>
    </row>
    <row r="421" ht="14.25" customHeight="1">
      <c r="E421" s="56"/>
      <c r="F421" s="56"/>
      <c r="T421" s="54"/>
      <c r="U421" s="54"/>
      <c r="AC421" s="54"/>
      <c r="AE421" s="54"/>
      <c r="AG421" s="54"/>
      <c r="AH421" s="54"/>
      <c r="AI421" s="54"/>
      <c r="AJ421" s="54"/>
    </row>
    <row r="422" ht="14.25" customHeight="1">
      <c r="E422" s="56"/>
      <c r="F422" s="56"/>
      <c r="T422" s="54"/>
      <c r="U422" s="54"/>
      <c r="AC422" s="54"/>
      <c r="AE422" s="54"/>
      <c r="AG422" s="54"/>
      <c r="AH422" s="54"/>
      <c r="AI422" s="54"/>
      <c r="AJ422" s="54"/>
    </row>
    <row r="423" ht="14.25" customHeight="1">
      <c r="E423" s="56"/>
      <c r="F423" s="56"/>
      <c r="T423" s="54"/>
      <c r="U423" s="54"/>
      <c r="AC423" s="54"/>
      <c r="AE423" s="54"/>
      <c r="AG423" s="54"/>
      <c r="AH423" s="54"/>
      <c r="AI423" s="54"/>
      <c r="AJ423" s="54"/>
    </row>
    <row r="424" ht="14.25" customHeight="1">
      <c r="E424" s="56"/>
      <c r="F424" s="56"/>
      <c r="T424" s="54"/>
      <c r="U424" s="54"/>
      <c r="AC424" s="54"/>
      <c r="AE424" s="54"/>
      <c r="AG424" s="54"/>
      <c r="AH424" s="54"/>
      <c r="AI424" s="54"/>
      <c r="AJ424" s="54"/>
    </row>
    <row r="425" ht="14.25" customHeight="1">
      <c r="E425" s="56"/>
      <c r="F425" s="56"/>
      <c r="T425" s="54"/>
      <c r="U425" s="54"/>
      <c r="AC425" s="54"/>
      <c r="AE425" s="54"/>
      <c r="AG425" s="54"/>
      <c r="AH425" s="54"/>
      <c r="AI425" s="54"/>
      <c r="AJ425" s="54"/>
    </row>
    <row r="426" ht="14.25" customHeight="1">
      <c r="E426" s="56"/>
      <c r="F426" s="56"/>
      <c r="T426" s="54"/>
      <c r="U426" s="54"/>
      <c r="AC426" s="54"/>
      <c r="AE426" s="54"/>
      <c r="AG426" s="54"/>
      <c r="AH426" s="54"/>
      <c r="AI426" s="54"/>
      <c r="AJ426" s="54"/>
    </row>
    <row r="427" ht="14.25" customHeight="1">
      <c r="E427" s="56"/>
      <c r="F427" s="56"/>
      <c r="T427" s="54"/>
      <c r="U427" s="54"/>
      <c r="AC427" s="54"/>
      <c r="AE427" s="54"/>
      <c r="AG427" s="54"/>
      <c r="AH427" s="54"/>
      <c r="AI427" s="54"/>
      <c r="AJ427" s="54"/>
    </row>
    <row r="428" ht="14.25" customHeight="1">
      <c r="E428" s="56"/>
      <c r="F428" s="56"/>
      <c r="T428" s="54"/>
      <c r="U428" s="54"/>
      <c r="AC428" s="54"/>
      <c r="AE428" s="54"/>
      <c r="AG428" s="54"/>
      <c r="AH428" s="54"/>
      <c r="AI428" s="54"/>
      <c r="AJ428" s="54"/>
    </row>
    <row r="429" ht="14.25" customHeight="1">
      <c r="E429" s="56"/>
      <c r="F429" s="56"/>
      <c r="T429" s="54"/>
      <c r="U429" s="54"/>
      <c r="AC429" s="54"/>
      <c r="AE429" s="54"/>
      <c r="AG429" s="54"/>
      <c r="AH429" s="54"/>
      <c r="AI429" s="54"/>
      <c r="AJ429" s="54"/>
    </row>
    <row r="430" ht="14.25" customHeight="1">
      <c r="E430" s="56"/>
      <c r="F430" s="56"/>
      <c r="T430" s="54"/>
      <c r="U430" s="54"/>
      <c r="AC430" s="54"/>
      <c r="AE430" s="54"/>
      <c r="AG430" s="54"/>
      <c r="AH430" s="54"/>
      <c r="AI430" s="54"/>
      <c r="AJ430" s="54"/>
    </row>
    <row r="431" ht="14.25" customHeight="1">
      <c r="E431" s="56"/>
      <c r="F431" s="56"/>
      <c r="T431" s="54"/>
      <c r="U431" s="54"/>
      <c r="AC431" s="54"/>
      <c r="AE431" s="54"/>
      <c r="AG431" s="54"/>
      <c r="AH431" s="54"/>
      <c r="AI431" s="54"/>
      <c r="AJ431" s="54"/>
    </row>
    <row r="432" ht="14.25" customHeight="1">
      <c r="E432" s="56"/>
      <c r="F432" s="56"/>
      <c r="T432" s="54"/>
      <c r="U432" s="54"/>
      <c r="AC432" s="54"/>
      <c r="AE432" s="54"/>
      <c r="AG432" s="54"/>
      <c r="AH432" s="54"/>
      <c r="AI432" s="54"/>
      <c r="AJ432" s="54"/>
    </row>
    <row r="433" ht="14.25" customHeight="1">
      <c r="E433" s="56"/>
      <c r="F433" s="56"/>
      <c r="T433" s="54"/>
      <c r="U433" s="54"/>
      <c r="AC433" s="54"/>
      <c r="AE433" s="54"/>
      <c r="AG433" s="54"/>
      <c r="AH433" s="54"/>
      <c r="AI433" s="54"/>
      <c r="AJ433" s="54"/>
    </row>
    <row r="434" ht="14.25" customHeight="1">
      <c r="E434" s="56"/>
      <c r="F434" s="56"/>
      <c r="T434" s="54"/>
      <c r="U434" s="54"/>
      <c r="AC434" s="54"/>
      <c r="AE434" s="54"/>
      <c r="AG434" s="54"/>
      <c r="AH434" s="54"/>
      <c r="AI434" s="54"/>
      <c r="AJ434" s="54"/>
    </row>
    <row r="435" ht="14.25" customHeight="1">
      <c r="E435" s="56"/>
      <c r="F435" s="56"/>
      <c r="T435" s="54"/>
      <c r="U435" s="54"/>
      <c r="AC435" s="54"/>
      <c r="AE435" s="54"/>
      <c r="AG435" s="54"/>
      <c r="AH435" s="54"/>
      <c r="AI435" s="54"/>
      <c r="AJ435" s="54"/>
    </row>
    <row r="436" ht="14.25" customHeight="1">
      <c r="E436" s="56"/>
      <c r="F436" s="56"/>
      <c r="T436" s="54"/>
      <c r="U436" s="54"/>
      <c r="AC436" s="54"/>
      <c r="AE436" s="54"/>
      <c r="AG436" s="54"/>
      <c r="AH436" s="54"/>
      <c r="AI436" s="54"/>
      <c r="AJ436" s="54"/>
    </row>
    <row r="437" ht="14.25" customHeight="1">
      <c r="E437" s="56"/>
      <c r="F437" s="56"/>
      <c r="T437" s="54"/>
      <c r="U437" s="54"/>
      <c r="AC437" s="54"/>
      <c r="AE437" s="54"/>
      <c r="AG437" s="54"/>
      <c r="AH437" s="54"/>
      <c r="AI437" s="54"/>
      <c r="AJ437" s="54"/>
    </row>
    <row r="438" ht="14.25" customHeight="1">
      <c r="E438" s="56"/>
      <c r="F438" s="56"/>
      <c r="T438" s="54"/>
      <c r="U438" s="54"/>
      <c r="AC438" s="54"/>
      <c r="AE438" s="54"/>
      <c r="AG438" s="54"/>
      <c r="AH438" s="54"/>
      <c r="AI438" s="54"/>
      <c r="AJ438" s="54"/>
    </row>
    <row r="439" ht="14.25" customHeight="1">
      <c r="E439" s="56"/>
      <c r="F439" s="56"/>
      <c r="T439" s="54"/>
      <c r="U439" s="54"/>
      <c r="AC439" s="54"/>
      <c r="AE439" s="54"/>
      <c r="AG439" s="54"/>
      <c r="AH439" s="54"/>
      <c r="AI439" s="54"/>
      <c r="AJ439" s="54"/>
    </row>
    <row r="440" ht="14.25" customHeight="1">
      <c r="E440" s="56"/>
      <c r="F440" s="56"/>
      <c r="T440" s="54"/>
      <c r="U440" s="54"/>
      <c r="AC440" s="54"/>
      <c r="AE440" s="54"/>
      <c r="AG440" s="54"/>
      <c r="AH440" s="54"/>
      <c r="AI440" s="54"/>
      <c r="AJ440" s="54"/>
    </row>
    <row r="441" ht="14.25" customHeight="1">
      <c r="E441" s="56"/>
      <c r="F441" s="56"/>
      <c r="T441" s="54"/>
      <c r="U441" s="54"/>
      <c r="AC441" s="54"/>
      <c r="AE441" s="54"/>
      <c r="AG441" s="54"/>
      <c r="AH441" s="54"/>
      <c r="AI441" s="54"/>
      <c r="AJ441" s="54"/>
    </row>
    <row r="442" ht="14.25" customHeight="1">
      <c r="E442" s="56"/>
      <c r="F442" s="56"/>
      <c r="T442" s="54"/>
      <c r="U442" s="54"/>
      <c r="AC442" s="54"/>
      <c r="AE442" s="54"/>
      <c r="AG442" s="54"/>
      <c r="AH442" s="54"/>
      <c r="AI442" s="54"/>
      <c r="AJ442" s="54"/>
    </row>
    <row r="443" ht="14.25" customHeight="1">
      <c r="E443" s="56"/>
      <c r="F443" s="56"/>
      <c r="T443" s="54"/>
      <c r="U443" s="54"/>
      <c r="AC443" s="54"/>
      <c r="AE443" s="54"/>
      <c r="AG443" s="54"/>
      <c r="AH443" s="54"/>
      <c r="AI443" s="54"/>
      <c r="AJ443" s="54"/>
    </row>
    <row r="444" ht="14.25" customHeight="1">
      <c r="E444" s="56"/>
      <c r="F444" s="56"/>
      <c r="T444" s="54"/>
      <c r="U444" s="54"/>
      <c r="AC444" s="54"/>
      <c r="AE444" s="54"/>
      <c r="AG444" s="54"/>
      <c r="AH444" s="54"/>
      <c r="AI444" s="54"/>
      <c r="AJ444" s="54"/>
    </row>
    <row r="445" ht="14.25" customHeight="1">
      <c r="E445" s="56"/>
      <c r="F445" s="56"/>
      <c r="T445" s="54"/>
      <c r="U445" s="54"/>
      <c r="AC445" s="54"/>
      <c r="AE445" s="54"/>
      <c r="AG445" s="54"/>
      <c r="AH445" s="54"/>
      <c r="AI445" s="54"/>
      <c r="AJ445" s="54"/>
    </row>
    <row r="446" ht="14.25" customHeight="1">
      <c r="E446" s="56"/>
      <c r="F446" s="56"/>
      <c r="T446" s="54"/>
      <c r="U446" s="54"/>
      <c r="AC446" s="54"/>
      <c r="AE446" s="54"/>
      <c r="AG446" s="54"/>
      <c r="AH446" s="54"/>
      <c r="AI446" s="54"/>
      <c r="AJ446" s="54"/>
    </row>
    <row r="447" ht="14.25" customHeight="1">
      <c r="E447" s="56"/>
      <c r="F447" s="56"/>
      <c r="T447" s="54"/>
      <c r="U447" s="54"/>
      <c r="AC447" s="54"/>
      <c r="AE447" s="54"/>
      <c r="AG447" s="54"/>
      <c r="AH447" s="54"/>
      <c r="AI447" s="54"/>
      <c r="AJ447" s="54"/>
    </row>
    <row r="448" ht="14.25" customHeight="1">
      <c r="E448" s="56"/>
      <c r="F448" s="56"/>
      <c r="T448" s="54"/>
      <c r="U448" s="54"/>
      <c r="AC448" s="54"/>
      <c r="AE448" s="54"/>
      <c r="AG448" s="54"/>
      <c r="AH448" s="54"/>
      <c r="AI448" s="54"/>
      <c r="AJ448" s="54"/>
    </row>
    <row r="449" ht="14.25" customHeight="1">
      <c r="E449" s="56"/>
      <c r="F449" s="56"/>
      <c r="T449" s="54"/>
      <c r="U449" s="54"/>
      <c r="AC449" s="54"/>
      <c r="AE449" s="54"/>
      <c r="AG449" s="54"/>
      <c r="AH449" s="54"/>
      <c r="AI449" s="54"/>
      <c r="AJ449" s="54"/>
    </row>
    <row r="450" ht="14.25" customHeight="1">
      <c r="E450" s="56"/>
      <c r="F450" s="56"/>
      <c r="T450" s="54"/>
      <c r="U450" s="54"/>
      <c r="AC450" s="54"/>
      <c r="AE450" s="54"/>
      <c r="AG450" s="54"/>
      <c r="AH450" s="54"/>
      <c r="AI450" s="54"/>
      <c r="AJ450" s="54"/>
    </row>
    <row r="451" ht="14.25" customHeight="1">
      <c r="E451" s="56"/>
      <c r="F451" s="56"/>
      <c r="T451" s="54"/>
      <c r="U451" s="54"/>
      <c r="AC451" s="54"/>
      <c r="AE451" s="54"/>
      <c r="AG451" s="54"/>
      <c r="AH451" s="54"/>
      <c r="AI451" s="54"/>
      <c r="AJ451" s="54"/>
    </row>
    <row r="452" ht="14.25" customHeight="1">
      <c r="E452" s="56"/>
      <c r="F452" s="56"/>
      <c r="T452" s="54"/>
      <c r="U452" s="54"/>
      <c r="AC452" s="54"/>
      <c r="AE452" s="54"/>
      <c r="AG452" s="54"/>
      <c r="AH452" s="54"/>
      <c r="AI452" s="54"/>
      <c r="AJ452" s="54"/>
    </row>
    <row r="453" ht="14.25" customHeight="1">
      <c r="E453" s="56"/>
      <c r="F453" s="56"/>
      <c r="T453" s="54"/>
      <c r="U453" s="54"/>
      <c r="AC453" s="54"/>
      <c r="AE453" s="54"/>
      <c r="AG453" s="54"/>
      <c r="AH453" s="54"/>
      <c r="AI453" s="54"/>
      <c r="AJ453" s="54"/>
    </row>
    <row r="454" ht="14.25" customHeight="1">
      <c r="E454" s="56"/>
      <c r="F454" s="56"/>
      <c r="T454" s="54"/>
      <c r="U454" s="54"/>
      <c r="AC454" s="54"/>
      <c r="AE454" s="54"/>
      <c r="AG454" s="54"/>
      <c r="AH454" s="54"/>
      <c r="AI454" s="54"/>
      <c r="AJ454" s="54"/>
    </row>
    <row r="455" ht="14.25" customHeight="1">
      <c r="E455" s="56"/>
      <c r="F455" s="56"/>
      <c r="T455" s="54"/>
      <c r="U455" s="54"/>
      <c r="AC455" s="54"/>
      <c r="AE455" s="54"/>
      <c r="AG455" s="54"/>
      <c r="AH455" s="54"/>
      <c r="AI455" s="54"/>
      <c r="AJ455" s="54"/>
    </row>
    <row r="456" ht="14.25" customHeight="1">
      <c r="E456" s="56"/>
      <c r="F456" s="56"/>
      <c r="T456" s="54"/>
      <c r="U456" s="54"/>
      <c r="AC456" s="54"/>
      <c r="AE456" s="54"/>
      <c r="AG456" s="54"/>
      <c r="AH456" s="54"/>
      <c r="AI456" s="54"/>
      <c r="AJ456" s="54"/>
    </row>
    <row r="457" ht="14.25" customHeight="1">
      <c r="E457" s="56"/>
      <c r="F457" s="56"/>
      <c r="T457" s="54"/>
      <c r="U457" s="54"/>
      <c r="AC457" s="54"/>
      <c r="AE457" s="54"/>
      <c r="AG457" s="54"/>
      <c r="AH457" s="54"/>
      <c r="AI457" s="54"/>
      <c r="AJ457" s="54"/>
    </row>
    <row r="458" ht="14.25" customHeight="1">
      <c r="E458" s="56"/>
      <c r="F458" s="56"/>
      <c r="T458" s="54"/>
      <c r="U458" s="54"/>
      <c r="AC458" s="54"/>
      <c r="AE458" s="54"/>
      <c r="AG458" s="54"/>
      <c r="AH458" s="54"/>
      <c r="AI458" s="54"/>
      <c r="AJ458" s="54"/>
    </row>
    <row r="459" ht="14.25" customHeight="1">
      <c r="E459" s="56"/>
      <c r="F459" s="56"/>
      <c r="T459" s="54"/>
      <c r="U459" s="54"/>
      <c r="AC459" s="54"/>
      <c r="AE459" s="54"/>
      <c r="AG459" s="54"/>
      <c r="AH459" s="54"/>
      <c r="AI459" s="54"/>
      <c r="AJ459" s="54"/>
    </row>
    <row r="460" ht="14.25" customHeight="1">
      <c r="E460" s="56"/>
      <c r="F460" s="56"/>
      <c r="T460" s="54"/>
      <c r="U460" s="54"/>
      <c r="AC460" s="54"/>
      <c r="AE460" s="54"/>
      <c r="AG460" s="54"/>
      <c r="AH460" s="54"/>
      <c r="AI460" s="54"/>
      <c r="AJ460" s="54"/>
    </row>
    <row r="461" ht="14.25" customHeight="1">
      <c r="E461" s="56"/>
      <c r="F461" s="56"/>
      <c r="T461" s="54"/>
      <c r="U461" s="54"/>
      <c r="AC461" s="54"/>
      <c r="AE461" s="54"/>
      <c r="AG461" s="54"/>
      <c r="AH461" s="54"/>
      <c r="AI461" s="54"/>
      <c r="AJ461" s="54"/>
    </row>
    <row r="462" ht="14.25" customHeight="1">
      <c r="E462" s="56"/>
      <c r="F462" s="56"/>
      <c r="T462" s="54"/>
      <c r="U462" s="54"/>
      <c r="AC462" s="54"/>
      <c r="AE462" s="54"/>
      <c r="AG462" s="54"/>
      <c r="AH462" s="54"/>
      <c r="AI462" s="54"/>
      <c r="AJ462" s="54"/>
    </row>
    <row r="463" ht="14.25" customHeight="1">
      <c r="E463" s="56"/>
      <c r="F463" s="56"/>
      <c r="T463" s="54"/>
      <c r="U463" s="54"/>
      <c r="AC463" s="54"/>
      <c r="AE463" s="54"/>
      <c r="AG463" s="54"/>
      <c r="AH463" s="54"/>
      <c r="AI463" s="54"/>
      <c r="AJ463" s="54"/>
    </row>
    <row r="464" ht="14.25" customHeight="1">
      <c r="E464" s="56"/>
      <c r="F464" s="56"/>
      <c r="T464" s="54"/>
      <c r="U464" s="54"/>
      <c r="AC464" s="54"/>
      <c r="AE464" s="54"/>
      <c r="AG464" s="54"/>
      <c r="AH464" s="54"/>
      <c r="AI464" s="54"/>
      <c r="AJ464" s="54"/>
    </row>
    <row r="465" ht="14.25" customHeight="1">
      <c r="E465" s="56"/>
      <c r="F465" s="56"/>
      <c r="T465" s="54"/>
      <c r="U465" s="54"/>
      <c r="AC465" s="54"/>
      <c r="AE465" s="54"/>
      <c r="AG465" s="54"/>
      <c r="AH465" s="54"/>
      <c r="AI465" s="54"/>
      <c r="AJ465" s="54"/>
    </row>
    <row r="466" ht="14.25" customHeight="1">
      <c r="E466" s="56"/>
      <c r="F466" s="56"/>
      <c r="T466" s="54"/>
      <c r="U466" s="54"/>
      <c r="AC466" s="54"/>
      <c r="AE466" s="54"/>
      <c r="AG466" s="54"/>
      <c r="AH466" s="54"/>
      <c r="AI466" s="54"/>
      <c r="AJ466" s="54"/>
    </row>
    <row r="467" ht="14.25" customHeight="1">
      <c r="E467" s="56"/>
      <c r="F467" s="56"/>
      <c r="T467" s="54"/>
      <c r="U467" s="54"/>
      <c r="AC467" s="54"/>
      <c r="AE467" s="54"/>
      <c r="AG467" s="54"/>
      <c r="AH467" s="54"/>
      <c r="AI467" s="54"/>
      <c r="AJ467" s="54"/>
    </row>
    <row r="468" ht="14.25" customHeight="1">
      <c r="E468" s="56"/>
      <c r="F468" s="56"/>
      <c r="T468" s="54"/>
      <c r="U468" s="54"/>
      <c r="AC468" s="54"/>
      <c r="AE468" s="54"/>
      <c r="AG468" s="54"/>
      <c r="AH468" s="54"/>
      <c r="AI468" s="54"/>
      <c r="AJ468" s="54"/>
    </row>
    <row r="469" ht="14.25" customHeight="1">
      <c r="E469" s="56"/>
      <c r="F469" s="56"/>
      <c r="T469" s="54"/>
      <c r="U469" s="54"/>
      <c r="AC469" s="54"/>
      <c r="AE469" s="54"/>
      <c r="AG469" s="54"/>
      <c r="AH469" s="54"/>
      <c r="AI469" s="54"/>
      <c r="AJ469" s="54"/>
    </row>
    <row r="470" ht="14.25" customHeight="1">
      <c r="E470" s="56"/>
      <c r="F470" s="56"/>
      <c r="T470" s="54"/>
      <c r="U470" s="54"/>
      <c r="AC470" s="54"/>
      <c r="AE470" s="54"/>
      <c r="AG470" s="54"/>
      <c r="AH470" s="54"/>
      <c r="AI470" s="54"/>
      <c r="AJ470" s="54"/>
    </row>
    <row r="471" ht="14.25" customHeight="1">
      <c r="E471" s="56"/>
      <c r="F471" s="56"/>
      <c r="T471" s="54"/>
      <c r="U471" s="54"/>
      <c r="AC471" s="54"/>
      <c r="AE471" s="54"/>
      <c r="AG471" s="54"/>
      <c r="AH471" s="54"/>
      <c r="AI471" s="54"/>
      <c r="AJ471" s="54"/>
    </row>
    <row r="472" ht="14.25" customHeight="1">
      <c r="E472" s="56"/>
      <c r="F472" s="56"/>
      <c r="T472" s="54"/>
      <c r="U472" s="54"/>
      <c r="AC472" s="54"/>
      <c r="AE472" s="54"/>
      <c r="AG472" s="54"/>
      <c r="AH472" s="54"/>
      <c r="AI472" s="54"/>
      <c r="AJ472" s="54"/>
    </row>
    <row r="473" ht="14.25" customHeight="1">
      <c r="E473" s="56"/>
      <c r="F473" s="56"/>
      <c r="T473" s="54"/>
      <c r="U473" s="54"/>
      <c r="AC473" s="54"/>
      <c r="AE473" s="54"/>
      <c r="AG473" s="54"/>
      <c r="AH473" s="54"/>
      <c r="AI473" s="54"/>
      <c r="AJ473" s="54"/>
    </row>
    <row r="474" ht="14.25" customHeight="1">
      <c r="E474" s="56"/>
      <c r="F474" s="56"/>
      <c r="T474" s="54"/>
      <c r="U474" s="54"/>
      <c r="AC474" s="54"/>
      <c r="AE474" s="54"/>
      <c r="AG474" s="54"/>
      <c r="AH474" s="54"/>
      <c r="AI474" s="54"/>
      <c r="AJ474" s="54"/>
    </row>
    <row r="475" ht="14.25" customHeight="1">
      <c r="E475" s="56"/>
      <c r="F475" s="56"/>
      <c r="T475" s="54"/>
      <c r="U475" s="54"/>
      <c r="AC475" s="54"/>
      <c r="AE475" s="54"/>
      <c r="AG475" s="54"/>
      <c r="AH475" s="54"/>
      <c r="AI475" s="54"/>
      <c r="AJ475" s="54"/>
    </row>
    <row r="476" ht="14.25" customHeight="1">
      <c r="E476" s="56"/>
      <c r="F476" s="56"/>
      <c r="T476" s="54"/>
      <c r="U476" s="54"/>
      <c r="AC476" s="54"/>
      <c r="AE476" s="54"/>
      <c r="AG476" s="54"/>
      <c r="AH476" s="54"/>
      <c r="AI476" s="54"/>
      <c r="AJ476" s="54"/>
    </row>
    <row r="477" ht="14.25" customHeight="1">
      <c r="E477" s="56"/>
      <c r="F477" s="56"/>
      <c r="T477" s="54"/>
      <c r="U477" s="54"/>
      <c r="AC477" s="54"/>
      <c r="AE477" s="54"/>
      <c r="AG477" s="54"/>
      <c r="AH477" s="54"/>
      <c r="AI477" s="54"/>
      <c r="AJ477" s="54"/>
    </row>
    <row r="478" ht="14.25" customHeight="1">
      <c r="E478" s="56"/>
      <c r="F478" s="56"/>
      <c r="T478" s="54"/>
      <c r="U478" s="54"/>
      <c r="AC478" s="54"/>
      <c r="AE478" s="54"/>
      <c r="AG478" s="54"/>
      <c r="AH478" s="54"/>
      <c r="AI478" s="54"/>
      <c r="AJ478" s="54"/>
    </row>
    <row r="479" ht="14.25" customHeight="1">
      <c r="E479" s="56"/>
      <c r="F479" s="56"/>
      <c r="T479" s="54"/>
      <c r="U479" s="54"/>
      <c r="AC479" s="54"/>
      <c r="AE479" s="54"/>
      <c r="AG479" s="54"/>
      <c r="AH479" s="54"/>
      <c r="AI479" s="54"/>
      <c r="AJ479" s="54"/>
    </row>
    <row r="480" ht="14.25" customHeight="1">
      <c r="E480" s="56"/>
      <c r="F480" s="56"/>
      <c r="T480" s="54"/>
      <c r="U480" s="54"/>
      <c r="AC480" s="54"/>
      <c r="AE480" s="54"/>
      <c r="AG480" s="54"/>
      <c r="AH480" s="54"/>
      <c r="AI480" s="54"/>
      <c r="AJ480" s="54"/>
    </row>
    <row r="481" ht="14.25" customHeight="1">
      <c r="E481" s="56"/>
      <c r="F481" s="56"/>
      <c r="T481" s="54"/>
      <c r="U481" s="54"/>
      <c r="AC481" s="54"/>
      <c r="AE481" s="54"/>
      <c r="AG481" s="54"/>
      <c r="AH481" s="54"/>
      <c r="AI481" s="54"/>
      <c r="AJ481" s="54"/>
    </row>
    <row r="482" ht="14.25" customHeight="1">
      <c r="E482" s="56"/>
      <c r="F482" s="56"/>
      <c r="T482" s="54"/>
      <c r="U482" s="54"/>
      <c r="AC482" s="54"/>
      <c r="AE482" s="54"/>
      <c r="AG482" s="54"/>
      <c r="AH482" s="54"/>
      <c r="AI482" s="54"/>
      <c r="AJ482" s="54"/>
    </row>
    <row r="483" ht="14.25" customHeight="1">
      <c r="E483" s="56"/>
      <c r="F483" s="56"/>
      <c r="T483" s="54"/>
      <c r="U483" s="54"/>
      <c r="AC483" s="54"/>
      <c r="AE483" s="54"/>
      <c r="AG483" s="54"/>
      <c r="AH483" s="54"/>
      <c r="AI483" s="54"/>
      <c r="AJ483" s="54"/>
    </row>
    <row r="484" ht="14.25" customHeight="1">
      <c r="E484" s="56"/>
      <c r="F484" s="56"/>
      <c r="T484" s="54"/>
      <c r="U484" s="54"/>
      <c r="AC484" s="54"/>
      <c r="AE484" s="54"/>
      <c r="AG484" s="54"/>
      <c r="AH484" s="54"/>
      <c r="AI484" s="54"/>
      <c r="AJ484" s="54"/>
    </row>
    <row r="485" ht="14.25" customHeight="1">
      <c r="E485" s="56"/>
      <c r="F485" s="56"/>
      <c r="T485" s="54"/>
      <c r="U485" s="54"/>
      <c r="AC485" s="54"/>
      <c r="AE485" s="54"/>
      <c r="AG485" s="54"/>
      <c r="AH485" s="54"/>
      <c r="AI485" s="54"/>
      <c r="AJ485" s="54"/>
    </row>
    <row r="486" ht="14.25" customHeight="1">
      <c r="E486" s="56"/>
      <c r="F486" s="56"/>
      <c r="T486" s="54"/>
      <c r="U486" s="54"/>
      <c r="AC486" s="54"/>
      <c r="AE486" s="54"/>
      <c r="AG486" s="54"/>
      <c r="AH486" s="54"/>
      <c r="AI486" s="54"/>
      <c r="AJ486" s="54"/>
    </row>
    <row r="487" ht="14.25" customHeight="1">
      <c r="E487" s="56"/>
      <c r="F487" s="56"/>
      <c r="T487" s="54"/>
      <c r="U487" s="54"/>
      <c r="AC487" s="54"/>
      <c r="AE487" s="54"/>
      <c r="AG487" s="54"/>
      <c r="AH487" s="54"/>
      <c r="AI487" s="54"/>
      <c r="AJ487" s="54"/>
    </row>
    <row r="488" ht="14.25" customHeight="1">
      <c r="E488" s="56"/>
      <c r="F488" s="56"/>
      <c r="T488" s="54"/>
      <c r="U488" s="54"/>
      <c r="AC488" s="54"/>
      <c r="AE488" s="54"/>
      <c r="AG488" s="54"/>
      <c r="AH488" s="54"/>
      <c r="AI488" s="54"/>
      <c r="AJ488" s="54"/>
    </row>
    <row r="489" ht="14.25" customHeight="1">
      <c r="E489" s="56"/>
      <c r="F489" s="56"/>
      <c r="T489" s="54"/>
      <c r="U489" s="54"/>
      <c r="AC489" s="54"/>
      <c r="AE489" s="54"/>
      <c r="AG489" s="54"/>
      <c r="AH489" s="54"/>
      <c r="AI489" s="54"/>
      <c r="AJ489" s="54"/>
    </row>
    <row r="490" ht="14.25" customHeight="1">
      <c r="E490" s="56"/>
      <c r="F490" s="56"/>
      <c r="T490" s="54"/>
      <c r="U490" s="54"/>
      <c r="AC490" s="54"/>
      <c r="AE490" s="54"/>
      <c r="AG490" s="54"/>
      <c r="AH490" s="54"/>
      <c r="AI490" s="54"/>
      <c r="AJ490" s="54"/>
    </row>
    <row r="491" ht="14.25" customHeight="1">
      <c r="E491" s="56"/>
      <c r="F491" s="56"/>
      <c r="T491" s="54"/>
      <c r="U491" s="54"/>
      <c r="AC491" s="54"/>
      <c r="AE491" s="54"/>
      <c r="AG491" s="54"/>
      <c r="AH491" s="54"/>
      <c r="AI491" s="54"/>
      <c r="AJ491" s="54"/>
    </row>
    <row r="492" ht="14.25" customHeight="1">
      <c r="E492" s="56"/>
      <c r="F492" s="56"/>
      <c r="T492" s="54"/>
      <c r="U492" s="54"/>
      <c r="AC492" s="54"/>
      <c r="AE492" s="54"/>
      <c r="AG492" s="54"/>
      <c r="AH492" s="54"/>
      <c r="AI492" s="54"/>
      <c r="AJ492" s="54"/>
    </row>
    <row r="493" ht="14.25" customHeight="1">
      <c r="E493" s="56"/>
      <c r="F493" s="56"/>
      <c r="T493" s="54"/>
      <c r="U493" s="54"/>
      <c r="AC493" s="54"/>
      <c r="AE493" s="54"/>
      <c r="AG493" s="54"/>
      <c r="AH493" s="54"/>
      <c r="AI493" s="54"/>
      <c r="AJ493" s="54"/>
    </row>
    <row r="494" ht="14.25" customHeight="1">
      <c r="E494" s="56"/>
      <c r="F494" s="56"/>
      <c r="T494" s="54"/>
      <c r="U494" s="54"/>
      <c r="AC494" s="54"/>
      <c r="AE494" s="54"/>
      <c r="AG494" s="54"/>
      <c r="AH494" s="54"/>
      <c r="AI494" s="54"/>
      <c r="AJ494" s="54"/>
    </row>
    <row r="495" ht="14.25" customHeight="1">
      <c r="E495" s="56"/>
      <c r="F495" s="56"/>
      <c r="T495" s="54"/>
      <c r="U495" s="54"/>
      <c r="AC495" s="54"/>
      <c r="AE495" s="54"/>
      <c r="AG495" s="54"/>
      <c r="AH495" s="54"/>
      <c r="AI495" s="54"/>
      <c r="AJ495" s="54"/>
    </row>
    <row r="496" ht="14.25" customHeight="1">
      <c r="E496" s="56"/>
      <c r="F496" s="56"/>
      <c r="T496" s="54"/>
      <c r="U496" s="54"/>
      <c r="AC496" s="54"/>
      <c r="AE496" s="54"/>
      <c r="AG496" s="54"/>
      <c r="AH496" s="54"/>
      <c r="AI496" s="54"/>
      <c r="AJ496" s="54"/>
    </row>
    <row r="497" ht="14.25" customHeight="1">
      <c r="E497" s="56"/>
      <c r="F497" s="56"/>
      <c r="T497" s="54"/>
      <c r="U497" s="54"/>
      <c r="AC497" s="54"/>
      <c r="AE497" s="54"/>
      <c r="AG497" s="54"/>
      <c r="AH497" s="54"/>
      <c r="AI497" s="54"/>
      <c r="AJ497" s="54"/>
    </row>
    <row r="498" ht="14.25" customHeight="1">
      <c r="E498" s="56"/>
      <c r="F498" s="56"/>
      <c r="T498" s="54"/>
      <c r="U498" s="54"/>
      <c r="AC498" s="54"/>
      <c r="AE498" s="54"/>
      <c r="AG498" s="54"/>
      <c r="AH498" s="54"/>
      <c r="AI498" s="54"/>
      <c r="AJ498" s="54"/>
    </row>
    <row r="499" ht="14.25" customHeight="1">
      <c r="E499" s="56"/>
      <c r="F499" s="56"/>
      <c r="T499" s="54"/>
      <c r="U499" s="54"/>
      <c r="AC499" s="54"/>
      <c r="AE499" s="54"/>
      <c r="AG499" s="54"/>
      <c r="AH499" s="54"/>
      <c r="AI499" s="54"/>
      <c r="AJ499" s="54"/>
    </row>
    <row r="500" ht="14.25" customHeight="1">
      <c r="E500" s="56"/>
      <c r="F500" s="56"/>
      <c r="T500" s="54"/>
      <c r="U500" s="54"/>
      <c r="AC500" s="54"/>
      <c r="AE500" s="54"/>
      <c r="AG500" s="54"/>
      <c r="AH500" s="54"/>
      <c r="AI500" s="54"/>
      <c r="AJ500" s="54"/>
    </row>
    <row r="501" ht="14.25" customHeight="1">
      <c r="E501" s="56"/>
      <c r="F501" s="56"/>
      <c r="T501" s="54"/>
      <c r="U501" s="54"/>
      <c r="AC501" s="54"/>
      <c r="AE501" s="54"/>
      <c r="AG501" s="54"/>
      <c r="AH501" s="54"/>
      <c r="AI501" s="54"/>
      <c r="AJ501" s="54"/>
    </row>
    <row r="502" ht="14.25" customHeight="1">
      <c r="E502" s="56"/>
      <c r="F502" s="56"/>
      <c r="T502" s="54"/>
      <c r="U502" s="54"/>
      <c r="AC502" s="54"/>
      <c r="AE502" s="54"/>
      <c r="AG502" s="54"/>
      <c r="AH502" s="54"/>
      <c r="AI502" s="54"/>
      <c r="AJ502" s="54"/>
    </row>
    <row r="503" ht="14.25" customHeight="1">
      <c r="E503" s="56"/>
      <c r="F503" s="56"/>
      <c r="T503" s="54"/>
      <c r="U503" s="54"/>
      <c r="AC503" s="54"/>
      <c r="AE503" s="54"/>
      <c r="AG503" s="54"/>
      <c r="AH503" s="54"/>
      <c r="AI503" s="54"/>
      <c r="AJ503" s="54"/>
    </row>
    <row r="504" ht="14.25" customHeight="1">
      <c r="E504" s="56"/>
      <c r="F504" s="56"/>
      <c r="T504" s="54"/>
      <c r="U504" s="54"/>
      <c r="AC504" s="54"/>
      <c r="AE504" s="54"/>
      <c r="AG504" s="54"/>
      <c r="AH504" s="54"/>
      <c r="AI504" s="54"/>
      <c r="AJ504" s="54"/>
    </row>
    <row r="505" ht="14.25" customHeight="1">
      <c r="E505" s="56"/>
      <c r="F505" s="56"/>
      <c r="T505" s="54"/>
      <c r="U505" s="54"/>
      <c r="AC505" s="54"/>
      <c r="AE505" s="54"/>
      <c r="AG505" s="54"/>
      <c r="AH505" s="54"/>
      <c r="AI505" s="54"/>
      <c r="AJ505" s="54"/>
    </row>
    <row r="506" ht="14.25" customHeight="1">
      <c r="E506" s="56"/>
      <c r="F506" s="56"/>
      <c r="T506" s="54"/>
      <c r="U506" s="54"/>
      <c r="AC506" s="54"/>
      <c r="AE506" s="54"/>
      <c r="AG506" s="54"/>
      <c r="AH506" s="54"/>
      <c r="AI506" s="54"/>
      <c r="AJ506" s="54"/>
    </row>
    <row r="507" ht="14.25" customHeight="1">
      <c r="E507" s="56"/>
      <c r="F507" s="56"/>
      <c r="T507" s="54"/>
      <c r="U507" s="54"/>
      <c r="AC507" s="54"/>
      <c r="AE507" s="54"/>
      <c r="AG507" s="54"/>
      <c r="AH507" s="54"/>
      <c r="AI507" s="54"/>
      <c r="AJ507" s="54"/>
    </row>
    <row r="508" ht="14.25" customHeight="1">
      <c r="E508" s="56"/>
      <c r="F508" s="56"/>
      <c r="T508" s="54"/>
      <c r="U508" s="54"/>
      <c r="AC508" s="54"/>
      <c r="AE508" s="54"/>
      <c r="AG508" s="54"/>
      <c r="AH508" s="54"/>
      <c r="AI508" s="54"/>
      <c r="AJ508" s="54"/>
    </row>
    <row r="509" ht="14.25" customHeight="1">
      <c r="E509" s="56"/>
      <c r="F509" s="56"/>
      <c r="T509" s="54"/>
      <c r="U509" s="54"/>
      <c r="AC509" s="54"/>
      <c r="AE509" s="54"/>
      <c r="AG509" s="54"/>
      <c r="AH509" s="54"/>
      <c r="AI509" s="54"/>
      <c r="AJ509" s="54"/>
    </row>
    <row r="510" ht="14.25" customHeight="1">
      <c r="E510" s="56"/>
      <c r="F510" s="56"/>
      <c r="T510" s="54"/>
      <c r="U510" s="54"/>
      <c r="AC510" s="54"/>
      <c r="AE510" s="54"/>
      <c r="AG510" s="54"/>
      <c r="AH510" s="54"/>
      <c r="AI510" s="54"/>
      <c r="AJ510" s="54"/>
    </row>
    <row r="511" ht="14.25" customHeight="1">
      <c r="E511" s="56"/>
      <c r="F511" s="56"/>
      <c r="T511" s="54"/>
      <c r="U511" s="54"/>
      <c r="AC511" s="54"/>
      <c r="AE511" s="54"/>
      <c r="AG511" s="54"/>
      <c r="AH511" s="54"/>
      <c r="AI511" s="54"/>
      <c r="AJ511" s="54"/>
    </row>
    <row r="512" ht="14.25" customHeight="1">
      <c r="E512" s="56"/>
      <c r="F512" s="56"/>
      <c r="T512" s="54"/>
      <c r="U512" s="54"/>
      <c r="AC512" s="54"/>
      <c r="AE512" s="54"/>
      <c r="AG512" s="54"/>
      <c r="AH512" s="54"/>
      <c r="AI512" s="54"/>
      <c r="AJ512" s="54"/>
    </row>
    <row r="513" ht="14.25" customHeight="1">
      <c r="E513" s="56"/>
      <c r="F513" s="56"/>
      <c r="T513" s="54"/>
      <c r="U513" s="54"/>
      <c r="AC513" s="54"/>
      <c r="AE513" s="54"/>
      <c r="AG513" s="54"/>
      <c r="AH513" s="54"/>
      <c r="AI513" s="54"/>
      <c r="AJ513" s="54"/>
    </row>
    <row r="514" ht="14.25" customHeight="1">
      <c r="E514" s="56"/>
      <c r="F514" s="56"/>
      <c r="T514" s="54"/>
      <c r="U514" s="54"/>
      <c r="AC514" s="54"/>
      <c r="AE514" s="54"/>
      <c r="AG514" s="54"/>
      <c r="AH514" s="54"/>
      <c r="AI514" s="54"/>
      <c r="AJ514" s="54"/>
    </row>
    <row r="515" ht="14.25" customHeight="1">
      <c r="E515" s="56"/>
      <c r="F515" s="56"/>
      <c r="T515" s="54"/>
      <c r="U515" s="54"/>
      <c r="AC515" s="54"/>
      <c r="AE515" s="54"/>
      <c r="AG515" s="54"/>
      <c r="AH515" s="54"/>
      <c r="AI515" s="54"/>
      <c r="AJ515" s="54"/>
    </row>
    <row r="516" ht="14.25" customHeight="1">
      <c r="E516" s="56"/>
      <c r="F516" s="56"/>
      <c r="T516" s="54"/>
      <c r="U516" s="54"/>
      <c r="AC516" s="54"/>
      <c r="AE516" s="54"/>
      <c r="AG516" s="54"/>
      <c r="AH516" s="54"/>
      <c r="AI516" s="54"/>
      <c r="AJ516" s="54"/>
    </row>
    <row r="517" ht="14.25" customHeight="1">
      <c r="E517" s="56"/>
      <c r="F517" s="56"/>
      <c r="T517" s="54"/>
      <c r="U517" s="54"/>
      <c r="AC517" s="54"/>
      <c r="AE517" s="54"/>
      <c r="AG517" s="54"/>
      <c r="AH517" s="54"/>
      <c r="AI517" s="54"/>
      <c r="AJ517" s="54"/>
    </row>
    <row r="518" ht="14.25" customHeight="1">
      <c r="E518" s="56"/>
      <c r="F518" s="56"/>
      <c r="T518" s="54"/>
      <c r="U518" s="54"/>
      <c r="AC518" s="54"/>
      <c r="AE518" s="54"/>
      <c r="AG518" s="54"/>
      <c r="AH518" s="54"/>
      <c r="AI518" s="54"/>
      <c r="AJ518" s="54"/>
    </row>
    <row r="519" ht="14.25" customHeight="1">
      <c r="E519" s="56"/>
      <c r="F519" s="56"/>
      <c r="T519" s="54"/>
      <c r="U519" s="54"/>
      <c r="AC519" s="54"/>
      <c r="AE519" s="54"/>
      <c r="AG519" s="54"/>
      <c r="AH519" s="54"/>
      <c r="AI519" s="54"/>
      <c r="AJ519" s="54"/>
    </row>
    <row r="520" ht="14.25" customHeight="1">
      <c r="E520" s="56"/>
      <c r="F520" s="56"/>
      <c r="T520" s="54"/>
      <c r="U520" s="54"/>
      <c r="AC520" s="54"/>
      <c r="AE520" s="54"/>
      <c r="AG520" s="54"/>
      <c r="AH520" s="54"/>
      <c r="AI520" s="54"/>
      <c r="AJ520" s="54"/>
    </row>
    <row r="521" ht="14.25" customHeight="1">
      <c r="E521" s="56"/>
      <c r="F521" s="56"/>
      <c r="T521" s="54"/>
      <c r="U521" s="54"/>
      <c r="AC521" s="54"/>
      <c r="AE521" s="54"/>
      <c r="AG521" s="54"/>
      <c r="AH521" s="54"/>
      <c r="AI521" s="54"/>
      <c r="AJ521" s="54"/>
    </row>
    <row r="522" ht="14.25" customHeight="1">
      <c r="E522" s="56"/>
      <c r="F522" s="56"/>
      <c r="T522" s="54"/>
      <c r="U522" s="54"/>
      <c r="AC522" s="54"/>
      <c r="AE522" s="54"/>
      <c r="AG522" s="54"/>
      <c r="AH522" s="54"/>
      <c r="AI522" s="54"/>
      <c r="AJ522" s="54"/>
    </row>
    <row r="523" ht="14.25" customHeight="1">
      <c r="E523" s="56"/>
      <c r="F523" s="56"/>
      <c r="T523" s="54"/>
      <c r="U523" s="54"/>
      <c r="AC523" s="54"/>
      <c r="AE523" s="54"/>
      <c r="AG523" s="54"/>
      <c r="AH523" s="54"/>
      <c r="AI523" s="54"/>
      <c r="AJ523" s="54"/>
    </row>
    <row r="524" ht="14.25" customHeight="1">
      <c r="E524" s="56"/>
      <c r="F524" s="56"/>
      <c r="T524" s="54"/>
      <c r="U524" s="54"/>
      <c r="AC524" s="54"/>
      <c r="AE524" s="54"/>
      <c r="AG524" s="54"/>
      <c r="AH524" s="54"/>
      <c r="AI524" s="54"/>
      <c r="AJ524" s="54"/>
    </row>
    <row r="525" ht="14.25" customHeight="1">
      <c r="E525" s="56"/>
      <c r="F525" s="56"/>
      <c r="T525" s="54"/>
      <c r="U525" s="54"/>
      <c r="AC525" s="54"/>
      <c r="AE525" s="54"/>
      <c r="AG525" s="54"/>
      <c r="AH525" s="54"/>
      <c r="AI525" s="54"/>
      <c r="AJ525" s="54"/>
    </row>
    <row r="526" ht="14.25" customHeight="1">
      <c r="E526" s="56"/>
      <c r="F526" s="56"/>
      <c r="T526" s="54"/>
      <c r="U526" s="54"/>
      <c r="AC526" s="54"/>
      <c r="AE526" s="54"/>
      <c r="AG526" s="54"/>
      <c r="AH526" s="54"/>
      <c r="AI526" s="54"/>
      <c r="AJ526" s="54"/>
    </row>
    <row r="527" ht="14.25" customHeight="1">
      <c r="E527" s="56"/>
      <c r="F527" s="56"/>
      <c r="T527" s="54"/>
      <c r="U527" s="54"/>
      <c r="AC527" s="54"/>
      <c r="AE527" s="54"/>
      <c r="AG527" s="54"/>
      <c r="AH527" s="54"/>
      <c r="AI527" s="54"/>
      <c r="AJ527" s="54"/>
    </row>
    <row r="528" ht="14.25" customHeight="1">
      <c r="E528" s="56"/>
      <c r="F528" s="56"/>
      <c r="T528" s="54"/>
      <c r="U528" s="54"/>
      <c r="AC528" s="54"/>
      <c r="AE528" s="54"/>
      <c r="AG528" s="54"/>
      <c r="AH528" s="54"/>
      <c r="AI528" s="54"/>
      <c r="AJ528" s="54"/>
    </row>
    <row r="529" ht="14.25" customHeight="1">
      <c r="E529" s="56"/>
      <c r="F529" s="56"/>
      <c r="T529" s="54"/>
      <c r="U529" s="54"/>
      <c r="AC529" s="54"/>
      <c r="AE529" s="54"/>
      <c r="AG529" s="54"/>
      <c r="AH529" s="54"/>
      <c r="AI529" s="54"/>
      <c r="AJ529" s="54"/>
    </row>
    <row r="530" ht="14.25" customHeight="1">
      <c r="E530" s="56"/>
      <c r="F530" s="56"/>
      <c r="T530" s="54"/>
      <c r="U530" s="54"/>
      <c r="AC530" s="54"/>
      <c r="AE530" s="54"/>
      <c r="AG530" s="54"/>
      <c r="AH530" s="54"/>
      <c r="AI530" s="54"/>
      <c r="AJ530" s="54"/>
    </row>
    <row r="531" ht="14.25" customHeight="1">
      <c r="E531" s="56"/>
      <c r="F531" s="56"/>
      <c r="T531" s="54"/>
      <c r="U531" s="54"/>
      <c r="AC531" s="54"/>
      <c r="AE531" s="54"/>
      <c r="AG531" s="54"/>
      <c r="AH531" s="54"/>
      <c r="AI531" s="54"/>
      <c r="AJ531" s="54"/>
    </row>
    <row r="532" ht="14.25" customHeight="1">
      <c r="E532" s="56"/>
      <c r="F532" s="56"/>
      <c r="T532" s="54"/>
      <c r="U532" s="54"/>
      <c r="AC532" s="54"/>
      <c r="AE532" s="54"/>
      <c r="AG532" s="54"/>
      <c r="AH532" s="54"/>
      <c r="AI532" s="54"/>
      <c r="AJ532" s="54"/>
    </row>
    <row r="533" ht="14.25" customHeight="1">
      <c r="E533" s="56"/>
      <c r="F533" s="56"/>
      <c r="T533" s="54"/>
      <c r="U533" s="54"/>
      <c r="AC533" s="54"/>
      <c r="AE533" s="54"/>
      <c r="AG533" s="54"/>
      <c r="AH533" s="54"/>
      <c r="AI533" s="54"/>
      <c r="AJ533" s="54"/>
    </row>
    <row r="534" ht="14.25" customHeight="1">
      <c r="E534" s="56"/>
      <c r="F534" s="56"/>
      <c r="T534" s="54"/>
      <c r="U534" s="54"/>
      <c r="AC534" s="54"/>
      <c r="AE534" s="54"/>
      <c r="AG534" s="54"/>
      <c r="AH534" s="54"/>
      <c r="AI534" s="54"/>
      <c r="AJ534" s="54"/>
    </row>
    <row r="535" ht="14.25" customHeight="1">
      <c r="E535" s="56"/>
      <c r="F535" s="56"/>
      <c r="T535" s="54"/>
      <c r="U535" s="54"/>
      <c r="AC535" s="54"/>
      <c r="AE535" s="54"/>
      <c r="AG535" s="54"/>
      <c r="AH535" s="54"/>
      <c r="AI535" s="54"/>
      <c r="AJ535" s="54"/>
    </row>
    <row r="536" ht="14.25" customHeight="1">
      <c r="E536" s="56"/>
      <c r="F536" s="56"/>
      <c r="T536" s="54"/>
      <c r="U536" s="54"/>
      <c r="AC536" s="54"/>
      <c r="AE536" s="54"/>
      <c r="AG536" s="54"/>
      <c r="AH536" s="54"/>
      <c r="AI536" s="54"/>
      <c r="AJ536" s="54"/>
    </row>
    <row r="537" ht="14.25" customHeight="1">
      <c r="E537" s="56"/>
      <c r="F537" s="56"/>
      <c r="T537" s="54"/>
      <c r="U537" s="54"/>
      <c r="AC537" s="54"/>
      <c r="AE537" s="54"/>
      <c r="AG537" s="54"/>
      <c r="AH537" s="54"/>
      <c r="AI537" s="54"/>
      <c r="AJ537" s="54"/>
    </row>
    <row r="538" ht="14.25" customHeight="1">
      <c r="E538" s="56"/>
      <c r="F538" s="56"/>
      <c r="T538" s="54"/>
      <c r="U538" s="54"/>
      <c r="AC538" s="54"/>
      <c r="AE538" s="54"/>
      <c r="AG538" s="54"/>
      <c r="AH538" s="54"/>
      <c r="AI538" s="54"/>
      <c r="AJ538" s="54"/>
    </row>
    <row r="539" ht="14.25" customHeight="1">
      <c r="E539" s="56"/>
      <c r="F539" s="56"/>
      <c r="T539" s="54"/>
      <c r="U539" s="54"/>
      <c r="AC539" s="54"/>
      <c r="AE539" s="54"/>
      <c r="AG539" s="54"/>
      <c r="AH539" s="54"/>
      <c r="AI539" s="54"/>
      <c r="AJ539" s="54"/>
    </row>
    <row r="540" ht="14.25" customHeight="1">
      <c r="E540" s="56"/>
      <c r="F540" s="56"/>
      <c r="T540" s="54"/>
      <c r="U540" s="54"/>
      <c r="AC540" s="54"/>
      <c r="AE540" s="54"/>
      <c r="AG540" s="54"/>
      <c r="AH540" s="54"/>
      <c r="AI540" s="54"/>
      <c r="AJ540" s="54"/>
    </row>
    <row r="541" ht="14.25" customHeight="1">
      <c r="E541" s="56"/>
      <c r="F541" s="56"/>
      <c r="T541" s="54"/>
      <c r="U541" s="54"/>
      <c r="AC541" s="54"/>
      <c r="AE541" s="54"/>
      <c r="AG541" s="54"/>
      <c r="AH541" s="54"/>
      <c r="AI541" s="54"/>
      <c r="AJ541" s="54"/>
    </row>
    <row r="542" ht="14.25" customHeight="1">
      <c r="E542" s="56"/>
      <c r="F542" s="56"/>
      <c r="T542" s="54"/>
      <c r="U542" s="54"/>
      <c r="AC542" s="54"/>
      <c r="AE542" s="54"/>
      <c r="AG542" s="54"/>
      <c r="AH542" s="54"/>
      <c r="AI542" s="54"/>
      <c r="AJ542" s="54"/>
    </row>
    <row r="543" ht="14.25" customHeight="1">
      <c r="E543" s="56"/>
      <c r="F543" s="56"/>
      <c r="T543" s="54"/>
      <c r="U543" s="54"/>
      <c r="AC543" s="54"/>
      <c r="AE543" s="54"/>
      <c r="AG543" s="54"/>
      <c r="AH543" s="54"/>
      <c r="AI543" s="54"/>
      <c r="AJ543" s="54"/>
    </row>
    <row r="544" ht="14.25" customHeight="1">
      <c r="E544" s="56"/>
      <c r="F544" s="56"/>
      <c r="T544" s="54"/>
      <c r="U544" s="54"/>
      <c r="AC544" s="54"/>
      <c r="AE544" s="54"/>
      <c r="AG544" s="54"/>
      <c r="AH544" s="54"/>
      <c r="AI544" s="54"/>
      <c r="AJ544" s="54"/>
    </row>
    <row r="545" ht="14.25" customHeight="1">
      <c r="E545" s="56"/>
      <c r="F545" s="56"/>
      <c r="T545" s="54"/>
      <c r="U545" s="54"/>
      <c r="AC545" s="54"/>
      <c r="AE545" s="54"/>
      <c r="AG545" s="54"/>
      <c r="AH545" s="54"/>
      <c r="AI545" s="54"/>
      <c r="AJ545" s="54"/>
    </row>
    <row r="546" ht="14.25" customHeight="1">
      <c r="E546" s="56"/>
      <c r="F546" s="56"/>
      <c r="T546" s="54"/>
      <c r="U546" s="54"/>
      <c r="AC546" s="54"/>
      <c r="AE546" s="54"/>
      <c r="AG546" s="54"/>
      <c r="AH546" s="54"/>
      <c r="AI546" s="54"/>
      <c r="AJ546" s="54"/>
    </row>
    <row r="547" ht="14.25" customHeight="1">
      <c r="E547" s="56"/>
      <c r="F547" s="56"/>
      <c r="T547" s="54"/>
      <c r="U547" s="54"/>
      <c r="AC547" s="54"/>
      <c r="AE547" s="54"/>
      <c r="AG547" s="54"/>
      <c r="AH547" s="54"/>
      <c r="AI547" s="54"/>
      <c r="AJ547" s="54"/>
    </row>
    <row r="548" ht="14.25" customHeight="1">
      <c r="E548" s="56"/>
      <c r="F548" s="56"/>
      <c r="T548" s="54"/>
      <c r="U548" s="54"/>
      <c r="AC548" s="54"/>
      <c r="AE548" s="54"/>
      <c r="AG548" s="54"/>
      <c r="AH548" s="54"/>
      <c r="AI548" s="54"/>
      <c r="AJ548" s="54"/>
    </row>
    <row r="549" ht="14.25" customHeight="1">
      <c r="E549" s="56"/>
      <c r="F549" s="56"/>
      <c r="T549" s="54"/>
      <c r="U549" s="54"/>
      <c r="AC549" s="54"/>
      <c r="AE549" s="54"/>
      <c r="AG549" s="54"/>
      <c r="AH549" s="54"/>
      <c r="AI549" s="54"/>
      <c r="AJ549" s="54"/>
    </row>
    <row r="550" ht="14.25" customHeight="1">
      <c r="E550" s="56"/>
      <c r="F550" s="56"/>
      <c r="T550" s="54"/>
      <c r="U550" s="54"/>
      <c r="AC550" s="54"/>
      <c r="AE550" s="54"/>
      <c r="AG550" s="54"/>
      <c r="AH550" s="54"/>
      <c r="AI550" s="54"/>
      <c r="AJ550" s="54"/>
    </row>
    <row r="551" ht="14.25" customHeight="1">
      <c r="E551" s="56"/>
      <c r="F551" s="56"/>
      <c r="T551" s="54"/>
      <c r="U551" s="54"/>
      <c r="AC551" s="54"/>
      <c r="AE551" s="54"/>
      <c r="AG551" s="54"/>
      <c r="AH551" s="54"/>
      <c r="AI551" s="54"/>
      <c r="AJ551" s="54"/>
    </row>
    <row r="552" ht="14.25" customHeight="1">
      <c r="E552" s="56"/>
      <c r="F552" s="56"/>
      <c r="T552" s="54"/>
      <c r="U552" s="54"/>
      <c r="AC552" s="54"/>
      <c r="AE552" s="54"/>
      <c r="AG552" s="54"/>
      <c r="AH552" s="54"/>
      <c r="AI552" s="54"/>
      <c r="AJ552" s="54"/>
    </row>
    <row r="553" ht="14.25" customHeight="1">
      <c r="E553" s="56"/>
      <c r="F553" s="56"/>
      <c r="T553" s="54"/>
      <c r="U553" s="54"/>
      <c r="AC553" s="54"/>
      <c r="AE553" s="54"/>
      <c r="AG553" s="54"/>
      <c r="AH553" s="54"/>
      <c r="AI553" s="54"/>
      <c r="AJ553" s="54"/>
    </row>
    <row r="554" ht="14.25" customHeight="1">
      <c r="E554" s="56"/>
      <c r="F554" s="56"/>
      <c r="T554" s="54"/>
      <c r="U554" s="54"/>
      <c r="AC554" s="54"/>
      <c r="AE554" s="54"/>
      <c r="AG554" s="54"/>
      <c r="AH554" s="54"/>
      <c r="AI554" s="54"/>
      <c r="AJ554" s="54"/>
    </row>
    <row r="555" ht="14.25" customHeight="1">
      <c r="E555" s="56"/>
      <c r="F555" s="56"/>
      <c r="T555" s="54"/>
      <c r="U555" s="54"/>
      <c r="AC555" s="54"/>
      <c r="AE555" s="54"/>
      <c r="AG555" s="54"/>
      <c r="AH555" s="54"/>
      <c r="AI555" s="54"/>
      <c r="AJ555" s="54"/>
    </row>
    <row r="556" ht="14.25" customHeight="1">
      <c r="E556" s="56"/>
      <c r="F556" s="56"/>
      <c r="T556" s="54"/>
      <c r="U556" s="54"/>
      <c r="AC556" s="54"/>
      <c r="AE556" s="54"/>
      <c r="AG556" s="54"/>
      <c r="AH556" s="54"/>
      <c r="AI556" s="54"/>
      <c r="AJ556" s="54"/>
    </row>
    <row r="557" ht="14.25" customHeight="1">
      <c r="E557" s="56"/>
      <c r="F557" s="56"/>
      <c r="T557" s="54"/>
      <c r="U557" s="54"/>
      <c r="AC557" s="54"/>
      <c r="AE557" s="54"/>
      <c r="AG557" s="54"/>
      <c r="AH557" s="54"/>
      <c r="AI557" s="54"/>
      <c r="AJ557" s="54"/>
    </row>
    <row r="558" ht="14.25" customHeight="1">
      <c r="E558" s="56"/>
      <c r="F558" s="56"/>
      <c r="T558" s="54"/>
      <c r="U558" s="54"/>
      <c r="AC558" s="54"/>
      <c r="AE558" s="54"/>
      <c r="AG558" s="54"/>
      <c r="AH558" s="54"/>
      <c r="AI558" s="54"/>
      <c r="AJ558" s="54"/>
    </row>
    <row r="559" ht="14.25" customHeight="1">
      <c r="E559" s="56"/>
      <c r="F559" s="56"/>
      <c r="T559" s="54"/>
      <c r="U559" s="54"/>
      <c r="AC559" s="54"/>
      <c r="AE559" s="54"/>
      <c r="AG559" s="54"/>
      <c r="AH559" s="54"/>
      <c r="AI559" s="54"/>
      <c r="AJ559" s="54"/>
    </row>
    <row r="560" ht="14.25" customHeight="1">
      <c r="E560" s="56"/>
      <c r="F560" s="56"/>
      <c r="T560" s="54"/>
      <c r="U560" s="54"/>
      <c r="AC560" s="54"/>
      <c r="AE560" s="54"/>
      <c r="AG560" s="54"/>
      <c r="AH560" s="54"/>
      <c r="AI560" s="54"/>
      <c r="AJ560" s="54"/>
    </row>
    <row r="561" ht="14.25" customHeight="1">
      <c r="E561" s="56"/>
      <c r="F561" s="56"/>
      <c r="T561" s="54"/>
      <c r="U561" s="54"/>
      <c r="AC561" s="54"/>
      <c r="AE561" s="54"/>
      <c r="AG561" s="54"/>
      <c r="AH561" s="54"/>
      <c r="AI561" s="54"/>
      <c r="AJ561" s="54"/>
    </row>
    <row r="562" ht="14.25" customHeight="1">
      <c r="E562" s="56"/>
      <c r="F562" s="56"/>
      <c r="T562" s="54"/>
      <c r="U562" s="54"/>
      <c r="AC562" s="54"/>
      <c r="AE562" s="54"/>
      <c r="AG562" s="54"/>
      <c r="AH562" s="54"/>
      <c r="AI562" s="54"/>
      <c r="AJ562" s="54"/>
    </row>
    <row r="563" ht="14.25" customHeight="1">
      <c r="E563" s="56"/>
      <c r="F563" s="56"/>
      <c r="T563" s="54"/>
      <c r="U563" s="54"/>
      <c r="AC563" s="54"/>
      <c r="AE563" s="54"/>
      <c r="AG563" s="54"/>
      <c r="AH563" s="54"/>
      <c r="AI563" s="54"/>
      <c r="AJ563" s="54"/>
    </row>
    <row r="564" ht="14.25" customHeight="1">
      <c r="E564" s="56"/>
      <c r="F564" s="56"/>
      <c r="T564" s="54"/>
      <c r="U564" s="54"/>
      <c r="AC564" s="54"/>
      <c r="AE564" s="54"/>
      <c r="AG564" s="54"/>
      <c r="AH564" s="54"/>
      <c r="AI564" s="54"/>
      <c r="AJ564" s="54"/>
    </row>
    <row r="565" ht="14.25" customHeight="1">
      <c r="E565" s="56"/>
      <c r="F565" s="56"/>
      <c r="T565" s="54"/>
      <c r="U565" s="54"/>
      <c r="AC565" s="54"/>
      <c r="AE565" s="54"/>
      <c r="AG565" s="54"/>
      <c r="AH565" s="54"/>
      <c r="AI565" s="54"/>
      <c r="AJ565" s="54"/>
    </row>
    <row r="566" ht="14.25" customHeight="1">
      <c r="E566" s="56"/>
      <c r="F566" s="56"/>
      <c r="T566" s="54"/>
      <c r="U566" s="54"/>
      <c r="AC566" s="54"/>
      <c r="AE566" s="54"/>
      <c r="AG566" s="54"/>
      <c r="AH566" s="54"/>
      <c r="AI566" s="54"/>
      <c r="AJ566" s="54"/>
    </row>
    <row r="567" ht="14.25" customHeight="1">
      <c r="E567" s="56"/>
      <c r="F567" s="56"/>
      <c r="T567" s="54"/>
      <c r="U567" s="54"/>
      <c r="AC567" s="54"/>
      <c r="AE567" s="54"/>
      <c r="AG567" s="54"/>
      <c r="AH567" s="54"/>
      <c r="AI567" s="54"/>
      <c r="AJ567" s="54"/>
    </row>
    <row r="568" ht="14.25" customHeight="1">
      <c r="E568" s="56"/>
      <c r="F568" s="56"/>
      <c r="T568" s="54"/>
      <c r="U568" s="54"/>
      <c r="AC568" s="54"/>
      <c r="AE568" s="54"/>
      <c r="AG568" s="54"/>
      <c r="AH568" s="54"/>
      <c r="AI568" s="54"/>
      <c r="AJ568" s="54"/>
    </row>
    <row r="569" ht="14.25" customHeight="1">
      <c r="E569" s="56"/>
      <c r="F569" s="56"/>
      <c r="T569" s="54"/>
      <c r="U569" s="54"/>
      <c r="AC569" s="54"/>
      <c r="AE569" s="54"/>
      <c r="AG569" s="54"/>
      <c r="AH569" s="54"/>
      <c r="AI569" s="54"/>
      <c r="AJ569" s="54"/>
    </row>
    <row r="570" ht="14.25" customHeight="1">
      <c r="E570" s="56"/>
      <c r="F570" s="56"/>
      <c r="T570" s="54"/>
      <c r="U570" s="54"/>
      <c r="AC570" s="54"/>
      <c r="AE570" s="54"/>
      <c r="AG570" s="54"/>
      <c r="AH570" s="54"/>
      <c r="AI570" s="54"/>
      <c r="AJ570" s="54"/>
    </row>
    <row r="571" ht="14.25" customHeight="1">
      <c r="E571" s="56"/>
      <c r="F571" s="56"/>
      <c r="T571" s="54"/>
      <c r="U571" s="54"/>
      <c r="AC571" s="54"/>
      <c r="AE571" s="54"/>
      <c r="AG571" s="54"/>
      <c r="AH571" s="54"/>
      <c r="AI571" s="54"/>
      <c r="AJ571" s="54"/>
    </row>
    <row r="572" ht="14.25" customHeight="1">
      <c r="E572" s="56"/>
      <c r="F572" s="56"/>
      <c r="T572" s="54"/>
      <c r="U572" s="54"/>
      <c r="AC572" s="54"/>
      <c r="AE572" s="54"/>
      <c r="AG572" s="54"/>
      <c r="AH572" s="54"/>
      <c r="AI572" s="54"/>
      <c r="AJ572" s="54"/>
    </row>
    <row r="573" ht="14.25" customHeight="1">
      <c r="E573" s="56"/>
      <c r="F573" s="56"/>
      <c r="T573" s="54"/>
      <c r="U573" s="54"/>
      <c r="AC573" s="54"/>
      <c r="AE573" s="54"/>
      <c r="AG573" s="54"/>
      <c r="AH573" s="54"/>
      <c r="AI573" s="54"/>
      <c r="AJ573" s="54"/>
    </row>
    <row r="574" ht="14.25" customHeight="1">
      <c r="E574" s="56"/>
      <c r="F574" s="56"/>
      <c r="T574" s="54"/>
      <c r="U574" s="54"/>
      <c r="AC574" s="54"/>
      <c r="AE574" s="54"/>
      <c r="AG574" s="54"/>
      <c r="AH574" s="54"/>
      <c r="AI574" s="54"/>
      <c r="AJ574" s="54"/>
    </row>
    <row r="575" ht="14.25" customHeight="1">
      <c r="E575" s="56"/>
      <c r="F575" s="56"/>
      <c r="T575" s="54"/>
      <c r="U575" s="54"/>
      <c r="AC575" s="54"/>
      <c r="AE575" s="54"/>
      <c r="AG575" s="54"/>
      <c r="AH575" s="54"/>
      <c r="AI575" s="54"/>
      <c r="AJ575" s="54"/>
    </row>
    <row r="576" ht="14.25" customHeight="1">
      <c r="E576" s="56"/>
      <c r="F576" s="56"/>
      <c r="T576" s="54"/>
      <c r="U576" s="54"/>
      <c r="AC576" s="54"/>
      <c r="AE576" s="54"/>
      <c r="AG576" s="54"/>
      <c r="AH576" s="54"/>
      <c r="AI576" s="54"/>
      <c r="AJ576" s="54"/>
    </row>
    <row r="577" ht="14.25" customHeight="1">
      <c r="E577" s="56"/>
      <c r="F577" s="56"/>
      <c r="T577" s="54"/>
      <c r="U577" s="54"/>
      <c r="AC577" s="54"/>
      <c r="AE577" s="54"/>
      <c r="AG577" s="54"/>
      <c r="AH577" s="54"/>
      <c r="AI577" s="54"/>
      <c r="AJ577" s="54"/>
    </row>
    <row r="578" ht="14.25" customHeight="1">
      <c r="E578" s="56"/>
      <c r="F578" s="56"/>
      <c r="T578" s="54"/>
      <c r="U578" s="54"/>
      <c r="AC578" s="54"/>
      <c r="AE578" s="54"/>
      <c r="AG578" s="54"/>
      <c r="AH578" s="54"/>
      <c r="AI578" s="54"/>
      <c r="AJ578" s="54"/>
    </row>
    <row r="579" ht="14.25" customHeight="1">
      <c r="E579" s="56"/>
      <c r="F579" s="56"/>
      <c r="T579" s="54"/>
      <c r="U579" s="54"/>
      <c r="AC579" s="54"/>
      <c r="AE579" s="54"/>
      <c r="AG579" s="54"/>
      <c r="AH579" s="54"/>
      <c r="AI579" s="54"/>
      <c r="AJ579" s="54"/>
    </row>
    <row r="580" ht="14.25" customHeight="1">
      <c r="E580" s="56"/>
      <c r="F580" s="56"/>
      <c r="T580" s="54"/>
      <c r="U580" s="54"/>
      <c r="AC580" s="54"/>
      <c r="AE580" s="54"/>
      <c r="AG580" s="54"/>
      <c r="AH580" s="54"/>
      <c r="AI580" s="54"/>
      <c r="AJ580" s="54"/>
    </row>
    <row r="581" ht="14.25" customHeight="1">
      <c r="E581" s="56"/>
      <c r="F581" s="56"/>
      <c r="T581" s="54"/>
      <c r="U581" s="54"/>
      <c r="AC581" s="54"/>
      <c r="AE581" s="54"/>
      <c r="AG581" s="54"/>
      <c r="AH581" s="54"/>
      <c r="AI581" s="54"/>
      <c r="AJ581" s="54"/>
    </row>
    <row r="582" ht="14.25" customHeight="1">
      <c r="E582" s="56"/>
      <c r="F582" s="56"/>
      <c r="T582" s="54"/>
      <c r="U582" s="54"/>
      <c r="AC582" s="54"/>
      <c r="AE582" s="54"/>
      <c r="AG582" s="54"/>
      <c r="AH582" s="54"/>
      <c r="AI582" s="54"/>
      <c r="AJ582" s="54"/>
    </row>
    <row r="583" ht="14.25" customHeight="1">
      <c r="E583" s="56"/>
      <c r="F583" s="56"/>
      <c r="T583" s="54"/>
      <c r="U583" s="54"/>
      <c r="AC583" s="54"/>
      <c r="AE583" s="54"/>
      <c r="AG583" s="54"/>
      <c r="AH583" s="54"/>
      <c r="AI583" s="54"/>
      <c r="AJ583" s="54"/>
    </row>
    <row r="584" ht="14.25" customHeight="1">
      <c r="E584" s="56"/>
      <c r="F584" s="56"/>
      <c r="T584" s="54"/>
      <c r="U584" s="54"/>
      <c r="AC584" s="54"/>
      <c r="AE584" s="54"/>
      <c r="AG584" s="54"/>
      <c r="AH584" s="54"/>
      <c r="AI584" s="54"/>
      <c r="AJ584" s="54"/>
    </row>
    <row r="585" ht="14.25" customHeight="1">
      <c r="E585" s="56"/>
      <c r="F585" s="56"/>
      <c r="T585" s="54"/>
      <c r="U585" s="54"/>
      <c r="AC585" s="54"/>
      <c r="AE585" s="54"/>
      <c r="AG585" s="54"/>
      <c r="AH585" s="54"/>
      <c r="AI585" s="54"/>
      <c r="AJ585" s="54"/>
    </row>
    <row r="586" ht="14.25" customHeight="1">
      <c r="E586" s="56"/>
      <c r="F586" s="56"/>
      <c r="T586" s="54"/>
      <c r="U586" s="54"/>
      <c r="AC586" s="54"/>
      <c r="AE586" s="54"/>
      <c r="AG586" s="54"/>
      <c r="AH586" s="54"/>
      <c r="AI586" s="54"/>
      <c r="AJ586" s="54"/>
    </row>
    <row r="587" ht="14.25" customHeight="1">
      <c r="E587" s="56"/>
      <c r="F587" s="56"/>
      <c r="T587" s="54"/>
      <c r="U587" s="54"/>
      <c r="AC587" s="54"/>
      <c r="AE587" s="54"/>
      <c r="AG587" s="54"/>
      <c r="AH587" s="54"/>
      <c r="AI587" s="54"/>
      <c r="AJ587" s="54"/>
    </row>
    <row r="588" ht="14.25" customHeight="1">
      <c r="E588" s="56"/>
      <c r="F588" s="56"/>
      <c r="T588" s="54"/>
      <c r="U588" s="54"/>
      <c r="AC588" s="54"/>
      <c r="AE588" s="54"/>
      <c r="AG588" s="54"/>
      <c r="AH588" s="54"/>
      <c r="AI588" s="54"/>
      <c r="AJ588" s="54"/>
    </row>
    <row r="589" ht="14.25" customHeight="1">
      <c r="E589" s="56"/>
      <c r="F589" s="56"/>
      <c r="T589" s="54"/>
      <c r="U589" s="54"/>
      <c r="AC589" s="54"/>
      <c r="AE589" s="54"/>
      <c r="AG589" s="54"/>
      <c r="AH589" s="54"/>
      <c r="AI589" s="54"/>
      <c r="AJ589" s="54"/>
    </row>
    <row r="590" ht="14.25" customHeight="1">
      <c r="E590" s="56"/>
      <c r="F590" s="56"/>
      <c r="T590" s="54"/>
      <c r="U590" s="54"/>
      <c r="AC590" s="54"/>
      <c r="AE590" s="54"/>
      <c r="AG590" s="54"/>
      <c r="AH590" s="54"/>
      <c r="AI590" s="54"/>
      <c r="AJ590" s="54"/>
    </row>
    <row r="591" ht="14.25" customHeight="1">
      <c r="E591" s="56"/>
      <c r="F591" s="56"/>
      <c r="T591" s="54"/>
      <c r="U591" s="54"/>
      <c r="AC591" s="54"/>
      <c r="AE591" s="54"/>
      <c r="AG591" s="54"/>
      <c r="AH591" s="54"/>
      <c r="AI591" s="54"/>
      <c r="AJ591" s="54"/>
    </row>
    <row r="592" ht="14.25" customHeight="1">
      <c r="E592" s="56"/>
      <c r="F592" s="56"/>
      <c r="T592" s="54"/>
      <c r="U592" s="54"/>
      <c r="AC592" s="54"/>
      <c r="AE592" s="54"/>
      <c r="AG592" s="54"/>
      <c r="AH592" s="54"/>
      <c r="AI592" s="54"/>
      <c r="AJ592" s="54"/>
    </row>
    <row r="593" ht="14.25" customHeight="1">
      <c r="E593" s="56"/>
      <c r="F593" s="56"/>
      <c r="T593" s="54"/>
      <c r="U593" s="54"/>
      <c r="AC593" s="54"/>
      <c r="AE593" s="54"/>
      <c r="AG593" s="54"/>
      <c r="AH593" s="54"/>
      <c r="AI593" s="54"/>
      <c r="AJ593" s="54"/>
    </row>
    <row r="594" ht="14.25" customHeight="1">
      <c r="E594" s="56"/>
      <c r="F594" s="56"/>
      <c r="T594" s="54"/>
      <c r="U594" s="54"/>
      <c r="AC594" s="54"/>
      <c r="AE594" s="54"/>
      <c r="AG594" s="54"/>
      <c r="AH594" s="54"/>
      <c r="AI594" s="54"/>
      <c r="AJ594" s="54"/>
    </row>
    <row r="595" ht="14.25" customHeight="1">
      <c r="E595" s="56"/>
      <c r="F595" s="56"/>
      <c r="T595" s="54"/>
      <c r="U595" s="54"/>
      <c r="AC595" s="54"/>
      <c r="AE595" s="54"/>
      <c r="AG595" s="54"/>
      <c r="AH595" s="54"/>
      <c r="AI595" s="54"/>
      <c r="AJ595" s="54"/>
    </row>
    <row r="596" ht="14.25" customHeight="1">
      <c r="E596" s="56"/>
      <c r="F596" s="56"/>
      <c r="T596" s="54"/>
      <c r="U596" s="54"/>
      <c r="AC596" s="54"/>
      <c r="AE596" s="54"/>
      <c r="AG596" s="54"/>
      <c r="AH596" s="54"/>
      <c r="AI596" s="54"/>
      <c r="AJ596" s="54"/>
    </row>
    <row r="597" ht="14.25" customHeight="1">
      <c r="E597" s="56"/>
      <c r="F597" s="56"/>
      <c r="T597" s="54"/>
      <c r="U597" s="54"/>
      <c r="AC597" s="54"/>
      <c r="AE597" s="54"/>
      <c r="AG597" s="54"/>
      <c r="AH597" s="54"/>
      <c r="AI597" s="54"/>
      <c r="AJ597" s="54"/>
    </row>
    <row r="598" ht="14.25" customHeight="1">
      <c r="E598" s="56"/>
      <c r="F598" s="56"/>
      <c r="T598" s="54"/>
      <c r="U598" s="54"/>
      <c r="AC598" s="54"/>
      <c r="AE598" s="54"/>
      <c r="AG598" s="54"/>
      <c r="AH598" s="54"/>
      <c r="AI598" s="54"/>
      <c r="AJ598" s="54"/>
    </row>
    <row r="599" ht="14.25" customHeight="1">
      <c r="E599" s="56"/>
      <c r="F599" s="56"/>
      <c r="T599" s="54"/>
      <c r="U599" s="54"/>
      <c r="AC599" s="54"/>
      <c r="AE599" s="54"/>
      <c r="AG599" s="54"/>
      <c r="AH599" s="54"/>
      <c r="AI599" s="54"/>
      <c r="AJ599" s="54"/>
    </row>
    <row r="600" ht="14.25" customHeight="1">
      <c r="E600" s="56"/>
      <c r="F600" s="56"/>
      <c r="T600" s="54"/>
      <c r="U600" s="54"/>
      <c r="AC600" s="54"/>
      <c r="AE600" s="54"/>
      <c r="AG600" s="54"/>
      <c r="AH600" s="54"/>
      <c r="AI600" s="54"/>
      <c r="AJ600" s="54"/>
    </row>
    <row r="601" ht="14.25" customHeight="1">
      <c r="E601" s="56"/>
      <c r="F601" s="56"/>
      <c r="T601" s="54"/>
      <c r="U601" s="54"/>
      <c r="AC601" s="54"/>
      <c r="AE601" s="54"/>
      <c r="AG601" s="54"/>
      <c r="AH601" s="54"/>
      <c r="AI601" s="54"/>
      <c r="AJ601" s="54"/>
    </row>
    <row r="602" ht="14.25" customHeight="1">
      <c r="E602" s="56"/>
      <c r="F602" s="56"/>
      <c r="T602" s="54"/>
      <c r="U602" s="54"/>
      <c r="AC602" s="54"/>
      <c r="AE602" s="54"/>
      <c r="AG602" s="54"/>
      <c r="AH602" s="54"/>
      <c r="AI602" s="54"/>
      <c r="AJ602" s="54"/>
    </row>
    <row r="603" ht="14.25" customHeight="1">
      <c r="E603" s="56"/>
      <c r="F603" s="56"/>
      <c r="T603" s="54"/>
      <c r="U603" s="54"/>
      <c r="AC603" s="54"/>
      <c r="AE603" s="54"/>
      <c r="AG603" s="54"/>
      <c r="AH603" s="54"/>
      <c r="AI603" s="54"/>
      <c r="AJ603" s="54"/>
    </row>
    <row r="604" ht="14.25" customHeight="1">
      <c r="E604" s="56"/>
      <c r="F604" s="56"/>
      <c r="T604" s="54"/>
      <c r="U604" s="54"/>
      <c r="AC604" s="54"/>
      <c r="AE604" s="54"/>
      <c r="AG604" s="54"/>
      <c r="AH604" s="54"/>
      <c r="AI604" s="54"/>
      <c r="AJ604" s="54"/>
    </row>
    <row r="605" ht="14.25" customHeight="1">
      <c r="E605" s="56"/>
      <c r="F605" s="56"/>
      <c r="T605" s="54"/>
      <c r="U605" s="54"/>
      <c r="AC605" s="54"/>
      <c r="AE605" s="54"/>
      <c r="AG605" s="54"/>
      <c r="AH605" s="54"/>
      <c r="AI605" s="54"/>
      <c r="AJ605" s="54"/>
    </row>
    <row r="606" ht="14.25" customHeight="1">
      <c r="E606" s="56"/>
      <c r="F606" s="56"/>
      <c r="T606" s="54"/>
      <c r="U606" s="54"/>
      <c r="AC606" s="54"/>
      <c r="AE606" s="54"/>
      <c r="AG606" s="54"/>
      <c r="AH606" s="54"/>
      <c r="AI606" s="54"/>
      <c r="AJ606" s="54"/>
    </row>
    <row r="607" ht="14.25" customHeight="1">
      <c r="E607" s="56"/>
      <c r="F607" s="56"/>
      <c r="T607" s="54"/>
      <c r="U607" s="54"/>
      <c r="AC607" s="54"/>
      <c r="AE607" s="54"/>
      <c r="AG607" s="54"/>
      <c r="AH607" s="54"/>
      <c r="AI607" s="54"/>
      <c r="AJ607" s="54"/>
    </row>
    <row r="608" ht="14.25" customHeight="1">
      <c r="E608" s="56"/>
      <c r="F608" s="56"/>
      <c r="T608" s="54"/>
      <c r="U608" s="54"/>
      <c r="AC608" s="54"/>
      <c r="AE608" s="54"/>
      <c r="AG608" s="54"/>
      <c r="AH608" s="54"/>
      <c r="AI608" s="54"/>
      <c r="AJ608" s="54"/>
    </row>
    <row r="609" ht="14.25" customHeight="1">
      <c r="E609" s="56"/>
      <c r="F609" s="56"/>
      <c r="T609" s="54"/>
      <c r="U609" s="54"/>
      <c r="AC609" s="54"/>
      <c r="AE609" s="54"/>
      <c r="AG609" s="54"/>
      <c r="AH609" s="54"/>
      <c r="AI609" s="54"/>
      <c r="AJ609" s="54"/>
    </row>
    <row r="610" ht="14.25" customHeight="1">
      <c r="E610" s="56"/>
      <c r="F610" s="56"/>
      <c r="T610" s="54"/>
      <c r="U610" s="54"/>
      <c r="AC610" s="54"/>
      <c r="AE610" s="54"/>
      <c r="AG610" s="54"/>
      <c r="AH610" s="54"/>
      <c r="AI610" s="54"/>
      <c r="AJ610" s="54"/>
    </row>
    <row r="611" ht="14.25" customHeight="1">
      <c r="E611" s="56"/>
      <c r="F611" s="56"/>
      <c r="T611" s="54"/>
      <c r="U611" s="54"/>
      <c r="AC611" s="54"/>
      <c r="AE611" s="54"/>
      <c r="AG611" s="54"/>
      <c r="AH611" s="54"/>
      <c r="AI611" s="54"/>
      <c r="AJ611" s="54"/>
    </row>
    <row r="612" ht="14.25" customHeight="1">
      <c r="E612" s="56"/>
      <c r="F612" s="56"/>
      <c r="T612" s="54"/>
      <c r="U612" s="54"/>
      <c r="AC612" s="54"/>
      <c r="AE612" s="54"/>
      <c r="AG612" s="54"/>
      <c r="AH612" s="54"/>
      <c r="AI612" s="54"/>
      <c r="AJ612" s="54"/>
    </row>
    <row r="613" ht="14.25" customHeight="1">
      <c r="E613" s="56"/>
      <c r="F613" s="56"/>
      <c r="T613" s="54"/>
      <c r="U613" s="54"/>
      <c r="AC613" s="54"/>
      <c r="AE613" s="54"/>
      <c r="AG613" s="54"/>
      <c r="AH613" s="54"/>
      <c r="AI613" s="54"/>
      <c r="AJ613" s="54"/>
    </row>
    <row r="614" ht="14.25" customHeight="1">
      <c r="E614" s="56"/>
      <c r="F614" s="56"/>
      <c r="T614" s="54"/>
      <c r="U614" s="54"/>
      <c r="AC614" s="54"/>
      <c r="AE614" s="54"/>
      <c r="AG614" s="54"/>
      <c r="AH614" s="54"/>
      <c r="AI614" s="54"/>
      <c r="AJ614" s="54"/>
    </row>
    <row r="615" ht="14.25" customHeight="1">
      <c r="E615" s="56"/>
      <c r="F615" s="56"/>
      <c r="T615" s="54"/>
      <c r="U615" s="54"/>
      <c r="AC615" s="54"/>
      <c r="AE615" s="54"/>
      <c r="AG615" s="54"/>
      <c r="AH615" s="54"/>
      <c r="AI615" s="54"/>
      <c r="AJ615" s="54"/>
    </row>
    <row r="616" ht="14.25" customHeight="1">
      <c r="E616" s="56"/>
      <c r="F616" s="56"/>
      <c r="T616" s="54"/>
      <c r="U616" s="54"/>
      <c r="AC616" s="54"/>
      <c r="AE616" s="54"/>
      <c r="AG616" s="54"/>
      <c r="AH616" s="54"/>
      <c r="AI616" s="54"/>
      <c r="AJ616" s="54"/>
    </row>
    <row r="617" ht="14.25" customHeight="1">
      <c r="E617" s="56"/>
      <c r="F617" s="56"/>
      <c r="T617" s="54"/>
      <c r="U617" s="54"/>
      <c r="AC617" s="54"/>
      <c r="AE617" s="54"/>
      <c r="AG617" s="54"/>
      <c r="AH617" s="54"/>
      <c r="AI617" s="54"/>
      <c r="AJ617" s="54"/>
    </row>
    <row r="618" ht="14.25" customHeight="1">
      <c r="E618" s="56"/>
      <c r="F618" s="56"/>
      <c r="T618" s="54"/>
      <c r="U618" s="54"/>
      <c r="AC618" s="54"/>
      <c r="AE618" s="54"/>
      <c r="AG618" s="54"/>
      <c r="AH618" s="54"/>
      <c r="AI618" s="54"/>
      <c r="AJ618" s="54"/>
    </row>
    <row r="619" ht="14.25" customHeight="1">
      <c r="E619" s="56"/>
      <c r="F619" s="56"/>
      <c r="T619" s="54"/>
      <c r="U619" s="54"/>
      <c r="AC619" s="54"/>
      <c r="AE619" s="54"/>
      <c r="AG619" s="54"/>
      <c r="AH619" s="54"/>
      <c r="AI619" s="54"/>
      <c r="AJ619" s="54"/>
    </row>
    <row r="620" ht="14.25" customHeight="1">
      <c r="E620" s="56"/>
      <c r="F620" s="56"/>
      <c r="T620" s="54"/>
      <c r="U620" s="54"/>
      <c r="AC620" s="54"/>
      <c r="AE620" s="54"/>
      <c r="AG620" s="54"/>
      <c r="AH620" s="54"/>
      <c r="AI620" s="54"/>
      <c r="AJ620" s="54"/>
    </row>
    <row r="621" ht="14.25" customHeight="1">
      <c r="E621" s="56"/>
      <c r="F621" s="56"/>
      <c r="T621" s="54"/>
      <c r="U621" s="54"/>
      <c r="AC621" s="54"/>
      <c r="AE621" s="54"/>
      <c r="AG621" s="54"/>
      <c r="AH621" s="54"/>
      <c r="AI621" s="54"/>
      <c r="AJ621" s="54"/>
    </row>
    <row r="622" ht="14.25" customHeight="1">
      <c r="E622" s="56"/>
      <c r="F622" s="56"/>
      <c r="T622" s="54"/>
      <c r="U622" s="54"/>
      <c r="AC622" s="54"/>
      <c r="AE622" s="54"/>
      <c r="AG622" s="54"/>
      <c r="AH622" s="54"/>
      <c r="AI622" s="54"/>
      <c r="AJ622" s="54"/>
    </row>
    <row r="623" ht="14.25" customHeight="1">
      <c r="E623" s="56"/>
      <c r="F623" s="56"/>
      <c r="T623" s="54"/>
      <c r="U623" s="54"/>
      <c r="AC623" s="54"/>
      <c r="AE623" s="54"/>
      <c r="AG623" s="54"/>
      <c r="AH623" s="54"/>
      <c r="AI623" s="54"/>
      <c r="AJ623" s="54"/>
    </row>
    <row r="624" ht="14.25" customHeight="1">
      <c r="E624" s="56"/>
      <c r="F624" s="56"/>
      <c r="T624" s="54"/>
      <c r="U624" s="54"/>
      <c r="AC624" s="54"/>
      <c r="AE624" s="54"/>
      <c r="AG624" s="54"/>
      <c r="AH624" s="54"/>
      <c r="AI624" s="54"/>
      <c r="AJ624" s="54"/>
    </row>
    <row r="625" ht="14.25" customHeight="1">
      <c r="E625" s="56"/>
      <c r="F625" s="56"/>
      <c r="T625" s="54"/>
      <c r="U625" s="54"/>
      <c r="AC625" s="54"/>
      <c r="AE625" s="54"/>
      <c r="AG625" s="54"/>
      <c r="AH625" s="54"/>
      <c r="AI625" s="54"/>
      <c r="AJ625" s="54"/>
    </row>
    <row r="626" ht="14.25" customHeight="1">
      <c r="E626" s="56"/>
      <c r="F626" s="56"/>
      <c r="T626" s="54"/>
      <c r="U626" s="54"/>
      <c r="AC626" s="54"/>
      <c r="AE626" s="54"/>
      <c r="AG626" s="54"/>
      <c r="AH626" s="54"/>
      <c r="AI626" s="54"/>
      <c r="AJ626" s="54"/>
    </row>
    <row r="627" ht="14.25" customHeight="1">
      <c r="E627" s="56"/>
      <c r="F627" s="56"/>
      <c r="T627" s="54"/>
      <c r="U627" s="54"/>
      <c r="AC627" s="54"/>
      <c r="AE627" s="54"/>
      <c r="AG627" s="54"/>
      <c r="AH627" s="54"/>
      <c r="AI627" s="54"/>
      <c r="AJ627" s="54"/>
    </row>
    <row r="628" ht="14.25" customHeight="1">
      <c r="E628" s="56"/>
      <c r="F628" s="56"/>
      <c r="T628" s="54"/>
      <c r="U628" s="54"/>
      <c r="AC628" s="54"/>
      <c r="AE628" s="54"/>
      <c r="AG628" s="54"/>
      <c r="AH628" s="54"/>
      <c r="AI628" s="54"/>
      <c r="AJ628" s="54"/>
    </row>
    <row r="629" ht="14.25" customHeight="1">
      <c r="E629" s="56"/>
      <c r="F629" s="56"/>
      <c r="T629" s="54"/>
      <c r="U629" s="54"/>
      <c r="AC629" s="54"/>
      <c r="AE629" s="54"/>
      <c r="AG629" s="54"/>
      <c r="AH629" s="54"/>
      <c r="AI629" s="54"/>
      <c r="AJ629" s="54"/>
    </row>
    <row r="630" ht="14.25" customHeight="1">
      <c r="E630" s="56"/>
      <c r="F630" s="56"/>
      <c r="T630" s="54"/>
      <c r="U630" s="54"/>
      <c r="AC630" s="54"/>
      <c r="AE630" s="54"/>
      <c r="AG630" s="54"/>
      <c r="AH630" s="54"/>
      <c r="AI630" s="54"/>
      <c r="AJ630" s="54"/>
    </row>
    <row r="631" ht="14.25" customHeight="1">
      <c r="E631" s="56"/>
      <c r="F631" s="56"/>
      <c r="T631" s="54"/>
      <c r="U631" s="54"/>
      <c r="AC631" s="54"/>
      <c r="AE631" s="54"/>
      <c r="AG631" s="54"/>
      <c r="AH631" s="54"/>
      <c r="AI631" s="54"/>
      <c r="AJ631" s="54"/>
    </row>
    <row r="632" ht="14.25" customHeight="1">
      <c r="E632" s="56"/>
      <c r="F632" s="56"/>
      <c r="T632" s="54"/>
      <c r="U632" s="54"/>
      <c r="AC632" s="54"/>
      <c r="AE632" s="54"/>
      <c r="AG632" s="54"/>
      <c r="AH632" s="54"/>
      <c r="AI632" s="54"/>
      <c r="AJ632" s="54"/>
    </row>
    <row r="633" ht="14.25" customHeight="1">
      <c r="E633" s="56"/>
      <c r="F633" s="56"/>
      <c r="T633" s="54"/>
      <c r="U633" s="54"/>
      <c r="AC633" s="54"/>
      <c r="AE633" s="54"/>
      <c r="AG633" s="54"/>
      <c r="AH633" s="54"/>
      <c r="AI633" s="54"/>
      <c r="AJ633" s="54"/>
    </row>
    <row r="634" ht="14.25" customHeight="1">
      <c r="E634" s="56"/>
      <c r="F634" s="56"/>
      <c r="T634" s="54"/>
      <c r="U634" s="54"/>
      <c r="AC634" s="54"/>
      <c r="AE634" s="54"/>
      <c r="AG634" s="54"/>
      <c r="AH634" s="54"/>
      <c r="AI634" s="54"/>
      <c r="AJ634" s="54"/>
    </row>
    <row r="635" ht="14.25" customHeight="1">
      <c r="E635" s="56"/>
      <c r="F635" s="56"/>
      <c r="T635" s="54"/>
      <c r="U635" s="54"/>
      <c r="AC635" s="54"/>
      <c r="AE635" s="54"/>
      <c r="AG635" s="54"/>
      <c r="AH635" s="54"/>
      <c r="AI635" s="54"/>
      <c r="AJ635" s="54"/>
    </row>
    <row r="636" ht="14.25" customHeight="1">
      <c r="E636" s="56"/>
      <c r="F636" s="56"/>
      <c r="T636" s="54"/>
      <c r="U636" s="54"/>
      <c r="AC636" s="54"/>
      <c r="AE636" s="54"/>
      <c r="AG636" s="54"/>
      <c r="AH636" s="54"/>
      <c r="AI636" s="54"/>
      <c r="AJ636" s="54"/>
    </row>
    <row r="637" ht="14.25" customHeight="1">
      <c r="E637" s="56"/>
      <c r="F637" s="56"/>
      <c r="T637" s="54"/>
      <c r="U637" s="54"/>
      <c r="AC637" s="54"/>
      <c r="AE637" s="54"/>
      <c r="AG637" s="54"/>
      <c r="AH637" s="54"/>
      <c r="AI637" s="54"/>
      <c r="AJ637" s="54"/>
    </row>
    <row r="638" ht="14.25" customHeight="1">
      <c r="E638" s="56"/>
      <c r="F638" s="56"/>
      <c r="T638" s="54"/>
      <c r="U638" s="54"/>
      <c r="AC638" s="54"/>
      <c r="AE638" s="54"/>
      <c r="AG638" s="54"/>
      <c r="AH638" s="54"/>
      <c r="AI638" s="54"/>
      <c r="AJ638" s="54"/>
    </row>
    <row r="639" ht="14.25" customHeight="1">
      <c r="E639" s="56"/>
      <c r="F639" s="56"/>
      <c r="T639" s="54"/>
      <c r="U639" s="54"/>
      <c r="AC639" s="54"/>
      <c r="AE639" s="54"/>
      <c r="AG639" s="54"/>
      <c r="AH639" s="54"/>
      <c r="AI639" s="54"/>
      <c r="AJ639" s="54"/>
    </row>
    <row r="640" ht="14.25" customHeight="1">
      <c r="E640" s="56"/>
      <c r="F640" s="56"/>
      <c r="T640" s="54"/>
      <c r="U640" s="54"/>
      <c r="AC640" s="54"/>
      <c r="AE640" s="54"/>
      <c r="AG640" s="54"/>
      <c r="AH640" s="54"/>
      <c r="AI640" s="54"/>
      <c r="AJ640" s="54"/>
    </row>
    <row r="641" ht="14.25" customHeight="1">
      <c r="E641" s="56"/>
      <c r="F641" s="56"/>
      <c r="T641" s="54"/>
      <c r="U641" s="54"/>
      <c r="AC641" s="54"/>
      <c r="AE641" s="54"/>
      <c r="AG641" s="54"/>
      <c r="AH641" s="54"/>
      <c r="AI641" s="54"/>
      <c r="AJ641" s="54"/>
    </row>
    <row r="642" ht="14.25" customHeight="1">
      <c r="E642" s="56"/>
      <c r="F642" s="56"/>
      <c r="T642" s="54"/>
      <c r="U642" s="54"/>
      <c r="AC642" s="54"/>
      <c r="AE642" s="54"/>
      <c r="AG642" s="54"/>
      <c r="AH642" s="54"/>
      <c r="AI642" s="54"/>
      <c r="AJ642" s="54"/>
    </row>
    <row r="643" ht="14.25" customHeight="1">
      <c r="E643" s="56"/>
      <c r="F643" s="56"/>
      <c r="T643" s="54"/>
      <c r="U643" s="54"/>
      <c r="AC643" s="54"/>
      <c r="AE643" s="54"/>
      <c r="AG643" s="54"/>
      <c r="AH643" s="54"/>
      <c r="AI643" s="54"/>
      <c r="AJ643" s="54"/>
    </row>
    <row r="644" ht="14.25" customHeight="1">
      <c r="E644" s="56"/>
      <c r="F644" s="56"/>
      <c r="T644" s="54"/>
      <c r="U644" s="54"/>
      <c r="AC644" s="54"/>
      <c r="AE644" s="54"/>
      <c r="AG644" s="54"/>
      <c r="AH644" s="54"/>
      <c r="AI644" s="54"/>
      <c r="AJ644" s="54"/>
    </row>
    <row r="645" ht="14.25" customHeight="1">
      <c r="E645" s="56"/>
      <c r="F645" s="56"/>
      <c r="T645" s="54"/>
      <c r="U645" s="54"/>
      <c r="AC645" s="54"/>
      <c r="AE645" s="54"/>
      <c r="AG645" s="54"/>
      <c r="AH645" s="54"/>
      <c r="AI645" s="54"/>
      <c r="AJ645" s="54"/>
    </row>
    <row r="646" ht="14.25" customHeight="1">
      <c r="E646" s="56"/>
      <c r="F646" s="56"/>
      <c r="T646" s="54"/>
      <c r="U646" s="54"/>
      <c r="AC646" s="54"/>
      <c r="AE646" s="54"/>
      <c r="AG646" s="54"/>
      <c r="AH646" s="54"/>
      <c r="AI646" s="54"/>
      <c r="AJ646" s="54"/>
    </row>
    <row r="647" ht="14.25" customHeight="1">
      <c r="E647" s="56"/>
      <c r="F647" s="56"/>
      <c r="T647" s="54"/>
      <c r="U647" s="54"/>
      <c r="AC647" s="54"/>
      <c r="AE647" s="54"/>
      <c r="AG647" s="54"/>
      <c r="AH647" s="54"/>
      <c r="AI647" s="54"/>
      <c r="AJ647" s="54"/>
    </row>
    <row r="648" ht="14.25" customHeight="1">
      <c r="E648" s="56"/>
      <c r="F648" s="56"/>
      <c r="T648" s="54"/>
      <c r="U648" s="54"/>
      <c r="AC648" s="54"/>
      <c r="AE648" s="54"/>
      <c r="AG648" s="54"/>
      <c r="AH648" s="54"/>
      <c r="AI648" s="54"/>
      <c r="AJ648" s="54"/>
    </row>
    <row r="649" ht="14.25" customHeight="1">
      <c r="E649" s="56"/>
      <c r="F649" s="56"/>
      <c r="T649" s="54"/>
      <c r="U649" s="54"/>
      <c r="AC649" s="54"/>
      <c r="AE649" s="54"/>
      <c r="AG649" s="54"/>
      <c r="AH649" s="54"/>
      <c r="AI649" s="54"/>
      <c r="AJ649" s="54"/>
    </row>
    <row r="650" ht="14.25" customHeight="1">
      <c r="E650" s="56"/>
      <c r="F650" s="56"/>
      <c r="T650" s="54"/>
      <c r="U650" s="54"/>
      <c r="AC650" s="54"/>
      <c r="AE650" s="54"/>
      <c r="AG650" s="54"/>
      <c r="AH650" s="54"/>
      <c r="AI650" s="54"/>
      <c r="AJ650" s="54"/>
    </row>
    <row r="651" ht="14.25" customHeight="1">
      <c r="E651" s="56"/>
      <c r="F651" s="56"/>
      <c r="T651" s="54"/>
      <c r="U651" s="54"/>
      <c r="AC651" s="54"/>
      <c r="AE651" s="54"/>
      <c r="AG651" s="54"/>
      <c r="AH651" s="54"/>
      <c r="AI651" s="54"/>
      <c r="AJ651" s="54"/>
    </row>
    <row r="652" ht="14.25" customHeight="1">
      <c r="E652" s="56"/>
      <c r="F652" s="56"/>
      <c r="T652" s="54"/>
      <c r="U652" s="54"/>
      <c r="AC652" s="54"/>
      <c r="AE652" s="54"/>
      <c r="AG652" s="54"/>
      <c r="AH652" s="54"/>
      <c r="AI652" s="54"/>
      <c r="AJ652" s="54"/>
    </row>
    <row r="653" ht="14.25" customHeight="1">
      <c r="E653" s="56"/>
      <c r="F653" s="56"/>
      <c r="T653" s="54"/>
      <c r="U653" s="54"/>
      <c r="AC653" s="54"/>
      <c r="AE653" s="54"/>
      <c r="AG653" s="54"/>
      <c r="AH653" s="54"/>
      <c r="AI653" s="54"/>
      <c r="AJ653" s="54"/>
    </row>
    <row r="654" ht="14.25" customHeight="1">
      <c r="E654" s="56"/>
      <c r="F654" s="56"/>
      <c r="T654" s="54"/>
      <c r="U654" s="54"/>
      <c r="AC654" s="54"/>
      <c r="AE654" s="54"/>
      <c r="AG654" s="54"/>
      <c r="AH654" s="54"/>
      <c r="AI654" s="54"/>
      <c r="AJ654" s="54"/>
    </row>
    <row r="655" ht="14.25" customHeight="1">
      <c r="E655" s="56"/>
      <c r="F655" s="56"/>
      <c r="T655" s="54"/>
      <c r="U655" s="54"/>
      <c r="AC655" s="54"/>
      <c r="AE655" s="54"/>
      <c r="AG655" s="54"/>
      <c r="AH655" s="54"/>
      <c r="AI655" s="54"/>
      <c r="AJ655" s="54"/>
    </row>
    <row r="656" ht="14.25" customHeight="1">
      <c r="E656" s="56"/>
      <c r="F656" s="56"/>
      <c r="T656" s="54"/>
      <c r="U656" s="54"/>
      <c r="AC656" s="54"/>
      <c r="AE656" s="54"/>
      <c r="AG656" s="54"/>
      <c r="AH656" s="54"/>
      <c r="AI656" s="54"/>
      <c r="AJ656" s="54"/>
    </row>
    <row r="657" ht="14.25" customHeight="1">
      <c r="E657" s="56"/>
      <c r="F657" s="56"/>
      <c r="T657" s="54"/>
      <c r="U657" s="54"/>
      <c r="AC657" s="54"/>
      <c r="AE657" s="54"/>
      <c r="AG657" s="54"/>
      <c r="AH657" s="54"/>
      <c r="AI657" s="54"/>
      <c r="AJ657" s="54"/>
    </row>
    <row r="658" ht="14.25" customHeight="1">
      <c r="E658" s="56"/>
      <c r="F658" s="56"/>
      <c r="T658" s="54"/>
      <c r="U658" s="54"/>
      <c r="AC658" s="54"/>
      <c r="AE658" s="54"/>
      <c r="AG658" s="54"/>
      <c r="AH658" s="54"/>
      <c r="AI658" s="54"/>
      <c r="AJ658" s="54"/>
    </row>
    <row r="659" ht="14.25" customHeight="1">
      <c r="E659" s="56"/>
      <c r="F659" s="56"/>
      <c r="T659" s="54"/>
      <c r="U659" s="54"/>
      <c r="AC659" s="54"/>
      <c r="AE659" s="54"/>
      <c r="AG659" s="54"/>
      <c r="AH659" s="54"/>
      <c r="AI659" s="54"/>
      <c r="AJ659" s="54"/>
    </row>
    <row r="660" ht="14.25" customHeight="1">
      <c r="E660" s="56"/>
      <c r="F660" s="56"/>
      <c r="T660" s="54"/>
      <c r="U660" s="54"/>
      <c r="AC660" s="54"/>
      <c r="AE660" s="54"/>
      <c r="AG660" s="54"/>
      <c r="AH660" s="54"/>
      <c r="AI660" s="54"/>
      <c r="AJ660" s="54"/>
    </row>
    <row r="661" ht="14.25" customHeight="1">
      <c r="E661" s="56"/>
      <c r="F661" s="56"/>
      <c r="T661" s="54"/>
      <c r="U661" s="54"/>
      <c r="AC661" s="54"/>
      <c r="AE661" s="54"/>
      <c r="AG661" s="54"/>
      <c r="AH661" s="54"/>
      <c r="AI661" s="54"/>
      <c r="AJ661" s="54"/>
    </row>
    <row r="662" ht="14.25" customHeight="1">
      <c r="E662" s="56"/>
      <c r="F662" s="56"/>
      <c r="T662" s="54"/>
      <c r="U662" s="54"/>
      <c r="AC662" s="54"/>
      <c r="AE662" s="54"/>
      <c r="AG662" s="54"/>
      <c r="AH662" s="54"/>
      <c r="AI662" s="54"/>
      <c r="AJ662" s="54"/>
    </row>
    <row r="663" ht="14.25" customHeight="1">
      <c r="E663" s="56"/>
      <c r="F663" s="56"/>
      <c r="T663" s="54"/>
      <c r="U663" s="54"/>
      <c r="AC663" s="54"/>
      <c r="AE663" s="54"/>
      <c r="AG663" s="54"/>
      <c r="AH663" s="54"/>
      <c r="AI663" s="54"/>
      <c r="AJ663" s="54"/>
    </row>
    <row r="664" ht="14.25" customHeight="1">
      <c r="E664" s="56"/>
      <c r="F664" s="56"/>
      <c r="T664" s="54"/>
      <c r="U664" s="54"/>
      <c r="AC664" s="54"/>
      <c r="AE664" s="54"/>
      <c r="AG664" s="54"/>
      <c r="AH664" s="54"/>
      <c r="AI664" s="54"/>
      <c r="AJ664" s="54"/>
    </row>
    <row r="665" ht="14.25" customHeight="1">
      <c r="E665" s="56"/>
      <c r="F665" s="56"/>
      <c r="T665" s="54"/>
      <c r="U665" s="54"/>
      <c r="AC665" s="54"/>
      <c r="AE665" s="54"/>
      <c r="AG665" s="54"/>
      <c r="AH665" s="54"/>
      <c r="AI665" s="54"/>
      <c r="AJ665" s="54"/>
    </row>
    <row r="666" ht="14.25" customHeight="1">
      <c r="E666" s="56"/>
      <c r="F666" s="56"/>
      <c r="T666" s="54"/>
      <c r="U666" s="54"/>
      <c r="AC666" s="54"/>
      <c r="AE666" s="54"/>
      <c r="AG666" s="54"/>
      <c r="AH666" s="54"/>
      <c r="AI666" s="54"/>
      <c r="AJ666" s="54"/>
    </row>
    <row r="667" ht="14.25" customHeight="1">
      <c r="E667" s="56"/>
      <c r="F667" s="56"/>
      <c r="T667" s="54"/>
      <c r="U667" s="54"/>
      <c r="AC667" s="54"/>
      <c r="AE667" s="54"/>
      <c r="AG667" s="54"/>
      <c r="AH667" s="54"/>
      <c r="AI667" s="54"/>
      <c r="AJ667" s="54"/>
    </row>
    <row r="668" ht="14.25" customHeight="1">
      <c r="E668" s="56"/>
      <c r="F668" s="56"/>
      <c r="T668" s="54"/>
      <c r="U668" s="54"/>
      <c r="AC668" s="54"/>
      <c r="AE668" s="54"/>
      <c r="AG668" s="54"/>
      <c r="AH668" s="54"/>
      <c r="AI668" s="54"/>
      <c r="AJ668" s="54"/>
    </row>
    <row r="669" ht="14.25" customHeight="1">
      <c r="E669" s="56"/>
      <c r="F669" s="56"/>
      <c r="T669" s="54"/>
      <c r="U669" s="54"/>
      <c r="AC669" s="54"/>
      <c r="AE669" s="54"/>
      <c r="AG669" s="54"/>
      <c r="AH669" s="54"/>
      <c r="AI669" s="54"/>
      <c r="AJ669" s="54"/>
    </row>
    <row r="670" ht="14.25" customHeight="1">
      <c r="E670" s="56"/>
      <c r="F670" s="56"/>
      <c r="T670" s="54"/>
      <c r="U670" s="54"/>
      <c r="AC670" s="54"/>
      <c r="AE670" s="54"/>
      <c r="AG670" s="54"/>
      <c r="AH670" s="54"/>
      <c r="AI670" s="54"/>
      <c r="AJ670" s="54"/>
    </row>
    <row r="671" ht="14.25" customHeight="1">
      <c r="E671" s="56"/>
      <c r="F671" s="56"/>
      <c r="T671" s="54"/>
      <c r="U671" s="54"/>
      <c r="AC671" s="54"/>
      <c r="AE671" s="54"/>
      <c r="AG671" s="54"/>
      <c r="AH671" s="54"/>
      <c r="AI671" s="54"/>
      <c r="AJ671" s="54"/>
    </row>
    <row r="672" ht="14.25" customHeight="1">
      <c r="E672" s="56"/>
      <c r="F672" s="56"/>
      <c r="T672" s="54"/>
      <c r="U672" s="54"/>
      <c r="AC672" s="54"/>
      <c r="AE672" s="54"/>
      <c r="AG672" s="54"/>
      <c r="AH672" s="54"/>
      <c r="AI672" s="54"/>
      <c r="AJ672" s="54"/>
    </row>
    <row r="673" ht="14.25" customHeight="1">
      <c r="E673" s="56"/>
      <c r="F673" s="56"/>
      <c r="T673" s="54"/>
      <c r="U673" s="54"/>
      <c r="AC673" s="54"/>
      <c r="AE673" s="54"/>
      <c r="AG673" s="54"/>
      <c r="AH673" s="54"/>
      <c r="AI673" s="54"/>
      <c r="AJ673" s="54"/>
    </row>
    <row r="674" ht="14.25" customHeight="1">
      <c r="E674" s="56"/>
      <c r="F674" s="56"/>
      <c r="T674" s="54"/>
      <c r="U674" s="54"/>
      <c r="AC674" s="54"/>
      <c r="AE674" s="54"/>
      <c r="AG674" s="54"/>
      <c r="AH674" s="54"/>
      <c r="AI674" s="54"/>
      <c r="AJ674" s="54"/>
    </row>
    <row r="675" ht="14.25" customHeight="1">
      <c r="E675" s="56"/>
      <c r="F675" s="56"/>
      <c r="T675" s="54"/>
      <c r="U675" s="54"/>
      <c r="AC675" s="54"/>
      <c r="AE675" s="54"/>
      <c r="AG675" s="54"/>
      <c r="AH675" s="54"/>
      <c r="AI675" s="54"/>
      <c r="AJ675" s="54"/>
    </row>
    <row r="676" ht="14.25" customHeight="1">
      <c r="E676" s="56"/>
      <c r="F676" s="56"/>
      <c r="T676" s="54"/>
      <c r="U676" s="54"/>
      <c r="AC676" s="54"/>
      <c r="AE676" s="54"/>
      <c r="AG676" s="54"/>
      <c r="AH676" s="54"/>
      <c r="AI676" s="54"/>
      <c r="AJ676" s="54"/>
    </row>
    <row r="677" ht="14.25" customHeight="1">
      <c r="E677" s="56"/>
      <c r="F677" s="56"/>
      <c r="T677" s="54"/>
      <c r="U677" s="54"/>
      <c r="AC677" s="54"/>
      <c r="AE677" s="54"/>
      <c r="AG677" s="54"/>
      <c r="AH677" s="54"/>
      <c r="AI677" s="54"/>
      <c r="AJ677" s="54"/>
    </row>
    <row r="678" ht="14.25" customHeight="1">
      <c r="E678" s="56"/>
      <c r="F678" s="56"/>
      <c r="T678" s="54"/>
      <c r="U678" s="54"/>
      <c r="AC678" s="54"/>
      <c r="AE678" s="54"/>
      <c r="AG678" s="54"/>
      <c r="AH678" s="54"/>
      <c r="AI678" s="54"/>
      <c r="AJ678" s="54"/>
    </row>
    <row r="679" ht="14.25" customHeight="1">
      <c r="E679" s="56"/>
      <c r="F679" s="56"/>
      <c r="T679" s="54"/>
      <c r="U679" s="54"/>
      <c r="AC679" s="54"/>
      <c r="AE679" s="54"/>
      <c r="AG679" s="54"/>
      <c r="AH679" s="54"/>
      <c r="AI679" s="54"/>
      <c r="AJ679" s="54"/>
    </row>
    <row r="680" ht="14.25" customHeight="1">
      <c r="E680" s="56"/>
      <c r="F680" s="56"/>
      <c r="T680" s="54"/>
      <c r="U680" s="54"/>
      <c r="AC680" s="54"/>
      <c r="AE680" s="54"/>
      <c r="AG680" s="54"/>
      <c r="AH680" s="54"/>
      <c r="AI680" s="54"/>
      <c r="AJ680" s="54"/>
    </row>
    <row r="681" ht="14.25" customHeight="1">
      <c r="E681" s="56"/>
      <c r="F681" s="56"/>
      <c r="T681" s="54"/>
      <c r="U681" s="54"/>
      <c r="AC681" s="54"/>
      <c r="AE681" s="54"/>
      <c r="AG681" s="54"/>
      <c r="AH681" s="54"/>
      <c r="AI681" s="54"/>
      <c r="AJ681" s="54"/>
    </row>
    <row r="682" ht="14.25" customHeight="1">
      <c r="E682" s="56"/>
      <c r="F682" s="56"/>
      <c r="T682" s="54"/>
      <c r="U682" s="54"/>
      <c r="AC682" s="54"/>
      <c r="AE682" s="54"/>
      <c r="AG682" s="54"/>
      <c r="AH682" s="54"/>
      <c r="AI682" s="54"/>
      <c r="AJ682" s="54"/>
    </row>
    <row r="683" ht="14.25" customHeight="1">
      <c r="E683" s="56"/>
      <c r="F683" s="56"/>
      <c r="T683" s="54"/>
      <c r="U683" s="54"/>
      <c r="AC683" s="54"/>
      <c r="AE683" s="54"/>
      <c r="AG683" s="54"/>
      <c r="AH683" s="54"/>
      <c r="AI683" s="54"/>
      <c r="AJ683" s="54"/>
    </row>
    <row r="684" ht="14.25" customHeight="1">
      <c r="E684" s="56"/>
      <c r="F684" s="56"/>
      <c r="T684" s="54"/>
      <c r="U684" s="54"/>
      <c r="AC684" s="54"/>
      <c r="AE684" s="54"/>
      <c r="AG684" s="54"/>
      <c r="AH684" s="54"/>
      <c r="AI684" s="54"/>
      <c r="AJ684" s="54"/>
    </row>
    <row r="685" ht="14.25" customHeight="1">
      <c r="E685" s="56"/>
      <c r="F685" s="56"/>
      <c r="T685" s="54"/>
      <c r="U685" s="54"/>
      <c r="AC685" s="54"/>
      <c r="AE685" s="54"/>
      <c r="AG685" s="54"/>
      <c r="AH685" s="54"/>
      <c r="AI685" s="54"/>
      <c r="AJ685" s="54"/>
    </row>
    <row r="686" ht="14.25" customHeight="1">
      <c r="E686" s="56"/>
      <c r="F686" s="56"/>
      <c r="T686" s="54"/>
      <c r="U686" s="54"/>
      <c r="AC686" s="54"/>
      <c r="AE686" s="54"/>
      <c r="AG686" s="54"/>
      <c r="AH686" s="54"/>
      <c r="AI686" s="54"/>
      <c r="AJ686" s="54"/>
    </row>
    <row r="687" ht="14.25" customHeight="1">
      <c r="E687" s="56"/>
      <c r="F687" s="56"/>
      <c r="T687" s="54"/>
      <c r="U687" s="54"/>
      <c r="AC687" s="54"/>
      <c r="AE687" s="54"/>
      <c r="AG687" s="54"/>
      <c r="AH687" s="54"/>
      <c r="AI687" s="54"/>
      <c r="AJ687" s="54"/>
    </row>
    <row r="688" ht="14.25" customHeight="1">
      <c r="E688" s="56"/>
      <c r="F688" s="56"/>
      <c r="T688" s="54"/>
      <c r="U688" s="54"/>
      <c r="AC688" s="54"/>
      <c r="AE688" s="54"/>
      <c r="AG688" s="54"/>
      <c r="AH688" s="54"/>
      <c r="AI688" s="54"/>
      <c r="AJ688" s="54"/>
    </row>
    <row r="689" ht="14.25" customHeight="1">
      <c r="E689" s="56"/>
      <c r="F689" s="56"/>
      <c r="T689" s="54"/>
      <c r="U689" s="54"/>
      <c r="AC689" s="54"/>
      <c r="AE689" s="54"/>
      <c r="AG689" s="54"/>
      <c r="AH689" s="54"/>
      <c r="AI689" s="54"/>
      <c r="AJ689" s="54"/>
    </row>
    <row r="690" ht="14.25" customHeight="1">
      <c r="E690" s="56"/>
      <c r="F690" s="56"/>
      <c r="T690" s="54"/>
      <c r="U690" s="54"/>
      <c r="AC690" s="54"/>
      <c r="AE690" s="54"/>
      <c r="AG690" s="54"/>
      <c r="AH690" s="54"/>
      <c r="AI690" s="54"/>
      <c r="AJ690" s="54"/>
    </row>
    <row r="691" ht="14.25" customHeight="1">
      <c r="E691" s="56"/>
      <c r="F691" s="56"/>
      <c r="T691" s="54"/>
      <c r="U691" s="54"/>
      <c r="AC691" s="54"/>
      <c r="AE691" s="54"/>
      <c r="AG691" s="54"/>
      <c r="AH691" s="54"/>
      <c r="AI691" s="54"/>
      <c r="AJ691" s="54"/>
    </row>
    <row r="692" ht="14.25" customHeight="1">
      <c r="E692" s="56"/>
      <c r="F692" s="56"/>
      <c r="T692" s="54"/>
      <c r="U692" s="54"/>
      <c r="AC692" s="54"/>
      <c r="AE692" s="54"/>
      <c r="AG692" s="54"/>
      <c r="AH692" s="54"/>
      <c r="AI692" s="54"/>
      <c r="AJ692" s="54"/>
    </row>
    <row r="693" ht="14.25" customHeight="1">
      <c r="E693" s="56"/>
      <c r="F693" s="56"/>
      <c r="T693" s="54"/>
      <c r="U693" s="54"/>
      <c r="AC693" s="54"/>
      <c r="AE693" s="54"/>
      <c r="AG693" s="54"/>
      <c r="AH693" s="54"/>
      <c r="AI693" s="54"/>
      <c r="AJ693" s="54"/>
    </row>
    <row r="694" ht="14.25" customHeight="1">
      <c r="E694" s="56"/>
      <c r="F694" s="56"/>
      <c r="T694" s="54"/>
      <c r="U694" s="54"/>
      <c r="AC694" s="54"/>
      <c r="AE694" s="54"/>
      <c r="AG694" s="54"/>
      <c r="AH694" s="54"/>
      <c r="AI694" s="54"/>
      <c r="AJ694" s="54"/>
    </row>
    <row r="695" ht="14.25" customHeight="1">
      <c r="E695" s="56"/>
      <c r="F695" s="56"/>
      <c r="T695" s="54"/>
      <c r="U695" s="54"/>
      <c r="AC695" s="54"/>
      <c r="AE695" s="54"/>
      <c r="AG695" s="54"/>
      <c r="AH695" s="54"/>
      <c r="AI695" s="54"/>
      <c r="AJ695" s="54"/>
    </row>
    <row r="696" ht="14.25" customHeight="1">
      <c r="E696" s="56"/>
      <c r="F696" s="56"/>
      <c r="T696" s="54"/>
      <c r="U696" s="54"/>
      <c r="AC696" s="54"/>
      <c r="AE696" s="54"/>
      <c r="AG696" s="54"/>
      <c r="AH696" s="54"/>
      <c r="AI696" s="54"/>
      <c r="AJ696" s="54"/>
    </row>
    <row r="697" ht="14.25" customHeight="1">
      <c r="E697" s="56"/>
      <c r="F697" s="56"/>
      <c r="T697" s="54"/>
      <c r="U697" s="54"/>
      <c r="AC697" s="54"/>
      <c r="AE697" s="54"/>
      <c r="AG697" s="54"/>
      <c r="AH697" s="54"/>
      <c r="AI697" s="54"/>
      <c r="AJ697" s="54"/>
    </row>
    <row r="698" ht="14.25" customHeight="1">
      <c r="E698" s="56"/>
      <c r="F698" s="56"/>
      <c r="T698" s="54"/>
      <c r="U698" s="54"/>
      <c r="AC698" s="54"/>
      <c r="AE698" s="54"/>
      <c r="AG698" s="54"/>
      <c r="AH698" s="54"/>
      <c r="AI698" s="54"/>
      <c r="AJ698" s="54"/>
    </row>
    <row r="699" ht="14.25" customHeight="1">
      <c r="E699" s="56"/>
      <c r="F699" s="56"/>
      <c r="T699" s="54"/>
      <c r="U699" s="54"/>
      <c r="AC699" s="54"/>
      <c r="AE699" s="54"/>
      <c r="AG699" s="54"/>
      <c r="AH699" s="54"/>
      <c r="AI699" s="54"/>
      <c r="AJ699" s="54"/>
    </row>
    <row r="700" ht="14.25" customHeight="1">
      <c r="E700" s="56"/>
      <c r="F700" s="56"/>
      <c r="T700" s="54"/>
      <c r="U700" s="54"/>
      <c r="AC700" s="54"/>
      <c r="AE700" s="54"/>
      <c r="AG700" s="54"/>
      <c r="AH700" s="54"/>
      <c r="AI700" s="54"/>
      <c r="AJ700" s="54"/>
    </row>
    <row r="701" ht="14.25" customHeight="1">
      <c r="E701" s="56"/>
      <c r="F701" s="56"/>
      <c r="T701" s="54"/>
      <c r="U701" s="54"/>
      <c r="AC701" s="54"/>
      <c r="AE701" s="54"/>
      <c r="AG701" s="54"/>
      <c r="AH701" s="54"/>
      <c r="AI701" s="54"/>
      <c r="AJ701" s="54"/>
    </row>
    <row r="702" ht="14.25" customHeight="1">
      <c r="E702" s="56"/>
      <c r="F702" s="56"/>
      <c r="T702" s="54"/>
      <c r="U702" s="54"/>
      <c r="AC702" s="54"/>
      <c r="AE702" s="54"/>
      <c r="AG702" s="54"/>
      <c r="AH702" s="54"/>
      <c r="AI702" s="54"/>
      <c r="AJ702" s="54"/>
    </row>
    <row r="703" ht="14.25" customHeight="1">
      <c r="E703" s="56"/>
      <c r="F703" s="56"/>
      <c r="T703" s="54"/>
      <c r="U703" s="54"/>
      <c r="AC703" s="54"/>
      <c r="AE703" s="54"/>
      <c r="AG703" s="54"/>
      <c r="AH703" s="54"/>
      <c r="AI703" s="54"/>
      <c r="AJ703" s="54"/>
    </row>
    <row r="704" ht="14.25" customHeight="1">
      <c r="E704" s="56"/>
      <c r="F704" s="56"/>
      <c r="T704" s="54"/>
      <c r="U704" s="54"/>
      <c r="AC704" s="54"/>
      <c r="AE704" s="54"/>
      <c r="AG704" s="54"/>
      <c r="AH704" s="54"/>
      <c r="AI704" s="54"/>
      <c r="AJ704" s="54"/>
    </row>
    <row r="705" ht="14.25" customHeight="1">
      <c r="E705" s="56"/>
      <c r="F705" s="56"/>
      <c r="T705" s="54"/>
      <c r="U705" s="54"/>
      <c r="AC705" s="54"/>
      <c r="AE705" s="54"/>
      <c r="AG705" s="54"/>
      <c r="AH705" s="54"/>
      <c r="AI705" s="54"/>
      <c r="AJ705" s="54"/>
    </row>
    <row r="706" ht="14.25" customHeight="1">
      <c r="E706" s="56"/>
      <c r="F706" s="56"/>
      <c r="T706" s="54"/>
      <c r="U706" s="54"/>
      <c r="AC706" s="54"/>
      <c r="AE706" s="54"/>
      <c r="AG706" s="54"/>
      <c r="AH706" s="54"/>
      <c r="AI706" s="54"/>
      <c r="AJ706" s="54"/>
    </row>
    <row r="707" ht="14.25" customHeight="1">
      <c r="E707" s="56"/>
      <c r="F707" s="56"/>
      <c r="T707" s="54"/>
      <c r="U707" s="54"/>
      <c r="AC707" s="54"/>
      <c r="AE707" s="54"/>
      <c r="AG707" s="54"/>
      <c r="AH707" s="54"/>
      <c r="AI707" s="54"/>
      <c r="AJ707" s="54"/>
    </row>
    <row r="708" ht="14.25" customHeight="1">
      <c r="E708" s="56"/>
      <c r="F708" s="56"/>
      <c r="T708" s="54"/>
      <c r="U708" s="54"/>
      <c r="AC708" s="54"/>
      <c r="AE708" s="54"/>
      <c r="AG708" s="54"/>
      <c r="AH708" s="54"/>
      <c r="AI708" s="54"/>
      <c r="AJ708" s="54"/>
    </row>
    <row r="709" ht="14.25" customHeight="1">
      <c r="E709" s="56"/>
      <c r="F709" s="56"/>
      <c r="T709" s="54"/>
      <c r="U709" s="54"/>
      <c r="AC709" s="54"/>
      <c r="AE709" s="54"/>
      <c r="AG709" s="54"/>
      <c r="AH709" s="54"/>
      <c r="AI709" s="54"/>
      <c r="AJ709" s="54"/>
    </row>
    <row r="710" ht="14.25" customHeight="1">
      <c r="E710" s="56"/>
      <c r="F710" s="56"/>
      <c r="T710" s="54"/>
      <c r="U710" s="54"/>
      <c r="AC710" s="54"/>
      <c r="AE710" s="54"/>
      <c r="AG710" s="54"/>
      <c r="AH710" s="54"/>
      <c r="AI710" s="54"/>
      <c r="AJ710" s="54"/>
    </row>
    <row r="711" ht="14.25" customHeight="1">
      <c r="E711" s="56"/>
      <c r="F711" s="56"/>
      <c r="T711" s="54"/>
      <c r="U711" s="54"/>
      <c r="AC711" s="54"/>
      <c r="AE711" s="54"/>
      <c r="AG711" s="54"/>
      <c r="AH711" s="54"/>
      <c r="AI711" s="54"/>
      <c r="AJ711" s="54"/>
    </row>
    <row r="712" ht="14.25" customHeight="1">
      <c r="E712" s="56"/>
      <c r="F712" s="56"/>
      <c r="T712" s="54"/>
      <c r="U712" s="54"/>
      <c r="AC712" s="54"/>
      <c r="AE712" s="54"/>
      <c r="AG712" s="54"/>
      <c r="AH712" s="54"/>
      <c r="AI712" s="54"/>
      <c r="AJ712" s="54"/>
    </row>
    <row r="713" ht="14.25" customHeight="1">
      <c r="E713" s="56"/>
      <c r="F713" s="56"/>
      <c r="T713" s="54"/>
      <c r="U713" s="54"/>
      <c r="AC713" s="54"/>
      <c r="AE713" s="54"/>
      <c r="AG713" s="54"/>
      <c r="AH713" s="54"/>
      <c r="AI713" s="54"/>
      <c r="AJ713" s="54"/>
    </row>
    <row r="714" ht="14.25" customHeight="1">
      <c r="E714" s="56"/>
      <c r="F714" s="56"/>
      <c r="T714" s="54"/>
      <c r="U714" s="54"/>
      <c r="AC714" s="54"/>
      <c r="AE714" s="54"/>
      <c r="AG714" s="54"/>
      <c r="AH714" s="54"/>
      <c r="AI714" s="54"/>
      <c r="AJ714" s="54"/>
    </row>
    <row r="715" ht="14.25" customHeight="1">
      <c r="E715" s="56"/>
      <c r="F715" s="56"/>
      <c r="T715" s="54"/>
      <c r="U715" s="54"/>
      <c r="AC715" s="54"/>
      <c r="AE715" s="54"/>
      <c r="AG715" s="54"/>
      <c r="AH715" s="54"/>
      <c r="AI715" s="54"/>
      <c r="AJ715" s="54"/>
    </row>
    <row r="716" ht="14.25" customHeight="1">
      <c r="E716" s="56"/>
      <c r="F716" s="56"/>
      <c r="T716" s="54"/>
      <c r="U716" s="54"/>
      <c r="AC716" s="54"/>
      <c r="AE716" s="54"/>
      <c r="AG716" s="54"/>
      <c r="AH716" s="54"/>
      <c r="AI716" s="54"/>
      <c r="AJ716" s="54"/>
    </row>
    <row r="717" ht="14.25" customHeight="1">
      <c r="E717" s="56"/>
      <c r="F717" s="56"/>
      <c r="T717" s="54"/>
      <c r="U717" s="54"/>
      <c r="AC717" s="54"/>
      <c r="AE717" s="54"/>
      <c r="AG717" s="54"/>
      <c r="AH717" s="54"/>
      <c r="AI717" s="54"/>
      <c r="AJ717" s="54"/>
    </row>
    <row r="718" ht="14.25" customHeight="1">
      <c r="E718" s="56"/>
      <c r="F718" s="56"/>
      <c r="T718" s="54"/>
      <c r="U718" s="54"/>
      <c r="AC718" s="54"/>
      <c r="AE718" s="54"/>
      <c r="AG718" s="54"/>
      <c r="AH718" s="54"/>
      <c r="AI718" s="54"/>
      <c r="AJ718" s="54"/>
    </row>
    <row r="719" ht="14.25" customHeight="1">
      <c r="E719" s="56"/>
      <c r="F719" s="56"/>
      <c r="T719" s="54"/>
      <c r="U719" s="54"/>
      <c r="AC719" s="54"/>
      <c r="AE719" s="54"/>
      <c r="AG719" s="54"/>
      <c r="AH719" s="54"/>
      <c r="AI719" s="54"/>
      <c r="AJ719" s="54"/>
    </row>
    <row r="720" ht="14.25" customHeight="1">
      <c r="E720" s="56"/>
      <c r="F720" s="56"/>
      <c r="T720" s="54"/>
      <c r="U720" s="54"/>
      <c r="AC720" s="54"/>
      <c r="AE720" s="54"/>
      <c r="AG720" s="54"/>
      <c r="AH720" s="54"/>
      <c r="AI720" s="54"/>
      <c r="AJ720" s="54"/>
    </row>
    <row r="721" ht="14.25" customHeight="1">
      <c r="E721" s="56"/>
      <c r="F721" s="56"/>
      <c r="T721" s="54"/>
      <c r="U721" s="54"/>
      <c r="AC721" s="54"/>
      <c r="AE721" s="54"/>
      <c r="AG721" s="54"/>
      <c r="AH721" s="54"/>
      <c r="AI721" s="54"/>
      <c r="AJ721" s="54"/>
    </row>
    <row r="722" ht="14.25" customHeight="1">
      <c r="E722" s="56"/>
      <c r="F722" s="56"/>
      <c r="T722" s="54"/>
      <c r="U722" s="54"/>
      <c r="AC722" s="54"/>
      <c r="AE722" s="54"/>
      <c r="AG722" s="54"/>
      <c r="AH722" s="54"/>
      <c r="AI722" s="54"/>
      <c r="AJ722" s="54"/>
    </row>
    <row r="723" ht="14.25" customHeight="1">
      <c r="E723" s="56"/>
      <c r="F723" s="56"/>
      <c r="T723" s="54"/>
      <c r="U723" s="54"/>
      <c r="AC723" s="54"/>
      <c r="AE723" s="54"/>
      <c r="AG723" s="54"/>
      <c r="AH723" s="54"/>
      <c r="AI723" s="54"/>
      <c r="AJ723" s="54"/>
    </row>
    <row r="724" ht="14.25" customHeight="1">
      <c r="E724" s="56"/>
      <c r="F724" s="56"/>
      <c r="T724" s="54"/>
      <c r="U724" s="54"/>
      <c r="AC724" s="54"/>
      <c r="AE724" s="54"/>
      <c r="AG724" s="54"/>
      <c r="AH724" s="54"/>
      <c r="AI724" s="54"/>
      <c r="AJ724" s="54"/>
    </row>
    <row r="725" ht="14.25" customHeight="1">
      <c r="E725" s="56"/>
      <c r="F725" s="56"/>
      <c r="T725" s="54"/>
      <c r="U725" s="54"/>
      <c r="AC725" s="54"/>
      <c r="AE725" s="54"/>
      <c r="AG725" s="54"/>
      <c r="AH725" s="54"/>
      <c r="AI725" s="54"/>
      <c r="AJ725" s="54"/>
    </row>
    <row r="726" ht="14.25" customHeight="1">
      <c r="E726" s="56"/>
      <c r="F726" s="56"/>
      <c r="T726" s="54"/>
      <c r="U726" s="54"/>
      <c r="AC726" s="54"/>
      <c r="AE726" s="54"/>
      <c r="AG726" s="54"/>
      <c r="AH726" s="54"/>
      <c r="AI726" s="54"/>
      <c r="AJ726" s="54"/>
    </row>
    <row r="727" ht="14.25" customHeight="1">
      <c r="E727" s="56"/>
      <c r="F727" s="56"/>
      <c r="T727" s="54"/>
      <c r="U727" s="54"/>
      <c r="AC727" s="54"/>
      <c r="AE727" s="54"/>
      <c r="AG727" s="54"/>
      <c r="AH727" s="54"/>
      <c r="AI727" s="54"/>
      <c r="AJ727" s="54"/>
    </row>
    <row r="728" ht="14.25" customHeight="1">
      <c r="E728" s="56"/>
      <c r="F728" s="56"/>
      <c r="T728" s="54"/>
      <c r="U728" s="54"/>
      <c r="AC728" s="54"/>
      <c r="AE728" s="54"/>
      <c r="AG728" s="54"/>
      <c r="AH728" s="54"/>
      <c r="AI728" s="54"/>
      <c r="AJ728" s="54"/>
    </row>
    <row r="729" ht="14.25" customHeight="1">
      <c r="E729" s="56"/>
      <c r="F729" s="56"/>
      <c r="T729" s="54"/>
      <c r="U729" s="54"/>
      <c r="AC729" s="54"/>
      <c r="AE729" s="54"/>
      <c r="AG729" s="54"/>
      <c r="AH729" s="54"/>
      <c r="AI729" s="54"/>
      <c r="AJ729" s="54"/>
    </row>
    <row r="730" ht="14.25" customHeight="1">
      <c r="E730" s="56"/>
      <c r="F730" s="56"/>
      <c r="T730" s="54"/>
      <c r="U730" s="54"/>
      <c r="AC730" s="54"/>
      <c r="AE730" s="54"/>
      <c r="AG730" s="54"/>
      <c r="AH730" s="54"/>
      <c r="AI730" s="54"/>
      <c r="AJ730" s="54"/>
    </row>
    <row r="731" ht="14.25" customHeight="1">
      <c r="E731" s="56"/>
      <c r="F731" s="56"/>
      <c r="T731" s="54"/>
      <c r="U731" s="54"/>
      <c r="AC731" s="54"/>
      <c r="AE731" s="54"/>
      <c r="AG731" s="54"/>
      <c r="AH731" s="54"/>
      <c r="AI731" s="54"/>
      <c r="AJ731" s="54"/>
    </row>
    <row r="732" ht="14.25" customHeight="1">
      <c r="E732" s="56"/>
      <c r="F732" s="56"/>
      <c r="T732" s="54"/>
      <c r="U732" s="54"/>
      <c r="AC732" s="54"/>
      <c r="AE732" s="54"/>
      <c r="AG732" s="54"/>
      <c r="AH732" s="54"/>
      <c r="AI732" s="54"/>
      <c r="AJ732" s="54"/>
    </row>
    <row r="733" ht="14.25" customHeight="1">
      <c r="E733" s="56"/>
      <c r="F733" s="56"/>
      <c r="T733" s="54"/>
      <c r="U733" s="54"/>
      <c r="AC733" s="54"/>
      <c r="AE733" s="54"/>
      <c r="AG733" s="54"/>
      <c r="AH733" s="54"/>
      <c r="AI733" s="54"/>
      <c r="AJ733" s="54"/>
    </row>
    <row r="734" ht="14.25" customHeight="1">
      <c r="E734" s="56"/>
      <c r="F734" s="56"/>
      <c r="T734" s="54"/>
      <c r="U734" s="54"/>
      <c r="AC734" s="54"/>
      <c r="AE734" s="54"/>
      <c r="AG734" s="54"/>
      <c r="AH734" s="54"/>
      <c r="AI734" s="54"/>
      <c r="AJ734" s="54"/>
    </row>
    <row r="735" ht="14.25" customHeight="1">
      <c r="E735" s="56"/>
      <c r="F735" s="56"/>
      <c r="T735" s="54"/>
      <c r="U735" s="54"/>
      <c r="AC735" s="54"/>
      <c r="AE735" s="54"/>
      <c r="AG735" s="54"/>
      <c r="AH735" s="54"/>
      <c r="AI735" s="54"/>
      <c r="AJ735" s="54"/>
    </row>
    <row r="736" ht="14.25" customHeight="1">
      <c r="E736" s="56"/>
      <c r="F736" s="56"/>
      <c r="T736" s="54"/>
      <c r="U736" s="54"/>
      <c r="AC736" s="54"/>
      <c r="AE736" s="54"/>
      <c r="AG736" s="54"/>
      <c r="AH736" s="54"/>
      <c r="AI736" s="54"/>
      <c r="AJ736" s="54"/>
    </row>
    <row r="737" ht="14.25" customHeight="1">
      <c r="E737" s="56"/>
      <c r="F737" s="56"/>
      <c r="T737" s="54"/>
      <c r="U737" s="54"/>
      <c r="AC737" s="54"/>
      <c r="AE737" s="54"/>
      <c r="AG737" s="54"/>
      <c r="AH737" s="54"/>
      <c r="AI737" s="54"/>
      <c r="AJ737" s="54"/>
    </row>
    <row r="738" ht="14.25" customHeight="1">
      <c r="E738" s="56"/>
      <c r="F738" s="56"/>
      <c r="T738" s="54"/>
      <c r="U738" s="54"/>
      <c r="AC738" s="54"/>
      <c r="AE738" s="54"/>
      <c r="AG738" s="54"/>
      <c r="AH738" s="54"/>
      <c r="AI738" s="54"/>
      <c r="AJ738" s="54"/>
    </row>
    <row r="739" ht="14.25" customHeight="1">
      <c r="E739" s="56"/>
      <c r="F739" s="56"/>
      <c r="T739" s="54"/>
      <c r="U739" s="54"/>
      <c r="AC739" s="54"/>
      <c r="AE739" s="54"/>
      <c r="AG739" s="54"/>
      <c r="AH739" s="54"/>
      <c r="AI739" s="54"/>
      <c r="AJ739" s="54"/>
    </row>
    <row r="740" ht="14.25" customHeight="1">
      <c r="E740" s="56"/>
      <c r="F740" s="56"/>
      <c r="T740" s="54"/>
      <c r="U740" s="54"/>
      <c r="AC740" s="54"/>
      <c r="AE740" s="54"/>
      <c r="AG740" s="54"/>
      <c r="AH740" s="54"/>
      <c r="AI740" s="54"/>
      <c r="AJ740" s="54"/>
    </row>
    <row r="741" ht="14.25" customHeight="1">
      <c r="E741" s="56"/>
      <c r="F741" s="56"/>
      <c r="T741" s="54"/>
      <c r="U741" s="54"/>
      <c r="AC741" s="54"/>
      <c r="AE741" s="54"/>
      <c r="AG741" s="54"/>
      <c r="AH741" s="54"/>
      <c r="AI741" s="54"/>
      <c r="AJ741" s="54"/>
    </row>
    <row r="742" ht="14.25" customHeight="1">
      <c r="E742" s="56"/>
      <c r="F742" s="56"/>
      <c r="T742" s="54"/>
      <c r="U742" s="54"/>
      <c r="AC742" s="54"/>
      <c r="AE742" s="54"/>
      <c r="AG742" s="54"/>
      <c r="AH742" s="54"/>
      <c r="AI742" s="54"/>
      <c r="AJ742" s="54"/>
    </row>
    <row r="743" ht="14.25" customHeight="1">
      <c r="E743" s="56"/>
      <c r="F743" s="56"/>
      <c r="T743" s="54"/>
      <c r="U743" s="54"/>
      <c r="AC743" s="54"/>
      <c r="AE743" s="54"/>
      <c r="AG743" s="54"/>
      <c r="AH743" s="54"/>
      <c r="AI743" s="54"/>
      <c r="AJ743" s="54"/>
    </row>
    <row r="744" ht="14.25" customHeight="1">
      <c r="E744" s="56"/>
      <c r="F744" s="56"/>
      <c r="T744" s="54"/>
      <c r="U744" s="54"/>
      <c r="AC744" s="54"/>
      <c r="AE744" s="54"/>
      <c r="AG744" s="54"/>
      <c r="AH744" s="54"/>
      <c r="AI744" s="54"/>
      <c r="AJ744" s="54"/>
    </row>
    <row r="745" ht="14.25" customHeight="1">
      <c r="E745" s="56"/>
      <c r="F745" s="56"/>
      <c r="T745" s="54"/>
      <c r="U745" s="54"/>
      <c r="AC745" s="54"/>
      <c r="AE745" s="54"/>
      <c r="AG745" s="54"/>
      <c r="AH745" s="54"/>
      <c r="AI745" s="54"/>
      <c r="AJ745" s="54"/>
    </row>
    <row r="746" ht="14.25" customHeight="1">
      <c r="E746" s="56"/>
      <c r="F746" s="56"/>
      <c r="T746" s="54"/>
      <c r="U746" s="54"/>
      <c r="AC746" s="54"/>
      <c r="AE746" s="54"/>
      <c r="AG746" s="54"/>
      <c r="AH746" s="54"/>
      <c r="AI746" s="54"/>
      <c r="AJ746" s="54"/>
    </row>
    <row r="747" ht="14.25" customHeight="1">
      <c r="E747" s="56"/>
      <c r="F747" s="56"/>
      <c r="T747" s="54"/>
      <c r="U747" s="54"/>
      <c r="AC747" s="54"/>
      <c r="AE747" s="54"/>
      <c r="AG747" s="54"/>
      <c r="AH747" s="54"/>
      <c r="AI747" s="54"/>
      <c r="AJ747" s="54"/>
    </row>
    <row r="748" ht="14.25" customHeight="1">
      <c r="E748" s="56"/>
      <c r="F748" s="56"/>
      <c r="T748" s="54"/>
      <c r="U748" s="54"/>
      <c r="AC748" s="54"/>
      <c r="AE748" s="54"/>
      <c r="AG748" s="54"/>
      <c r="AH748" s="54"/>
      <c r="AI748" s="54"/>
      <c r="AJ748" s="54"/>
    </row>
    <row r="749" ht="14.25" customHeight="1">
      <c r="E749" s="56"/>
      <c r="F749" s="56"/>
      <c r="T749" s="54"/>
      <c r="U749" s="54"/>
      <c r="AC749" s="54"/>
      <c r="AE749" s="54"/>
      <c r="AG749" s="54"/>
      <c r="AH749" s="54"/>
      <c r="AI749" s="54"/>
      <c r="AJ749" s="54"/>
    </row>
    <row r="750" ht="14.25" customHeight="1">
      <c r="E750" s="56"/>
      <c r="F750" s="56"/>
      <c r="T750" s="54"/>
      <c r="U750" s="54"/>
      <c r="AC750" s="54"/>
      <c r="AE750" s="54"/>
      <c r="AG750" s="54"/>
      <c r="AH750" s="54"/>
      <c r="AI750" s="54"/>
      <c r="AJ750" s="54"/>
    </row>
    <row r="751" ht="14.25" customHeight="1">
      <c r="E751" s="56"/>
      <c r="F751" s="56"/>
      <c r="T751" s="54"/>
      <c r="U751" s="54"/>
      <c r="AC751" s="54"/>
      <c r="AE751" s="54"/>
      <c r="AG751" s="54"/>
      <c r="AH751" s="54"/>
      <c r="AI751" s="54"/>
      <c r="AJ751" s="54"/>
    </row>
    <row r="752" ht="14.25" customHeight="1">
      <c r="E752" s="56"/>
      <c r="F752" s="56"/>
      <c r="T752" s="54"/>
      <c r="U752" s="54"/>
      <c r="AC752" s="54"/>
      <c r="AE752" s="54"/>
      <c r="AG752" s="54"/>
      <c r="AH752" s="54"/>
      <c r="AI752" s="54"/>
      <c r="AJ752" s="54"/>
    </row>
    <row r="753" ht="14.25" customHeight="1">
      <c r="E753" s="56"/>
      <c r="F753" s="56"/>
      <c r="T753" s="54"/>
      <c r="U753" s="54"/>
      <c r="AC753" s="54"/>
      <c r="AE753" s="54"/>
      <c r="AG753" s="54"/>
      <c r="AH753" s="54"/>
      <c r="AI753" s="54"/>
      <c r="AJ753" s="54"/>
    </row>
    <row r="754" ht="14.25" customHeight="1">
      <c r="E754" s="56"/>
      <c r="F754" s="56"/>
      <c r="T754" s="54"/>
      <c r="U754" s="54"/>
      <c r="AC754" s="54"/>
      <c r="AE754" s="54"/>
      <c r="AG754" s="54"/>
      <c r="AH754" s="54"/>
      <c r="AI754" s="54"/>
      <c r="AJ754" s="54"/>
    </row>
    <row r="755" ht="14.25" customHeight="1">
      <c r="E755" s="56"/>
      <c r="F755" s="56"/>
      <c r="T755" s="54"/>
      <c r="U755" s="54"/>
      <c r="AC755" s="54"/>
      <c r="AE755" s="54"/>
      <c r="AG755" s="54"/>
      <c r="AH755" s="54"/>
      <c r="AI755" s="54"/>
      <c r="AJ755" s="54"/>
    </row>
    <row r="756" ht="14.25" customHeight="1">
      <c r="E756" s="56"/>
      <c r="F756" s="56"/>
      <c r="T756" s="54"/>
      <c r="U756" s="54"/>
      <c r="AC756" s="54"/>
      <c r="AE756" s="54"/>
      <c r="AG756" s="54"/>
      <c r="AH756" s="54"/>
      <c r="AI756" s="54"/>
      <c r="AJ756" s="54"/>
    </row>
    <row r="757" ht="14.25" customHeight="1">
      <c r="E757" s="56"/>
      <c r="F757" s="56"/>
      <c r="T757" s="54"/>
      <c r="U757" s="54"/>
      <c r="AC757" s="54"/>
      <c r="AE757" s="54"/>
      <c r="AG757" s="54"/>
      <c r="AH757" s="54"/>
      <c r="AI757" s="54"/>
      <c r="AJ757" s="54"/>
    </row>
    <row r="758" ht="14.25" customHeight="1">
      <c r="E758" s="56"/>
      <c r="F758" s="56"/>
      <c r="T758" s="54"/>
      <c r="U758" s="54"/>
      <c r="AC758" s="54"/>
      <c r="AE758" s="54"/>
      <c r="AG758" s="54"/>
      <c r="AH758" s="54"/>
      <c r="AI758" s="54"/>
      <c r="AJ758" s="54"/>
    </row>
    <row r="759" ht="14.25" customHeight="1">
      <c r="E759" s="56"/>
      <c r="F759" s="56"/>
      <c r="T759" s="54"/>
      <c r="U759" s="54"/>
      <c r="AC759" s="54"/>
      <c r="AE759" s="54"/>
      <c r="AG759" s="54"/>
      <c r="AH759" s="54"/>
      <c r="AI759" s="54"/>
      <c r="AJ759" s="54"/>
    </row>
    <row r="760" ht="14.25" customHeight="1">
      <c r="E760" s="56"/>
      <c r="F760" s="56"/>
      <c r="T760" s="54"/>
      <c r="U760" s="54"/>
      <c r="AC760" s="54"/>
      <c r="AE760" s="54"/>
      <c r="AG760" s="54"/>
      <c r="AH760" s="54"/>
      <c r="AI760" s="54"/>
      <c r="AJ760" s="54"/>
    </row>
    <row r="761" ht="14.25" customHeight="1">
      <c r="E761" s="56"/>
      <c r="F761" s="56"/>
      <c r="T761" s="54"/>
      <c r="U761" s="54"/>
      <c r="AC761" s="54"/>
      <c r="AE761" s="54"/>
      <c r="AG761" s="54"/>
      <c r="AH761" s="54"/>
      <c r="AI761" s="54"/>
      <c r="AJ761" s="54"/>
    </row>
    <row r="762" ht="14.25" customHeight="1">
      <c r="E762" s="56"/>
      <c r="F762" s="56"/>
      <c r="T762" s="54"/>
      <c r="U762" s="54"/>
      <c r="AC762" s="54"/>
      <c r="AE762" s="54"/>
      <c r="AG762" s="54"/>
      <c r="AH762" s="54"/>
      <c r="AI762" s="54"/>
      <c r="AJ762" s="54"/>
    </row>
    <row r="763" ht="14.25" customHeight="1">
      <c r="E763" s="56"/>
      <c r="F763" s="56"/>
      <c r="T763" s="54"/>
      <c r="U763" s="54"/>
      <c r="AC763" s="54"/>
      <c r="AE763" s="54"/>
      <c r="AG763" s="54"/>
      <c r="AH763" s="54"/>
      <c r="AI763" s="54"/>
      <c r="AJ763" s="54"/>
    </row>
    <row r="764" ht="14.25" customHeight="1">
      <c r="E764" s="56"/>
      <c r="F764" s="56"/>
      <c r="T764" s="54"/>
      <c r="U764" s="54"/>
      <c r="AC764" s="54"/>
      <c r="AE764" s="54"/>
      <c r="AG764" s="54"/>
      <c r="AH764" s="54"/>
      <c r="AI764" s="54"/>
      <c r="AJ764" s="54"/>
    </row>
    <row r="765" ht="14.25" customHeight="1">
      <c r="E765" s="56"/>
      <c r="F765" s="56"/>
      <c r="T765" s="54"/>
      <c r="U765" s="54"/>
      <c r="AC765" s="54"/>
      <c r="AE765" s="54"/>
      <c r="AG765" s="54"/>
      <c r="AH765" s="54"/>
      <c r="AI765" s="54"/>
      <c r="AJ765" s="54"/>
    </row>
    <row r="766" ht="14.25" customHeight="1">
      <c r="E766" s="56"/>
      <c r="F766" s="56"/>
      <c r="T766" s="54"/>
      <c r="U766" s="54"/>
      <c r="AC766" s="54"/>
      <c r="AE766" s="54"/>
      <c r="AG766" s="54"/>
      <c r="AH766" s="54"/>
      <c r="AI766" s="54"/>
      <c r="AJ766" s="54"/>
    </row>
    <row r="767" ht="14.25" customHeight="1">
      <c r="E767" s="56"/>
      <c r="F767" s="56"/>
      <c r="T767" s="54"/>
      <c r="U767" s="54"/>
      <c r="AC767" s="54"/>
      <c r="AE767" s="54"/>
      <c r="AG767" s="54"/>
      <c r="AH767" s="54"/>
      <c r="AI767" s="54"/>
      <c r="AJ767" s="54"/>
    </row>
    <row r="768" ht="14.25" customHeight="1">
      <c r="E768" s="56"/>
      <c r="F768" s="56"/>
      <c r="T768" s="54"/>
      <c r="U768" s="54"/>
      <c r="AC768" s="54"/>
      <c r="AE768" s="54"/>
      <c r="AG768" s="54"/>
      <c r="AH768" s="54"/>
      <c r="AI768" s="54"/>
      <c r="AJ768" s="54"/>
    </row>
    <row r="769" ht="14.25" customHeight="1">
      <c r="E769" s="56"/>
      <c r="F769" s="56"/>
      <c r="T769" s="54"/>
      <c r="U769" s="54"/>
      <c r="AC769" s="54"/>
      <c r="AE769" s="54"/>
      <c r="AG769" s="54"/>
      <c r="AH769" s="54"/>
      <c r="AI769" s="54"/>
      <c r="AJ769" s="54"/>
    </row>
    <row r="770" ht="14.25" customHeight="1">
      <c r="E770" s="56"/>
      <c r="F770" s="56"/>
      <c r="T770" s="54"/>
      <c r="U770" s="54"/>
      <c r="AC770" s="54"/>
      <c r="AE770" s="54"/>
      <c r="AG770" s="54"/>
      <c r="AH770" s="54"/>
      <c r="AI770" s="54"/>
      <c r="AJ770" s="54"/>
    </row>
    <row r="771" ht="14.25" customHeight="1">
      <c r="E771" s="56"/>
      <c r="F771" s="56"/>
      <c r="T771" s="54"/>
      <c r="U771" s="54"/>
      <c r="AC771" s="54"/>
      <c r="AE771" s="54"/>
      <c r="AG771" s="54"/>
      <c r="AH771" s="54"/>
      <c r="AI771" s="54"/>
      <c r="AJ771" s="54"/>
    </row>
    <row r="772" ht="14.25" customHeight="1">
      <c r="E772" s="56"/>
      <c r="F772" s="56"/>
      <c r="T772" s="54"/>
      <c r="U772" s="54"/>
      <c r="AC772" s="54"/>
      <c r="AE772" s="54"/>
      <c r="AG772" s="54"/>
      <c r="AH772" s="54"/>
      <c r="AI772" s="54"/>
      <c r="AJ772" s="54"/>
    </row>
    <row r="773" ht="14.25" customHeight="1">
      <c r="E773" s="56"/>
      <c r="F773" s="56"/>
      <c r="T773" s="54"/>
      <c r="U773" s="54"/>
      <c r="AC773" s="54"/>
      <c r="AE773" s="54"/>
      <c r="AG773" s="54"/>
      <c r="AH773" s="54"/>
      <c r="AI773" s="54"/>
      <c r="AJ773" s="54"/>
    </row>
    <row r="774" ht="14.25" customHeight="1">
      <c r="E774" s="56"/>
      <c r="F774" s="56"/>
      <c r="T774" s="54"/>
      <c r="U774" s="54"/>
      <c r="AC774" s="54"/>
      <c r="AE774" s="54"/>
      <c r="AG774" s="54"/>
      <c r="AH774" s="54"/>
      <c r="AI774" s="54"/>
      <c r="AJ774" s="54"/>
    </row>
    <row r="775" ht="14.25" customHeight="1">
      <c r="E775" s="56"/>
      <c r="F775" s="56"/>
      <c r="T775" s="54"/>
      <c r="U775" s="54"/>
      <c r="AC775" s="54"/>
      <c r="AE775" s="54"/>
      <c r="AG775" s="54"/>
      <c r="AH775" s="54"/>
      <c r="AI775" s="54"/>
      <c r="AJ775" s="54"/>
    </row>
    <row r="776" ht="14.25" customHeight="1">
      <c r="E776" s="56"/>
      <c r="F776" s="56"/>
      <c r="T776" s="54"/>
      <c r="U776" s="54"/>
      <c r="AC776" s="54"/>
      <c r="AE776" s="54"/>
      <c r="AG776" s="54"/>
      <c r="AH776" s="54"/>
      <c r="AI776" s="54"/>
      <c r="AJ776" s="54"/>
    </row>
    <row r="777" ht="14.25" customHeight="1">
      <c r="E777" s="56"/>
      <c r="F777" s="56"/>
      <c r="T777" s="54"/>
      <c r="U777" s="54"/>
      <c r="AC777" s="54"/>
      <c r="AE777" s="54"/>
      <c r="AG777" s="54"/>
      <c r="AH777" s="54"/>
      <c r="AI777" s="54"/>
      <c r="AJ777" s="54"/>
    </row>
    <row r="778" ht="14.25" customHeight="1">
      <c r="E778" s="56"/>
      <c r="F778" s="56"/>
      <c r="T778" s="54"/>
      <c r="U778" s="54"/>
      <c r="AC778" s="54"/>
      <c r="AE778" s="54"/>
      <c r="AG778" s="54"/>
      <c r="AH778" s="54"/>
      <c r="AI778" s="54"/>
      <c r="AJ778" s="54"/>
    </row>
    <row r="779" ht="14.25" customHeight="1">
      <c r="E779" s="56"/>
      <c r="F779" s="56"/>
      <c r="T779" s="54"/>
      <c r="U779" s="54"/>
      <c r="AC779" s="54"/>
      <c r="AE779" s="54"/>
      <c r="AG779" s="54"/>
      <c r="AH779" s="54"/>
      <c r="AI779" s="54"/>
      <c r="AJ779" s="54"/>
    </row>
    <row r="780" ht="14.25" customHeight="1">
      <c r="E780" s="56"/>
      <c r="F780" s="56"/>
      <c r="T780" s="54"/>
      <c r="U780" s="54"/>
      <c r="AC780" s="54"/>
      <c r="AE780" s="54"/>
      <c r="AG780" s="54"/>
      <c r="AH780" s="54"/>
      <c r="AI780" s="54"/>
      <c r="AJ780" s="54"/>
    </row>
    <row r="781" ht="14.25" customHeight="1">
      <c r="E781" s="56"/>
      <c r="F781" s="56"/>
      <c r="T781" s="54"/>
      <c r="U781" s="54"/>
      <c r="AC781" s="54"/>
      <c r="AE781" s="54"/>
      <c r="AG781" s="54"/>
      <c r="AH781" s="54"/>
      <c r="AI781" s="54"/>
      <c r="AJ781" s="54"/>
    </row>
    <row r="782" ht="14.25" customHeight="1">
      <c r="E782" s="56"/>
      <c r="F782" s="56"/>
      <c r="T782" s="54"/>
      <c r="U782" s="54"/>
      <c r="AC782" s="54"/>
      <c r="AE782" s="54"/>
      <c r="AG782" s="54"/>
      <c r="AH782" s="54"/>
      <c r="AI782" s="54"/>
      <c r="AJ782" s="54"/>
    </row>
    <row r="783" ht="14.25" customHeight="1">
      <c r="E783" s="56"/>
      <c r="F783" s="56"/>
      <c r="T783" s="54"/>
      <c r="U783" s="54"/>
      <c r="AC783" s="54"/>
      <c r="AE783" s="54"/>
      <c r="AG783" s="54"/>
      <c r="AH783" s="54"/>
      <c r="AI783" s="54"/>
      <c r="AJ783" s="54"/>
    </row>
    <row r="784" ht="14.25" customHeight="1">
      <c r="E784" s="56"/>
      <c r="F784" s="56"/>
      <c r="T784" s="54"/>
      <c r="U784" s="54"/>
      <c r="AC784" s="54"/>
      <c r="AE784" s="54"/>
      <c r="AG784" s="54"/>
      <c r="AH784" s="54"/>
      <c r="AI784" s="54"/>
      <c r="AJ784" s="54"/>
    </row>
    <row r="785" ht="14.25" customHeight="1">
      <c r="E785" s="56"/>
      <c r="F785" s="56"/>
      <c r="T785" s="54"/>
      <c r="U785" s="54"/>
      <c r="AC785" s="54"/>
      <c r="AE785" s="54"/>
      <c r="AG785" s="54"/>
      <c r="AH785" s="54"/>
      <c r="AI785" s="54"/>
      <c r="AJ785" s="54"/>
    </row>
    <row r="786" ht="14.25" customHeight="1">
      <c r="E786" s="56"/>
      <c r="F786" s="56"/>
      <c r="T786" s="54"/>
      <c r="U786" s="54"/>
      <c r="AC786" s="54"/>
      <c r="AE786" s="54"/>
      <c r="AG786" s="54"/>
      <c r="AH786" s="54"/>
      <c r="AI786" s="54"/>
      <c r="AJ786" s="54"/>
    </row>
    <row r="787" ht="14.25" customHeight="1">
      <c r="E787" s="56"/>
      <c r="F787" s="56"/>
      <c r="T787" s="54"/>
      <c r="U787" s="54"/>
      <c r="AC787" s="54"/>
      <c r="AE787" s="54"/>
      <c r="AG787" s="54"/>
      <c r="AH787" s="54"/>
      <c r="AI787" s="54"/>
      <c r="AJ787" s="54"/>
    </row>
    <row r="788" ht="14.25" customHeight="1">
      <c r="E788" s="56"/>
      <c r="F788" s="56"/>
      <c r="T788" s="54"/>
      <c r="U788" s="54"/>
      <c r="AC788" s="54"/>
      <c r="AE788" s="54"/>
      <c r="AG788" s="54"/>
      <c r="AH788" s="54"/>
      <c r="AI788" s="54"/>
      <c r="AJ788" s="54"/>
    </row>
    <row r="789" ht="14.25" customHeight="1">
      <c r="E789" s="56"/>
      <c r="F789" s="56"/>
      <c r="T789" s="54"/>
      <c r="U789" s="54"/>
      <c r="AC789" s="54"/>
      <c r="AE789" s="54"/>
      <c r="AG789" s="54"/>
      <c r="AH789" s="54"/>
      <c r="AI789" s="54"/>
      <c r="AJ789" s="54"/>
    </row>
    <row r="790" ht="14.25" customHeight="1">
      <c r="E790" s="56"/>
      <c r="F790" s="56"/>
      <c r="T790" s="54"/>
      <c r="U790" s="54"/>
      <c r="AC790" s="54"/>
      <c r="AE790" s="54"/>
      <c r="AG790" s="54"/>
      <c r="AH790" s="54"/>
      <c r="AI790" s="54"/>
      <c r="AJ790" s="54"/>
    </row>
    <row r="791" ht="14.25" customHeight="1">
      <c r="E791" s="56"/>
      <c r="F791" s="56"/>
      <c r="T791" s="54"/>
      <c r="U791" s="54"/>
      <c r="AC791" s="54"/>
      <c r="AE791" s="54"/>
      <c r="AG791" s="54"/>
      <c r="AH791" s="54"/>
      <c r="AI791" s="54"/>
      <c r="AJ791" s="54"/>
    </row>
    <row r="792" ht="14.25" customHeight="1">
      <c r="E792" s="56"/>
      <c r="F792" s="56"/>
      <c r="T792" s="54"/>
      <c r="U792" s="54"/>
      <c r="AC792" s="54"/>
      <c r="AE792" s="54"/>
      <c r="AG792" s="54"/>
      <c r="AH792" s="54"/>
      <c r="AI792" s="54"/>
      <c r="AJ792" s="54"/>
    </row>
    <row r="793" ht="14.25" customHeight="1">
      <c r="E793" s="56"/>
      <c r="F793" s="56"/>
      <c r="T793" s="54"/>
      <c r="U793" s="54"/>
      <c r="AC793" s="54"/>
      <c r="AE793" s="54"/>
      <c r="AG793" s="54"/>
      <c r="AH793" s="54"/>
      <c r="AI793" s="54"/>
      <c r="AJ793" s="54"/>
    </row>
    <row r="794" ht="14.25" customHeight="1">
      <c r="E794" s="56"/>
      <c r="F794" s="56"/>
      <c r="T794" s="54"/>
      <c r="U794" s="54"/>
      <c r="AC794" s="54"/>
      <c r="AE794" s="54"/>
      <c r="AG794" s="54"/>
      <c r="AH794" s="54"/>
      <c r="AI794" s="54"/>
      <c r="AJ794" s="54"/>
    </row>
    <row r="795" ht="14.25" customHeight="1">
      <c r="E795" s="56"/>
      <c r="F795" s="56"/>
      <c r="T795" s="54"/>
      <c r="U795" s="54"/>
      <c r="AC795" s="54"/>
      <c r="AE795" s="54"/>
      <c r="AG795" s="54"/>
      <c r="AH795" s="54"/>
      <c r="AI795" s="54"/>
      <c r="AJ795" s="54"/>
    </row>
    <row r="796" ht="14.25" customHeight="1">
      <c r="E796" s="56"/>
      <c r="F796" s="56"/>
      <c r="T796" s="54"/>
      <c r="U796" s="54"/>
      <c r="AC796" s="54"/>
      <c r="AE796" s="54"/>
      <c r="AG796" s="54"/>
      <c r="AH796" s="54"/>
      <c r="AI796" s="54"/>
      <c r="AJ796" s="54"/>
    </row>
    <row r="797" ht="14.25" customHeight="1">
      <c r="E797" s="56"/>
      <c r="F797" s="56"/>
      <c r="T797" s="54"/>
      <c r="U797" s="54"/>
      <c r="AC797" s="54"/>
      <c r="AE797" s="54"/>
      <c r="AG797" s="54"/>
      <c r="AH797" s="54"/>
      <c r="AI797" s="54"/>
      <c r="AJ797" s="54"/>
    </row>
    <row r="798" ht="14.25" customHeight="1">
      <c r="E798" s="56"/>
      <c r="F798" s="56"/>
      <c r="T798" s="54"/>
      <c r="U798" s="54"/>
      <c r="AC798" s="54"/>
      <c r="AE798" s="54"/>
      <c r="AG798" s="54"/>
      <c r="AH798" s="54"/>
      <c r="AI798" s="54"/>
      <c r="AJ798" s="54"/>
    </row>
    <row r="799" ht="14.25" customHeight="1">
      <c r="E799" s="56"/>
      <c r="F799" s="56"/>
      <c r="T799" s="54"/>
      <c r="U799" s="54"/>
      <c r="AC799" s="54"/>
      <c r="AE799" s="54"/>
      <c r="AG799" s="54"/>
      <c r="AH799" s="54"/>
      <c r="AI799" s="54"/>
      <c r="AJ799" s="54"/>
    </row>
    <row r="800" ht="14.25" customHeight="1">
      <c r="E800" s="56"/>
      <c r="F800" s="56"/>
      <c r="T800" s="54"/>
      <c r="U800" s="54"/>
      <c r="AC800" s="54"/>
      <c r="AE800" s="54"/>
      <c r="AG800" s="54"/>
      <c r="AH800" s="54"/>
      <c r="AI800" s="54"/>
      <c r="AJ800" s="54"/>
    </row>
    <row r="801" ht="14.25" customHeight="1">
      <c r="E801" s="56"/>
      <c r="F801" s="56"/>
      <c r="T801" s="54"/>
      <c r="U801" s="54"/>
      <c r="AC801" s="54"/>
      <c r="AE801" s="54"/>
      <c r="AG801" s="54"/>
      <c r="AH801" s="54"/>
      <c r="AI801" s="54"/>
      <c r="AJ801" s="54"/>
    </row>
    <row r="802" ht="14.25" customHeight="1">
      <c r="E802" s="56"/>
      <c r="F802" s="56"/>
      <c r="T802" s="54"/>
      <c r="U802" s="54"/>
      <c r="AC802" s="54"/>
      <c r="AE802" s="54"/>
      <c r="AG802" s="54"/>
      <c r="AH802" s="54"/>
      <c r="AI802" s="54"/>
      <c r="AJ802" s="54"/>
    </row>
    <row r="803" ht="14.25" customHeight="1">
      <c r="E803" s="56"/>
      <c r="F803" s="56"/>
      <c r="T803" s="54"/>
      <c r="U803" s="54"/>
      <c r="AC803" s="54"/>
      <c r="AE803" s="54"/>
      <c r="AG803" s="54"/>
      <c r="AH803" s="54"/>
      <c r="AI803" s="54"/>
      <c r="AJ803" s="54"/>
    </row>
    <row r="804" ht="14.25" customHeight="1">
      <c r="E804" s="56"/>
      <c r="F804" s="56"/>
      <c r="T804" s="54"/>
      <c r="U804" s="54"/>
      <c r="AC804" s="54"/>
      <c r="AE804" s="54"/>
      <c r="AG804" s="54"/>
      <c r="AH804" s="54"/>
      <c r="AI804" s="54"/>
      <c r="AJ804" s="54"/>
    </row>
    <row r="805" ht="14.25" customHeight="1">
      <c r="E805" s="56"/>
      <c r="F805" s="56"/>
      <c r="T805" s="54"/>
      <c r="U805" s="54"/>
      <c r="AC805" s="54"/>
      <c r="AE805" s="54"/>
      <c r="AG805" s="54"/>
      <c r="AH805" s="54"/>
      <c r="AI805" s="54"/>
      <c r="AJ805" s="54"/>
    </row>
    <row r="806" ht="14.25" customHeight="1">
      <c r="E806" s="56"/>
      <c r="F806" s="56"/>
      <c r="T806" s="54"/>
      <c r="U806" s="54"/>
      <c r="AC806" s="54"/>
      <c r="AE806" s="54"/>
      <c r="AG806" s="54"/>
      <c r="AH806" s="54"/>
      <c r="AI806" s="54"/>
      <c r="AJ806" s="54"/>
    </row>
    <row r="807" ht="14.25" customHeight="1">
      <c r="E807" s="56"/>
      <c r="F807" s="56"/>
      <c r="T807" s="54"/>
      <c r="U807" s="54"/>
      <c r="AC807" s="54"/>
      <c r="AE807" s="54"/>
      <c r="AG807" s="54"/>
      <c r="AH807" s="54"/>
      <c r="AI807" s="54"/>
      <c r="AJ807" s="54"/>
    </row>
    <row r="808" ht="14.25" customHeight="1">
      <c r="E808" s="56"/>
      <c r="F808" s="56"/>
      <c r="T808" s="54"/>
      <c r="U808" s="54"/>
      <c r="AC808" s="54"/>
      <c r="AE808" s="54"/>
      <c r="AG808" s="54"/>
      <c r="AH808" s="54"/>
      <c r="AI808" s="54"/>
      <c r="AJ808" s="54"/>
    </row>
    <row r="809" ht="14.25" customHeight="1">
      <c r="E809" s="56"/>
      <c r="F809" s="56"/>
      <c r="T809" s="54"/>
      <c r="U809" s="54"/>
      <c r="AC809" s="54"/>
      <c r="AE809" s="54"/>
      <c r="AG809" s="54"/>
      <c r="AH809" s="54"/>
      <c r="AI809" s="54"/>
      <c r="AJ809" s="54"/>
    </row>
    <row r="810" ht="14.25" customHeight="1">
      <c r="E810" s="56"/>
      <c r="F810" s="56"/>
      <c r="T810" s="54"/>
      <c r="U810" s="54"/>
      <c r="AC810" s="54"/>
      <c r="AE810" s="54"/>
      <c r="AG810" s="54"/>
      <c r="AH810" s="54"/>
      <c r="AI810" s="54"/>
      <c r="AJ810" s="54"/>
    </row>
    <row r="811" ht="14.25" customHeight="1">
      <c r="E811" s="56"/>
      <c r="F811" s="56"/>
      <c r="T811" s="54"/>
      <c r="U811" s="54"/>
      <c r="AC811" s="54"/>
      <c r="AE811" s="54"/>
      <c r="AG811" s="54"/>
      <c r="AH811" s="54"/>
      <c r="AI811" s="54"/>
      <c r="AJ811" s="54"/>
    </row>
    <row r="812" ht="14.25" customHeight="1">
      <c r="E812" s="56"/>
      <c r="F812" s="56"/>
      <c r="T812" s="54"/>
      <c r="U812" s="54"/>
      <c r="AC812" s="54"/>
      <c r="AE812" s="54"/>
      <c r="AG812" s="54"/>
      <c r="AH812" s="54"/>
      <c r="AI812" s="54"/>
      <c r="AJ812" s="54"/>
    </row>
    <row r="813" ht="14.25" customHeight="1">
      <c r="E813" s="56"/>
      <c r="F813" s="56"/>
      <c r="T813" s="54"/>
      <c r="U813" s="54"/>
      <c r="AC813" s="54"/>
      <c r="AE813" s="54"/>
      <c r="AG813" s="54"/>
      <c r="AH813" s="54"/>
      <c r="AI813" s="54"/>
      <c r="AJ813" s="54"/>
    </row>
    <row r="814" ht="14.25" customHeight="1">
      <c r="E814" s="56"/>
      <c r="F814" s="56"/>
      <c r="T814" s="54"/>
      <c r="U814" s="54"/>
      <c r="AC814" s="54"/>
      <c r="AE814" s="54"/>
      <c r="AG814" s="54"/>
      <c r="AH814" s="54"/>
      <c r="AI814" s="54"/>
      <c r="AJ814" s="54"/>
    </row>
    <row r="815" ht="14.25" customHeight="1">
      <c r="E815" s="56"/>
      <c r="F815" s="56"/>
      <c r="T815" s="54"/>
      <c r="U815" s="54"/>
      <c r="AC815" s="54"/>
      <c r="AE815" s="54"/>
      <c r="AG815" s="54"/>
      <c r="AH815" s="54"/>
      <c r="AI815" s="54"/>
      <c r="AJ815" s="54"/>
    </row>
    <row r="816" ht="14.25" customHeight="1">
      <c r="E816" s="56"/>
      <c r="F816" s="56"/>
      <c r="T816" s="54"/>
      <c r="U816" s="54"/>
      <c r="AC816" s="54"/>
      <c r="AE816" s="54"/>
      <c r="AG816" s="54"/>
      <c r="AH816" s="54"/>
      <c r="AI816" s="54"/>
      <c r="AJ816" s="54"/>
    </row>
    <row r="817" ht="14.25" customHeight="1">
      <c r="E817" s="56"/>
      <c r="F817" s="56"/>
      <c r="T817" s="54"/>
      <c r="U817" s="54"/>
      <c r="AC817" s="54"/>
      <c r="AE817" s="54"/>
      <c r="AG817" s="54"/>
      <c r="AH817" s="54"/>
      <c r="AI817" s="54"/>
      <c r="AJ817" s="54"/>
    </row>
    <row r="818" ht="14.25" customHeight="1">
      <c r="E818" s="56"/>
      <c r="F818" s="56"/>
      <c r="T818" s="54"/>
      <c r="U818" s="54"/>
      <c r="AC818" s="54"/>
      <c r="AE818" s="54"/>
      <c r="AG818" s="54"/>
      <c r="AH818" s="54"/>
      <c r="AI818" s="54"/>
      <c r="AJ818" s="54"/>
    </row>
    <row r="819" ht="14.25" customHeight="1">
      <c r="E819" s="56"/>
      <c r="F819" s="56"/>
      <c r="T819" s="54"/>
      <c r="U819" s="54"/>
      <c r="AC819" s="54"/>
      <c r="AE819" s="54"/>
      <c r="AG819" s="54"/>
      <c r="AH819" s="54"/>
      <c r="AI819" s="54"/>
      <c r="AJ819" s="54"/>
    </row>
    <row r="820" ht="14.25" customHeight="1">
      <c r="E820" s="56"/>
      <c r="F820" s="56"/>
      <c r="T820" s="54"/>
      <c r="U820" s="54"/>
      <c r="AC820" s="54"/>
      <c r="AE820" s="54"/>
      <c r="AG820" s="54"/>
      <c r="AH820" s="54"/>
      <c r="AI820" s="54"/>
      <c r="AJ820" s="54"/>
    </row>
    <row r="821" ht="14.25" customHeight="1">
      <c r="E821" s="56"/>
      <c r="F821" s="56"/>
      <c r="T821" s="54"/>
      <c r="U821" s="54"/>
      <c r="AC821" s="54"/>
      <c r="AE821" s="54"/>
      <c r="AG821" s="54"/>
      <c r="AH821" s="54"/>
      <c r="AI821" s="54"/>
      <c r="AJ821" s="54"/>
    </row>
    <row r="822" ht="14.25" customHeight="1">
      <c r="E822" s="56"/>
      <c r="F822" s="56"/>
      <c r="T822" s="54"/>
      <c r="U822" s="54"/>
      <c r="AC822" s="54"/>
      <c r="AE822" s="54"/>
      <c r="AG822" s="54"/>
      <c r="AH822" s="54"/>
      <c r="AI822" s="54"/>
      <c r="AJ822" s="54"/>
    </row>
    <row r="823" ht="14.25" customHeight="1">
      <c r="E823" s="56"/>
      <c r="F823" s="56"/>
      <c r="T823" s="54"/>
      <c r="U823" s="54"/>
      <c r="AC823" s="54"/>
      <c r="AE823" s="54"/>
      <c r="AG823" s="54"/>
      <c r="AH823" s="54"/>
      <c r="AI823" s="54"/>
      <c r="AJ823" s="54"/>
    </row>
    <row r="824" ht="14.25" customHeight="1">
      <c r="E824" s="56"/>
      <c r="F824" s="56"/>
      <c r="T824" s="54"/>
      <c r="U824" s="54"/>
      <c r="AC824" s="54"/>
      <c r="AE824" s="54"/>
      <c r="AG824" s="54"/>
      <c r="AH824" s="54"/>
      <c r="AI824" s="54"/>
      <c r="AJ824" s="54"/>
    </row>
    <row r="825" ht="14.25" customHeight="1">
      <c r="E825" s="56"/>
      <c r="F825" s="56"/>
      <c r="T825" s="54"/>
      <c r="U825" s="54"/>
      <c r="AC825" s="54"/>
      <c r="AE825" s="54"/>
      <c r="AG825" s="54"/>
      <c r="AH825" s="54"/>
      <c r="AI825" s="54"/>
      <c r="AJ825" s="54"/>
    </row>
    <row r="826" ht="14.25" customHeight="1">
      <c r="E826" s="56"/>
      <c r="F826" s="56"/>
      <c r="T826" s="54"/>
      <c r="U826" s="54"/>
      <c r="AC826" s="54"/>
      <c r="AE826" s="54"/>
      <c r="AG826" s="54"/>
      <c r="AH826" s="54"/>
      <c r="AI826" s="54"/>
      <c r="AJ826" s="54"/>
    </row>
    <row r="827" ht="14.25" customHeight="1">
      <c r="E827" s="56"/>
      <c r="F827" s="56"/>
      <c r="T827" s="54"/>
      <c r="U827" s="54"/>
      <c r="AC827" s="54"/>
      <c r="AE827" s="54"/>
      <c r="AG827" s="54"/>
      <c r="AH827" s="54"/>
      <c r="AI827" s="54"/>
      <c r="AJ827" s="54"/>
    </row>
    <row r="828" ht="14.25" customHeight="1">
      <c r="E828" s="56"/>
      <c r="F828" s="56"/>
      <c r="T828" s="54"/>
      <c r="U828" s="54"/>
      <c r="AC828" s="54"/>
      <c r="AE828" s="54"/>
      <c r="AG828" s="54"/>
      <c r="AH828" s="54"/>
      <c r="AI828" s="54"/>
      <c r="AJ828" s="54"/>
    </row>
    <row r="829" ht="14.25" customHeight="1">
      <c r="E829" s="56"/>
      <c r="F829" s="56"/>
      <c r="T829" s="54"/>
      <c r="U829" s="54"/>
      <c r="AC829" s="54"/>
      <c r="AE829" s="54"/>
      <c r="AG829" s="54"/>
      <c r="AH829" s="54"/>
      <c r="AI829" s="54"/>
      <c r="AJ829" s="54"/>
    </row>
    <row r="830" ht="14.25" customHeight="1">
      <c r="E830" s="56"/>
      <c r="F830" s="56"/>
      <c r="T830" s="54"/>
      <c r="U830" s="54"/>
      <c r="AC830" s="54"/>
      <c r="AE830" s="54"/>
      <c r="AG830" s="54"/>
      <c r="AH830" s="54"/>
      <c r="AI830" s="54"/>
      <c r="AJ830" s="54"/>
    </row>
    <row r="831" ht="14.25" customHeight="1">
      <c r="E831" s="56"/>
      <c r="F831" s="56"/>
      <c r="T831" s="54"/>
      <c r="U831" s="54"/>
      <c r="AC831" s="54"/>
      <c r="AE831" s="54"/>
      <c r="AG831" s="54"/>
      <c r="AH831" s="54"/>
      <c r="AI831" s="54"/>
      <c r="AJ831" s="54"/>
    </row>
    <row r="832" ht="14.25" customHeight="1">
      <c r="E832" s="56"/>
      <c r="F832" s="56"/>
      <c r="T832" s="54"/>
      <c r="U832" s="54"/>
      <c r="AC832" s="54"/>
      <c r="AE832" s="54"/>
      <c r="AG832" s="54"/>
      <c r="AH832" s="54"/>
      <c r="AI832" s="54"/>
      <c r="AJ832" s="54"/>
    </row>
    <row r="833" ht="14.25" customHeight="1">
      <c r="E833" s="56"/>
      <c r="F833" s="56"/>
      <c r="T833" s="54"/>
      <c r="U833" s="54"/>
      <c r="AC833" s="54"/>
      <c r="AE833" s="54"/>
      <c r="AG833" s="54"/>
      <c r="AH833" s="54"/>
      <c r="AI833" s="54"/>
      <c r="AJ833" s="54"/>
    </row>
    <row r="834" ht="14.25" customHeight="1">
      <c r="E834" s="56"/>
      <c r="F834" s="56"/>
      <c r="T834" s="54"/>
      <c r="U834" s="54"/>
      <c r="AC834" s="54"/>
      <c r="AE834" s="54"/>
      <c r="AG834" s="54"/>
      <c r="AH834" s="54"/>
      <c r="AI834" s="54"/>
      <c r="AJ834" s="54"/>
    </row>
    <row r="835" ht="14.25" customHeight="1">
      <c r="E835" s="56"/>
      <c r="F835" s="56"/>
      <c r="T835" s="54"/>
      <c r="U835" s="54"/>
      <c r="AC835" s="54"/>
      <c r="AE835" s="54"/>
      <c r="AG835" s="54"/>
      <c r="AH835" s="54"/>
      <c r="AI835" s="54"/>
      <c r="AJ835" s="54"/>
    </row>
    <row r="836" ht="14.25" customHeight="1">
      <c r="E836" s="56"/>
      <c r="F836" s="56"/>
      <c r="T836" s="54"/>
      <c r="U836" s="54"/>
      <c r="AC836" s="54"/>
      <c r="AE836" s="54"/>
      <c r="AG836" s="54"/>
      <c r="AH836" s="54"/>
      <c r="AI836" s="54"/>
      <c r="AJ836" s="54"/>
    </row>
    <row r="837" ht="14.25" customHeight="1">
      <c r="E837" s="56"/>
      <c r="F837" s="56"/>
      <c r="T837" s="54"/>
      <c r="U837" s="54"/>
      <c r="AC837" s="54"/>
      <c r="AE837" s="54"/>
      <c r="AG837" s="54"/>
      <c r="AH837" s="54"/>
      <c r="AI837" s="54"/>
      <c r="AJ837" s="54"/>
    </row>
    <row r="838" ht="14.25" customHeight="1">
      <c r="E838" s="56"/>
      <c r="F838" s="56"/>
      <c r="T838" s="54"/>
      <c r="U838" s="54"/>
      <c r="AC838" s="54"/>
      <c r="AE838" s="54"/>
      <c r="AG838" s="54"/>
      <c r="AH838" s="54"/>
      <c r="AI838" s="54"/>
      <c r="AJ838" s="54"/>
    </row>
    <row r="839" ht="14.25" customHeight="1">
      <c r="E839" s="56"/>
      <c r="F839" s="56"/>
      <c r="T839" s="54"/>
      <c r="U839" s="54"/>
      <c r="AC839" s="54"/>
      <c r="AE839" s="54"/>
      <c r="AG839" s="54"/>
      <c r="AH839" s="54"/>
      <c r="AI839" s="54"/>
      <c r="AJ839" s="54"/>
    </row>
    <row r="840" ht="14.25" customHeight="1">
      <c r="E840" s="56"/>
      <c r="F840" s="56"/>
      <c r="T840" s="54"/>
      <c r="U840" s="54"/>
      <c r="AC840" s="54"/>
      <c r="AE840" s="54"/>
      <c r="AG840" s="54"/>
      <c r="AH840" s="54"/>
      <c r="AI840" s="54"/>
      <c r="AJ840" s="54"/>
    </row>
    <row r="841" ht="14.25" customHeight="1">
      <c r="E841" s="56"/>
      <c r="F841" s="56"/>
      <c r="T841" s="54"/>
      <c r="U841" s="54"/>
      <c r="AC841" s="54"/>
      <c r="AE841" s="54"/>
      <c r="AG841" s="54"/>
      <c r="AH841" s="54"/>
      <c r="AI841" s="54"/>
      <c r="AJ841" s="54"/>
    </row>
    <row r="842" ht="14.25" customHeight="1">
      <c r="E842" s="56"/>
      <c r="F842" s="56"/>
      <c r="T842" s="54"/>
      <c r="U842" s="54"/>
      <c r="AC842" s="54"/>
      <c r="AE842" s="54"/>
      <c r="AG842" s="54"/>
      <c r="AH842" s="54"/>
      <c r="AI842" s="54"/>
      <c r="AJ842" s="54"/>
    </row>
    <row r="843" ht="14.25" customHeight="1">
      <c r="E843" s="56"/>
      <c r="F843" s="56"/>
      <c r="T843" s="54"/>
      <c r="U843" s="54"/>
      <c r="AC843" s="54"/>
      <c r="AE843" s="54"/>
      <c r="AG843" s="54"/>
      <c r="AH843" s="54"/>
      <c r="AI843" s="54"/>
      <c r="AJ843" s="54"/>
    </row>
    <row r="844" ht="14.25" customHeight="1">
      <c r="E844" s="56"/>
      <c r="F844" s="56"/>
      <c r="T844" s="54"/>
      <c r="U844" s="54"/>
      <c r="AC844" s="54"/>
      <c r="AE844" s="54"/>
      <c r="AG844" s="54"/>
      <c r="AH844" s="54"/>
      <c r="AI844" s="54"/>
      <c r="AJ844" s="54"/>
    </row>
    <row r="845" ht="14.25" customHeight="1">
      <c r="E845" s="56"/>
      <c r="F845" s="56"/>
      <c r="T845" s="54"/>
      <c r="U845" s="54"/>
      <c r="AC845" s="54"/>
      <c r="AE845" s="54"/>
      <c r="AG845" s="54"/>
      <c r="AH845" s="54"/>
      <c r="AI845" s="54"/>
      <c r="AJ845" s="54"/>
    </row>
    <row r="846" ht="14.25" customHeight="1">
      <c r="E846" s="56"/>
      <c r="F846" s="56"/>
      <c r="T846" s="54"/>
      <c r="U846" s="54"/>
      <c r="AC846" s="54"/>
      <c r="AE846" s="54"/>
      <c r="AG846" s="54"/>
      <c r="AH846" s="54"/>
      <c r="AI846" s="54"/>
      <c r="AJ846" s="54"/>
    </row>
    <row r="847" ht="14.25" customHeight="1">
      <c r="E847" s="56"/>
      <c r="F847" s="56"/>
      <c r="T847" s="54"/>
      <c r="U847" s="54"/>
      <c r="AC847" s="54"/>
      <c r="AE847" s="54"/>
      <c r="AG847" s="54"/>
      <c r="AH847" s="54"/>
      <c r="AI847" s="54"/>
      <c r="AJ847" s="54"/>
    </row>
    <row r="848" ht="14.25" customHeight="1">
      <c r="E848" s="56"/>
      <c r="F848" s="56"/>
      <c r="T848" s="54"/>
      <c r="U848" s="54"/>
      <c r="AC848" s="54"/>
      <c r="AE848" s="54"/>
      <c r="AG848" s="54"/>
      <c r="AH848" s="54"/>
      <c r="AI848" s="54"/>
      <c r="AJ848" s="54"/>
    </row>
    <row r="849" ht="14.25" customHeight="1">
      <c r="E849" s="56"/>
      <c r="F849" s="56"/>
      <c r="T849" s="54"/>
      <c r="U849" s="54"/>
      <c r="AC849" s="54"/>
      <c r="AE849" s="54"/>
      <c r="AG849" s="54"/>
      <c r="AH849" s="54"/>
      <c r="AI849" s="54"/>
      <c r="AJ849" s="54"/>
    </row>
    <row r="850" ht="14.25" customHeight="1">
      <c r="E850" s="56"/>
      <c r="F850" s="56"/>
      <c r="T850" s="54"/>
      <c r="U850" s="54"/>
      <c r="AC850" s="54"/>
      <c r="AE850" s="54"/>
      <c r="AG850" s="54"/>
      <c r="AH850" s="54"/>
      <c r="AI850" s="54"/>
      <c r="AJ850" s="54"/>
    </row>
    <row r="851" ht="14.25" customHeight="1">
      <c r="E851" s="56"/>
      <c r="F851" s="56"/>
      <c r="T851" s="54"/>
      <c r="U851" s="54"/>
      <c r="AC851" s="54"/>
      <c r="AE851" s="54"/>
      <c r="AG851" s="54"/>
      <c r="AH851" s="54"/>
      <c r="AI851" s="54"/>
      <c r="AJ851" s="54"/>
    </row>
    <row r="852" ht="14.25" customHeight="1">
      <c r="E852" s="56"/>
      <c r="F852" s="56"/>
      <c r="T852" s="54"/>
      <c r="U852" s="54"/>
      <c r="AC852" s="54"/>
      <c r="AE852" s="54"/>
      <c r="AG852" s="54"/>
      <c r="AH852" s="54"/>
      <c r="AI852" s="54"/>
      <c r="AJ852" s="54"/>
    </row>
    <row r="853" ht="14.25" customHeight="1">
      <c r="E853" s="56"/>
      <c r="F853" s="56"/>
      <c r="T853" s="54"/>
      <c r="U853" s="54"/>
      <c r="AC853" s="54"/>
      <c r="AE853" s="54"/>
      <c r="AG853" s="54"/>
      <c r="AH853" s="54"/>
      <c r="AI853" s="54"/>
      <c r="AJ853" s="54"/>
    </row>
    <row r="854" ht="14.25" customHeight="1">
      <c r="E854" s="56"/>
      <c r="F854" s="56"/>
      <c r="T854" s="54"/>
      <c r="U854" s="54"/>
      <c r="AC854" s="54"/>
      <c r="AE854" s="54"/>
      <c r="AG854" s="54"/>
      <c r="AH854" s="54"/>
      <c r="AI854" s="54"/>
      <c r="AJ854" s="54"/>
    </row>
    <row r="855" ht="14.25" customHeight="1">
      <c r="E855" s="56"/>
      <c r="F855" s="56"/>
      <c r="T855" s="54"/>
      <c r="U855" s="54"/>
      <c r="AC855" s="54"/>
      <c r="AE855" s="54"/>
      <c r="AG855" s="54"/>
      <c r="AH855" s="54"/>
      <c r="AI855" s="54"/>
      <c r="AJ855" s="54"/>
    </row>
    <row r="856" ht="14.25" customHeight="1">
      <c r="E856" s="56"/>
      <c r="F856" s="56"/>
      <c r="T856" s="54"/>
      <c r="U856" s="54"/>
      <c r="AC856" s="54"/>
      <c r="AE856" s="54"/>
      <c r="AG856" s="54"/>
      <c r="AH856" s="54"/>
      <c r="AI856" s="54"/>
      <c r="AJ856" s="54"/>
    </row>
    <row r="857" ht="14.25" customHeight="1">
      <c r="E857" s="56"/>
      <c r="F857" s="56"/>
      <c r="T857" s="54"/>
      <c r="U857" s="54"/>
      <c r="AC857" s="54"/>
      <c r="AE857" s="54"/>
      <c r="AG857" s="54"/>
      <c r="AH857" s="54"/>
      <c r="AI857" s="54"/>
      <c r="AJ857" s="54"/>
    </row>
    <row r="858" ht="14.25" customHeight="1">
      <c r="E858" s="56"/>
      <c r="F858" s="56"/>
      <c r="T858" s="54"/>
      <c r="U858" s="54"/>
      <c r="AC858" s="54"/>
      <c r="AE858" s="54"/>
      <c r="AG858" s="54"/>
      <c r="AH858" s="54"/>
      <c r="AI858" s="54"/>
      <c r="AJ858" s="54"/>
    </row>
    <row r="859" ht="14.25" customHeight="1">
      <c r="E859" s="56"/>
      <c r="F859" s="56"/>
      <c r="T859" s="54"/>
      <c r="U859" s="54"/>
      <c r="AC859" s="54"/>
      <c r="AE859" s="54"/>
      <c r="AG859" s="54"/>
      <c r="AH859" s="54"/>
      <c r="AI859" s="54"/>
      <c r="AJ859" s="54"/>
    </row>
    <row r="860" ht="14.25" customHeight="1">
      <c r="E860" s="56"/>
      <c r="F860" s="56"/>
      <c r="T860" s="54"/>
      <c r="U860" s="54"/>
      <c r="AC860" s="54"/>
      <c r="AE860" s="54"/>
      <c r="AG860" s="54"/>
      <c r="AH860" s="54"/>
      <c r="AI860" s="54"/>
      <c r="AJ860" s="54"/>
    </row>
    <row r="861" ht="14.25" customHeight="1">
      <c r="E861" s="56"/>
      <c r="F861" s="56"/>
      <c r="T861" s="54"/>
      <c r="U861" s="54"/>
      <c r="AC861" s="54"/>
      <c r="AE861" s="54"/>
      <c r="AG861" s="54"/>
      <c r="AH861" s="54"/>
      <c r="AI861" s="54"/>
      <c r="AJ861" s="54"/>
    </row>
    <row r="862" ht="14.25" customHeight="1">
      <c r="E862" s="56"/>
      <c r="F862" s="56"/>
      <c r="T862" s="54"/>
      <c r="U862" s="54"/>
      <c r="AC862" s="54"/>
      <c r="AE862" s="54"/>
      <c r="AG862" s="54"/>
      <c r="AH862" s="54"/>
      <c r="AI862" s="54"/>
      <c r="AJ862" s="54"/>
    </row>
    <row r="863" ht="14.25" customHeight="1">
      <c r="E863" s="56"/>
      <c r="F863" s="56"/>
      <c r="T863" s="54"/>
      <c r="U863" s="54"/>
      <c r="AC863" s="54"/>
      <c r="AE863" s="54"/>
      <c r="AG863" s="54"/>
      <c r="AH863" s="54"/>
      <c r="AI863" s="54"/>
      <c r="AJ863" s="54"/>
    </row>
    <row r="864" ht="14.25" customHeight="1">
      <c r="E864" s="56"/>
      <c r="F864" s="56"/>
      <c r="T864" s="54"/>
      <c r="U864" s="54"/>
      <c r="AC864" s="54"/>
      <c r="AE864" s="54"/>
      <c r="AG864" s="54"/>
      <c r="AH864" s="54"/>
      <c r="AI864" s="54"/>
      <c r="AJ864" s="54"/>
    </row>
    <row r="865" ht="14.25" customHeight="1">
      <c r="E865" s="56"/>
      <c r="F865" s="56"/>
      <c r="T865" s="54"/>
      <c r="U865" s="54"/>
      <c r="AC865" s="54"/>
      <c r="AE865" s="54"/>
      <c r="AG865" s="54"/>
      <c r="AH865" s="54"/>
      <c r="AI865" s="54"/>
      <c r="AJ865" s="54"/>
    </row>
    <row r="866" ht="14.25" customHeight="1">
      <c r="E866" s="56"/>
      <c r="F866" s="56"/>
      <c r="T866" s="54"/>
      <c r="U866" s="54"/>
      <c r="AC866" s="54"/>
      <c r="AE866" s="54"/>
      <c r="AG866" s="54"/>
      <c r="AH866" s="54"/>
      <c r="AI866" s="54"/>
      <c r="AJ866" s="54"/>
    </row>
    <row r="867" ht="14.25" customHeight="1">
      <c r="E867" s="56"/>
      <c r="F867" s="56"/>
      <c r="T867" s="54"/>
      <c r="U867" s="54"/>
      <c r="AC867" s="54"/>
      <c r="AE867" s="54"/>
      <c r="AG867" s="54"/>
      <c r="AH867" s="54"/>
      <c r="AI867" s="54"/>
      <c r="AJ867" s="54"/>
    </row>
    <row r="868" ht="14.25" customHeight="1">
      <c r="E868" s="56"/>
      <c r="F868" s="56"/>
      <c r="T868" s="54"/>
      <c r="U868" s="54"/>
      <c r="AC868" s="54"/>
      <c r="AE868" s="54"/>
      <c r="AG868" s="54"/>
      <c r="AH868" s="54"/>
      <c r="AI868" s="54"/>
      <c r="AJ868" s="54"/>
    </row>
    <row r="869" ht="14.25" customHeight="1">
      <c r="E869" s="56"/>
      <c r="F869" s="56"/>
      <c r="T869" s="54"/>
      <c r="U869" s="54"/>
      <c r="AC869" s="54"/>
      <c r="AE869" s="54"/>
      <c r="AG869" s="54"/>
      <c r="AH869" s="54"/>
      <c r="AI869" s="54"/>
      <c r="AJ869" s="54"/>
    </row>
    <row r="870" ht="14.25" customHeight="1">
      <c r="E870" s="56"/>
      <c r="F870" s="56"/>
      <c r="T870" s="54"/>
      <c r="U870" s="54"/>
      <c r="AC870" s="54"/>
      <c r="AE870" s="54"/>
      <c r="AG870" s="54"/>
      <c r="AH870" s="54"/>
      <c r="AI870" s="54"/>
      <c r="AJ870" s="54"/>
    </row>
    <row r="871" ht="14.25" customHeight="1">
      <c r="E871" s="56"/>
      <c r="F871" s="56"/>
      <c r="T871" s="54"/>
      <c r="U871" s="54"/>
      <c r="AC871" s="54"/>
      <c r="AE871" s="54"/>
      <c r="AG871" s="54"/>
      <c r="AH871" s="54"/>
      <c r="AI871" s="54"/>
      <c r="AJ871" s="54"/>
    </row>
    <row r="872" ht="14.25" customHeight="1">
      <c r="E872" s="56"/>
      <c r="F872" s="56"/>
      <c r="T872" s="54"/>
      <c r="U872" s="54"/>
      <c r="AC872" s="54"/>
      <c r="AE872" s="54"/>
      <c r="AG872" s="54"/>
      <c r="AH872" s="54"/>
      <c r="AI872" s="54"/>
      <c r="AJ872" s="54"/>
    </row>
    <row r="873" ht="14.25" customHeight="1">
      <c r="E873" s="56"/>
      <c r="F873" s="56"/>
      <c r="T873" s="54"/>
      <c r="U873" s="54"/>
      <c r="AC873" s="54"/>
      <c r="AE873" s="54"/>
      <c r="AG873" s="54"/>
      <c r="AH873" s="54"/>
      <c r="AI873" s="54"/>
      <c r="AJ873" s="54"/>
    </row>
    <row r="874" ht="14.25" customHeight="1">
      <c r="E874" s="56"/>
      <c r="F874" s="56"/>
      <c r="T874" s="54"/>
      <c r="U874" s="54"/>
      <c r="AC874" s="54"/>
      <c r="AE874" s="54"/>
      <c r="AG874" s="54"/>
      <c r="AH874" s="54"/>
      <c r="AI874" s="54"/>
      <c r="AJ874" s="54"/>
    </row>
    <row r="875" ht="14.25" customHeight="1">
      <c r="E875" s="56"/>
      <c r="F875" s="56"/>
      <c r="T875" s="54"/>
      <c r="U875" s="54"/>
      <c r="AC875" s="54"/>
      <c r="AE875" s="54"/>
      <c r="AG875" s="54"/>
      <c r="AH875" s="54"/>
      <c r="AI875" s="54"/>
      <c r="AJ875" s="54"/>
    </row>
    <row r="876" ht="14.25" customHeight="1">
      <c r="E876" s="56"/>
      <c r="F876" s="56"/>
      <c r="T876" s="54"/>
      <c r="U876" s="54"/>
      <c r="AC876" s="54"/>
      <c r="AE876" s="54"/>
      <c r="AG876" s="54"/>
      <c r="AH876" s="54"/>
      <c r="AI876" s="54"/>
      <c r="AJ876" s="54"/>
    </row>
    <row r="877" ht="14.25" customHeight="1">
      <c r="E877" s="56"/>
      <c r="F877" s="56"/>
      <c r="T877" s="54"/>
      <c r="U877" s="54"/>
      <c r="AC877" s="54"/>
      <c r="AE877" s="54"/>
      <c r="AG877" s="54"/>
      <c r="AH877" s="54"/>
      <c r="AI877" s="54"/>
      <c r="AJ877" s="54"/>
    </row>
    <row r="878" ht="14.25" customHeight="1">
      <c r="E878" s="56"/>
      <c r="F878" s="56"/>
      <c r="T878" s="54"/>
      <c r="U878" s="54"/>
      <c r="AC878" s="54"/>
      <c r="AE878" s="54"/>
      <c r="AG878" s="54"/>
      <c r="AH878" s="54"/>
      <c r="AI878" s="54"/>
      <c r="AJ878" s="54"/>
    </row>
    <row r="879" ht="14.25" customHeight="1">
      <c r="E879" s="56"/>
      <c r="F879" s="56"/>
      <c r="T879" s="54"/>
      <c r="U879" s="54"/>
      <c r="AC879" s="54"/>
      <c r="AE879" s="54"/>
      <c r="AG879" s="54"/>
      <c r="AH879" s="54"/>
      <c r="AI879" s="54"/>
      <c r="AJ879" s="54"/>
    </row>
    <row r="880" ht="14.25" customHeight="1">
      <c r="E880" s="56"/>
      <c r="F880" s="56"/>
      <c r="T880" s="54"/>
      <c r="U880" s="54"/>
      <c r="AC880" s="54"/>
      <c r="AE880" s="54"/>
      <c r="AG880" s="54"/>
      <c r="AH880" s="54"/>
      <c r="AI880" s="54"/>
      <c r="AJ880" s="54"/>
    </row>
    <row r="881" ht="14.25" customHeight="1">
      <c r="E881" s="56"/>
      <c r="F881" s="56"/>
      <c r="T881" s="54"/>
      <c r="U881" s="54"/>
      <c r="AC881" s="54"/>
      <c r="AE881" s="54"/>
      <c r="AG881" s="54"/>
      <c r="AH881" s="54"/>
      <c r="AI881" s="54"/>
      <c r="AJ881" s="54"/>
    </row>
    <row r="882" ht="14.25" customHeight="1">
      <c r="E882" s="56"/>
      <c r="F882" s="56"/>
      <c r="T882" s="54"/>
      <c r="U882" s="54"/>
      <c r="AC882" s="54"/>
      <c r="AE882" s="54"/>
      <c r="AG882" s="54"/>
      <c r="AH882" s="54"/>
      <c r="AI882" s="54"/>
      <c r="AJ882" s="54"/>
    </row>
    <row r="883" ht="14.25" customHeight="1">
      <c r="E883" s="56"/>
      <c r="F883" s="56"/>
      <c r="T883" s="54"/>
      <c r="U883" s="54"/>
      <c r="AC883" s="54"/>
      <c r="AE883" s="54"/>
      <c r="AG883" s="54"/>
      <c r="AH883" s="54"/>
      <c r="AI883" s="54"/>
      <c r="AJ883" s="54"/>
    </row>
    <row r="884" ht="14.25" customHeight="1">
      <c r="E884" s="56"/>
      <c r="F884" s="56"/>
      <c r="T884" s="54"/>
      <c r="U884" s="54"/>
      <c r="AC884" s="54"/>
      <c r="AE884" s="54"/>
      <c r="AG884" s="54"/>
      <c r="AH884" s="54"/>
      <c r="AI884" s="54"/>
      <c r="AJ884" s="54"/>
    </row>
    <row r="885" ht="14.25" customHeight="1">
      <c r="E885" s="56"/>
      <c r="F885" s="56"/>
      <c r="T885" s="54"/>
      <c r="U885" s="54"/>
      <c r="AC885" s="54"/>
      <c r="AE885" s="54"/>
      <c r="AG885" s="54"/>
      <c r="AH885" s="54"/>
      <c r="AI885" s="54"/>
      <c r="AJ885" s="54"/>
    </row>
    <row r="886" ht="14.25" customHeight="1">
      <c r="E886" s="56"/>
      <c r="F886" s="56"/>
      <c r="T886" s="54"/>
      <c r="U886" s="54"/>
      <c r="AC886" s="54"/>
      <c r="AE886" s="54"/>
      <c r="AG886" s="54"/>
      <c r="AH886" s="54"/>
      <c r="AI886" s="54"/>
      <c r="AJ886" s="54"/>
    </row>
    <row r="887" ht="14.25" customHeight="1">
      <c r="E887" s="56"/>
      <c r="F887" s="56"/>
      <c r="T887" s="54"/>
      <c r="U887" s="54"/>
      <c r="AC887" s="54"/>
      <c r="AE887" s="54"/>
      <c r="AG887" s="54"/>
      <c r="AH887" s="54"/>
      <c r="AI887" s="54"/>
      <c r="AJ887" s="54"/>
    </row>
    <row r="888" ht="14.25" customHeight="1">
      <c r="E888" s="56"/>
      <c r="F888" s="56"/>
      <c r="T888" s="54"/>
      <c r="U888" s="54"/>
      <c r="AC888" s="54"/>
      <c r="AE888" s="54"/>
      <c r="AG888" s="54"/>
      <c r="AH888" s="54"/>
      <c r="AI888" s="54"/>
      <c r="AJ888" s="54"/>
    </row>
    <row r="889" ht="14.25" customHeight="1">
      <c r="E889" s="56"/>
      <c r="F889" s="56"/>
      <c r="T889" s="54"/>
      <c r="U889" s="54"/>
      <c r="AC889" s="54"/>
      <c r="AE889" s="54"/>
      <c r="AG889" s="54"/>
      <c r="AH889" s="54"/>
      <c r="AI889" s="54"/>
      <c r="AJ889" s="54"/>
    </row>
    <row r="890" ht="14.25" customHeight="1">
      <c r="E890" s="56"/>
      <c r="F890" s="56"/>
      <c r="T890" s="54"/>
      <c r="U890" s="54"/>
      <c r="AC890" s="54"/>
      <c r="AE890" s="54"/>
      <c r="AG890" s="54"/>
      <c r="AH890" s="54"/>
      <c r="AI890" s="54"/>
      <c r="AJ890" s="54"/>
    </row>
    <row r="891" ht="14.25" customHeight="1">
      <c r="E891" s="56"/>
      <c r="F891" s="56"/>
      <c r="T891" s="54"/>
      <c r="U891" s="54"/>
      <c r="AC891" s="54"/>
      <c r="AE891" s="54"/>
      <c r="AG891" s="54"/>
      <c r="AH891" s="54"/>
      <c r="AI891" s="54"/>
      <c r="AJ891" s="54"/>
    </row>
    <row r="892" ht="14.25" customHeight="1">
      <c r="E892" s="56"/>
      <c r="F892" s="56"/>
      <c r="T892" s="54"/>
      <c r="U892" s="54"/>
      <c r="AC892" s="54"/>
      <c r="AE892" s="54"/>
      <c r="AG892" s="54"/>
      <c r="AH892" s="54"/>
      <c r="AI892" s="54"/>
      <c r="AJ892" s="54"/>
    </row>
    <row r="893" ht="14.25" customHeight="1">
      <c r="E893" s="56"/>
      <c r="F893" s="56"/>
      <c r="T893" s="54"/>
      <c r="U893" s="54"/>
      <c r="AC893" s="54"/>
      <c r="AE893" s="54"/>
      <c r="AG893" s="54"/>
      <c r="AH893" s="54"/>
      <c r="AI893" s="54"/>
      <c r="AJ893" s="54"/>
    </row>
    <row r="894" ht="14.25" customHeight="1">
      <c r="E894" s="56"/>
      <c r="F894" s="56"/>
      <c r="T894" s="54"/>
      <c r="U894" s="54"/>
      <c r="AC894" s="54"/>
      <c r="AE894" s="54"/>
      <c r="AG894" s="54"/>
      <c r="AH894" s="54"/>
      <c r="AI894" s="54"/>
      <c r="AJ894" s="54"/>
    </row>
    <row r="895" ht="14.25" customHeight="1">
      <c r="E895" s="56"/>
      <c r="F895" s="56"/>
      <c r="T895" s="54"/>
      <c r="U895" s="54"/>
      <c r="AC895" s="54"/>
      <c r="AE895" s="54"/>
      <c r="AG895" s="54"/>
      <c r="AH895" s="54"/>
      <c r="AI895" s="54"/>
      <c r="AJ895" s="54"/>
    </row>
    <row r="896" ht="14.25" customHeight="1">
      <c r="E896" s="56"/>
      <c r="F896" s="56"/>
      <c r="T896" s="54"/>
      <c r="U896" s="54"/>
      <c r="AC896" s="54"/>
      <c r="AE896" s="54"/>
      <c r="AG896" s="54"/>
      <c r="AH896" s="54"/>
      <c r="AI896" s="54"/>
      <c r="AJ896" s="54"/>
    </row>
    <row r="897" ht="14.25" customHeight="1">
      <c r="E897" s="56"/>
      <c r="F897" s="56"/>
      <c r="T897" s="54"/>
      <c r="U897" s="54"/>
      <c r="AC897" s="54"/>
      <c r="AE897" s="54"/>
      <c r="AG897" s="54"/>
      <c r="AH897" s="54"/>
      <c r="AI897" s="54"/>
      <c r="AJ897" s="54"/>
    </row>
    <row r="898" ht="14.25" customHeight="1">
      <c r="E898" s="56"/>
      <c r="F898" s="56"/>
      <c r="T898" s="54"/>
      <c r="U898" s="54"/>
      <c r="AC898" s="54"/>
      <c r="AE898" s="54"/>
      <c r="AG898" s="54"/>
      <c r="AH898" s="54"/>
      <c r="AI898" s="54"/>
      <c r="AJ898" s="54"/>
    </row>
    <row r="899" ht="14.25" customHeight="1">
      <c r="E899" s="56"/>
      <c r="F899" s="56"/>
      <c r="T899" s="54"/>
      <c r="U899" s="54"/>
      <c r="AC899" s="54"/>
      <c r="AE899" s="54"/>
      <c r="AG899" s="54"/>
      <c r="AH899" s="54"/>
      <c r="AI899" s="54"/>
      <c r="AJ899" s="54"/>
    </row>
    <row r="900" ht="14.25" customHeight="1">
      <c r="E900" s="56"/>
      <c r="F900" s="56"/>
      <c r="T900" s="54"/>
      <c r="U900" s="54"/>
      <c r="AC900" s="54"/>
      <c r="AE900" s="54"/>
      <c r="AG900" s="54"/>
      <c r="AH900" s="54"/>
      <c r="AI900" s="54"/>
      <c r="AJ900" s="54"/>
    </row>
    <row r="901" ht="14.25" customHeight="1">
      <c r="E901" s="56"/>
      <c r="F901" s="56"/>
      <c r="T901" s="54"/>
      <c r="U901" s="54"/>
      <c r="AC901" s="54"/>
      <c r="AE901" s="54"/>
      <c r="AG901" s="54"/>
      <c r="AH901" s="54"/>
      <c r="AI901" s="54"/>
      <c r="AJ901" s="54"/>
    </row>
    <row r="902" ht="14.25" customHeight="1">
      <c r="E902" s="56"/>
      <c r="F902" s="56"/>
      <c r="T902" s="54"/>
      <c r="U902" s="54"/>
      <c r="AC902" s="54"/>
      <c r="AE902" s="54"/>
      <c r="AG902" s="54"/>
      <c r="AH902" s="54"/>
      <c r="AI902" s="54"/>
      <c r="AJ902" s="54"/>
    </row>
    <row r="903" ht="14.25" customHeight="1">
      <c r="E903" s="56"/>
      <c r="F903" s="56"/>
      <c r="T903" s="54"/>
      <c r="U903" s="54"/>
      <c r="AC903" s="54"/>
      <c r="AE903" s="54"/>
      <c r="AG903" s="54"/>
      <c r="AH903" s="54"/>
      <c r="AI903" s="54"/>
      <c r="AJ903" s="54"/>
    </row>
    <row r="904" ht="14.25" customHeight="1">
      <c r="E904" s="56"/>
      <c r="F904" s="56"/>
      <c r="T904" s="54"/>
      <c r="U904" s="54"/>
      <c r="AC904" s="54"/>
      <c r="AE904" s="54"/>
      <c r="AG904" s="54"/>
      <c r="AH904" s="54"/>
      <c r="AI904" s="54"/>
      <c r="AJ904" s="54"/>
    </row>
    <row r="905" ht="14.25" customHeight="1">
      <c r="E905" s="56"/>
      <c r="F905" s="56"/>
      <c r="T905" s="54"/>
      <c r="U905" s="54"/>
      <c r="AC905" s="54"/>
      <c r="AE905" s="54"/>
      <c r="AG905" s="54"/>
      <c r="AH905" s="54"/>
      <c r="AI905" s="54"/>
      <c r="AJ905" s="54"/>
    </row>
    <row r="906" ht="14.25" customHeight="1">
      <c r="E906" s="56"/>
      <c r="F906" s="56"/>
      <c r="T906" s="54"/>
      <c r="U906" s="54"/>
      <c r="AC906" s="54"/>
      <c r="AE906" s="54"/>
      <c r="AG906" s="54"/>
      <c r="AH906" s="54"/>
      <c r="AI906" s="54"/>
      <c r="AJ906" s="54"/>
    </row>
    <row r="907" ht="14.25" customHeight="1">
      <c r="E907" s="56"/>
      <c r="F907" s="56"/>
      <c r="T907" s="54"/>
      <c r="U907" s="54"/>
      <c r="AC907" s="54"/>
      <c r="AE907" s="54"/>
      <c r="AG907" s="54"/>
      <c r="AH907" s="54"/>
      <c r="AI907" s="54"/>
      <c r="AJ907" s="54"/>
    </row>
    <row r="908" ht="14.25" customHeight="1">
      <c r="E908" s="56"/>
      <c r="F908" s="56"/>
      <c r="T908" s="54"/>
      <c r="U908" s="54"/>
      <c r="AC908" s="54"/>
      <c r="AE908" s="54"/>
      <c r="AG908" s="54"/>
      <c r="AH908" s="54"/>
      <c r="AI908" s="54"/>
      <c r="AJ908" s="54"/>
    </row>
    <row r="909" ht="14.25" customHeight="1">
      <c r="E909" s="56"/>
      <c r="F909" s="56"/>
      <c r="T909" s="54"/>
      <c r="U909" s="54"/>
      <c r="AC909" s="54"/>
      <c r="AE909" s="54"/>
      <c r="AG909" s="54"/>
      <c r="AH909" s="54"/>
      <c r="AI909" s="54"/>
      <c r="AJ909" s="54"/>
    </row>
    <row r="910" ht="14.25" customHeight="1">
      <c r="E910" s="56"/>
      <c r="F910" s="56"/>
      <c r="T910" s="54"/>
      <c r="U910" s="54"/>
      <c r="AC910" s="54"/>
      <c r="AE910" s="54"/>
      <c r="AG910" s="54"/>
      <c r="AH910" s="54"/>
      <c r="AI910" s="54"/>
      <c r="AJ910" s="54"/>
    </row>
    <row r="911" ht="14.25" customHeight="1">
      <c r="E911" s="56"/>
      <c r="F911" s="56"/>
      <c r="T911" s="54"/>
      <c r="U911" s="54"/>
      <c r="AC911" s="54"/>
      <c r="AE911" s="54"/>
      <c r="AG911" s="54"/>
      <c r="AH911" s="54"/>
      <c r="AI911" s="54"/>
      <c r="AJ911" s="54"/>
    </row>
    <row r="912" ht="14.25" customHeight="1">
      <c r="E912" s="56"/>
      <c r="F912" s="56"/>
      <c r="T912" s="54"/>
      <c r="U912" s="54"/>
      <c r="AC912" s="54"/>
      <c r="AE912" s="54"/>
      <c r="AG912" s="54"/>
      <c r="AH912" s="54"/>
      <c r="AI912" s="54"/>
      <c r="AJ912" s="54"/>
    </row>
    <row r="913" ht="14.25" customHeight="1">
      <c r="E913" s="56"/>
      <c r="F913" s="56"/>
      <c r="T913" s="54"/>
      <c r="U913" s="54"/>
      <c r="AC913" s="54"/>
      <c r="AE913" s="54"/>
      <c r="AG913" s="54"/>
      <c r="AH913" s="54"/>
      <c r="AI913" s="54"/>
      <c r="AJ913" s="54"/>
    </row>
    <row r="914" ht="14.25" customHeight="1">
      <c r="E914" s="56"/>
      <c r="F914" s="56"/>
      <c r="T914" s="54"/>
      <c r="U914" s="54"/>
      <c r="AC914" s="54"/>
      <c r="AE914" s="54"/>
      <c r="AG914" s="54"/>
      <c r="AH914" s="54"/>
      <c r="AI914" s="54"/>
      <c r="AJ914" s="54"/>
    </row>
    <row r="915" ht="14.25" customHeight="1">
      <c r="E915" s="56"/>
      <c r="F915" s="56"/>
      <c r="T915" s="54"/>
      <c r="U915" s="54"/>
      <c r="AC915" s="54"/>
      <c r="AE915" s="54"/>
      <c r="AG915" s="54"/>
      <c r="AH915" s="54"/>
      <c r="AI915" s="54"/>
      <c r="AJ915" s="54"/>
    </row>
    <row r="916" ht="14.25" customHeight="1">
      <c r="E916" s="56"/>
      <c r="F916" s="56"/>
      <c r="T916" s="54"/>
      <c r="U916" s="54"/>
      <c r="AC916" s="54"/>
      <c r="AE916" s="54"/>
      <c r="AG916" s="54"/>
      <c r="AH916" s="54"/>
      <c r="AI916" s="54"/>
      <c r="AJ916" s="54"/>
    </row>
    <row r="917" ht="14.25" customHeight="1">
      <c r="E917" s="56"/>
      <c r="F917" s="56"/>
      <c r="T917" s="54"/>
      <c r="U917" s="54"/>
      <c r="AC917" s="54"/>
      <c r="AE917" s="54"/>
      <c r="AG917" s="54"/>
      <c r="AH917" s="54"/>
      <c r="AI917" s="54"/>
      <c r="AJ917" s="54"/>
    </row>
    <row r="918" ht="14.25" customHeight="1">
      <c r="E918" s="56"/>
      <c r="F918" s="56"/>
      <c r="T918" s="54"/>
      <c r="U918" s="54"/>
      <c r="AC918" s="54"/>
      <c r="AE918" s="54"/>
      <c r="AG918" s="54"/>
      <c r="AH918" s="54"/>
      <c r="AI918" s="54"/>
      <c r="AJ918" s="54"/>
    </row>
    <row r="919" ht="14.25" customHeight="1">
      <c r="E919" s="56"/>
      <c r="F919" s="56"/>
      <c r="T919" s="54"/>
      <c r="U919" s="54"/>
      <c r="AC919" s="54"/>
      <c r="AE919" s="54"/>
      <c r="AG919" s="54"/>
      <c r="AH919" s="54"/>
      <c r="AI919" s="54"/>
      <c r="AJ919" s="54"/>
    </row>
    <row r="920" ht="14.25" customHeight="1">
      <c r="E920" s="56"/>
      <c r="F920" s="56"/>
      <c r="T920" s="54"/>
      <c r="U920" s="54"/>
      <c r="AC920" s="54"/>
      <c r="AE920" s="54"/>
      <c r="AG920" s="54"/>
      <c r="AH920" s="54"/>
      <c r="AI920" s="54"/>
      <c r="AJ920" s="54"/>
    </row>
    <row r="921" ht="14.25" customHeight="1">
      <c r="E921" s="56"/>
      <c r="F921" s="56"/>
      <c r="T921" s="54"/>
      <c r="U921" s="54"/>
      <c r="AC921" s="54"/>
      <c r="AE921" s="54"/>
      <c r="AG921" s="54"/>
      <c r="AH921" s="54"/>
      <c r="AI921" s="54"/>
      <c r="AJ921" s="54"/>
    </row>
    <row r="922" ht="14.25" customHeight="1">
      <c r="E922" s="56"/>
      <c r="F922" s="56"/>
      <c r="T922" s="54"/>
      <c r="U922" s="54"/>
      <c r="AC922" s="54"/>
      <c r="AE922" s="54"/>
      <c r="AG922" s="54"/>
      <c r="AH922" s="54"/>
      <c r="AI922" s="54"/>
      <c r="AJ922" s="54"/>
    </row>
    <row r="923" ht="14.25" customHeight="1">
      <c r="E923" s="56"/>
      <c r="F923" s="56"/>
      <c r="T923" s="54"/>
      <c r="U923" s="54"/>
      <c r="AC923" s="54"/>
      <c r="AE923" s="54"/>
      <c r="AG923" s="54"/>
      <c r="AH923" s="54"/>
      <c r="AI923" s="54"/>
      <c r="AJ923" s="54"/>
    </row>
    <row r="924" ht="14.25" customHeight="1">
      <c r="E924" s="56"/>
      <c r="F924" s="56"/>
      <c r="T924" s="54"/>
      <c r="U924" s="54"/>
      <c r="AC924" s="54"/>
      <c r="AE924" s="54"/>
      <c r="AG924" s="54"/>
      <c r="AH924" s="54"/>
      <c r="AI924" s="54"/>
      <c r="AJ924" s="54"/>
    </row>
    <row r="925" ht="14.25" customHeight="1">
      <c r="E925" s="56"/>
      <c r="F925" s="56"/>
      <c r="T925" s="54"/>
      <c r="U925" s="54"/>
      <c r="AC925" s="54"/>
      <c r="AE925" s="54"/>
      <c r="AG925" s="54"/>
      <c r="AH925" s="54"/>
      <c r="AI925" s="54"/>
      <c r="AJ925" s="54"/>
    </row>
    <row r="926" ht="14.25" customHeight="1">
      <c r="E926" s="56"/>
      <c r="F926" s="56"/>
      <c r="T926" s="54"/>
      <c r="U926" s="54"/>
      <c r="AC926" s="54"/>
      <c r="AE926" s="54"/>
      <c r="AG926" s="54"/>
      <c r="AH926" s="54"/>
      <c r="AI926" s="54"/>
      <c r="AJ926" s="54"/>
    </row>
    <row r="927" ht="14.25" customHeight="1">
      <c r="E927" s="56"/>
      <c r="F927" s="56"/>
      <c r="T927" s="54"/>
      <c r="U927" s="54"/>
      <c r="AC927" s="54"/>
      <c r="AE927" s="54"/>
      <c r="AG927" s="54"/>
      <c r="AH927" s="54"/>
      <c r="AI927" s="54"/>
      <c r="AJ927" s="54"/>
    </row>
    <row r="928" ht="14.25" customHeight="1">
      <c r="E928" s="56"/>
      <c r="F928" s="56"/>
      <c r="T928" s="54"/>
      <c r="U928" s="54"/>
      <c r="AC928" s="54"/>
      <c r="AE928" s="54"/>
      <c r="AG928" s="54"/>
      <c r="AH928" s="54"/>
      <c r="AI928" s="54"/>
      <c r="AJ928" s="54"/>
    </row>
    <row r="929" ht="14.25" customHeight="1">
      <c r="E929" s="56"/>
      <c r="F929" s="56"/>
      <c r="T929" s="54"/>
      <c r="U929" s="54"/>
      <c r="AC929" s="54"/>
      <c r="AE929" s="54"/>
      <c r="AG929" s="54"/>
      <c r="AH929" s="54"/>
      <c r="AI929" s="54"/>
      <c r="AJ929" s="54"/>
    </row>
    <row r="930" ht="14.25" customHeight="1">
      <c r="E930" s="56"/>
      <c r="F930" s="56"/>
      <c r="T930" s="54"/>
      <c r="U930" s="54"/>
      <c r="AC930" s="54"/>
      <c r="AE930" s="54"/>
      <c r="AG930" s="54"/>
      <c r="AH930" s="54"/>
      <c r="AI930" s="54"/>
      <c r="AJ930" s="54"/>
    </row>
    <row r="931" ht="14.25" customHeight="1">
      <c r="E931" s="56"/>
      <c r="F931" s="56"/>
      <c r="T931" s="54"/>
      <c r="U931" s="54"/>
      <c r="AC931" s="54"/>
      <c r="AE931" s="54"/>
      <c r="AG931" s="54"/>
      <c r="AH931" s="54"/>
      <c r="AI931" s="54"/>
      <c r="AJ931" s="54"/>
    </row>
    <row r="932" ht="14.25" customHeight="1">
      <c r="E932" s="56"/>
      <c r="F932" s="56"/>
      <c r="T932" s="54"/>
      <c r="U932" s="54"/>
      <c r="AC932" s="54"/>
      <c r="AE932" s="54"/>
      <c r="AG932" s="54"/>
      <c r="AH932" s="54"/>
      <c r="AI932" s="54"/>
      <c r="AJ932" s="54"/>
    </row>
    <row r="933" ht="14.25" customHeight="1">
      <c r="E933" s="56"/>
      <c r="F933" s="56"/>
      <c r="T933" s="54"/>
      <c r="U933" s="54"/>
      <c r="AC933" s="54"/>
      <c r="AE933" s="54"/>
      <c r="AG933" s="54"/>
      <c r="AH933" s="54"/>
      <c r="AI933" s="54"/>
      <c r="AJ933" s="54"/>
    </row>
    <row r="934" ht="14.25" customHeight="1">
      <c r="E934" s="56"/>
      <c r="F934" s="56"/>
      <c r="T934" s="54"/>
      <c r="U934" s="54"/>
      <c r="AC934" s="54"/>
      <c r="AE934" s="54"/>
      <c r="AG934" s="54"/>
      <c r="AH934" s="54"/>
      <c r="AI934" s="54"/>
      <c r="AJ934" s="54"/>
    </row>
    <row r="935" ht="14.25" customHeight="1">
      <c r="E935" s="56"/>
      <c r="F935" s="56"/>
      <c r="T935" s="54"/>
      <c r="U935" s="54"/>
      <c r="AC935" s="54"/>
      <c r="AE935" s="54"/>
      <c r="AG935" s="54"/>
      <c r="AH935" s="54"/>
      <c r="AI935" s="54"/>
      <c r="AJ935" s="54"/>
    </row>
    <row r="936" ht="14.25" customHeight="1">
      <c r="E936" s="56"/>
      <c r="F936" s="56"/>
      <c r="T936" s="54"/>
      <c r="U936" s="54"/>
      <c r="AC936" s="54"/>
      <c r="AE936" s="54"/>
      <c r="AG936" s="54"/>
      <c r="AH936" s="54"/>
      <c r="AI936" s="54"/>
      <c r="AJ936" s="54"/>
    </row>
    <row r="937" ht="14.25" customHeight="1">
      <c r="E937" s="56"/>
      <c r="F937" s="56"/>
      <c r="T937" s="54"/>
      <c r="U937" s="54"/>
      <c r="AC937" s="54"/>
      <c r="AE937" s="54"/>
      <c r="AG937" s="54"/>
      <c r="AH937" s="54"/>
      <c r="AI937" s="54"/>
      <c r="AJ937" s="54"/>
    </row>
    <row r="938" ht="14.25" customHeight="1">
      <c r="E938" s="56"/>
      <c r="F938" s="56"/>
      <c r="T938" s="54"/>
      <c r="U938" s="54"/>
      <c r="AC938" s="54"/>
      <c r="AE938" s="54"/>
      <c r="AG938" s="54"/>
      <c r="AH938" s="54"/>
      <c r="AI938" s="54"/>
      <c r="AJ938" s="54"/>
    </row>
    <row r="939" ht="14.25" customHeight="1">
      <c r="E939" s="56"/>
      <c r="F939" s="56"/>
      <c r="T939" s="54"/>
      <c r="U939" s="54"/>
      <c r="AC939" s="54"/>
      <c r="AE939" s="54"/>
      <c r="AG939" s="54"/>
      <c r="AH939" s="54"/>
      <c r="AI939" s="54"/>
      <c r="AJ939" s="54"/>
    </row>
    <row r="940" ht="14.25" customHeight="1">
      <c r="E940" s="56"/>
      <c r="F940" s="56"/>
      <c r="T940" s="54"/>
      <c r="U940" s="54"/>
      <c r="AC940" s="54"/>
      <c r="AE940" s="54"/>
      <c r="AG940" s="54"/>
      <c r="AH940" s="54"/>
      <c r="AI940" s="54"/>
      <c r="AJ940" s="54"/>
    </row>
    <row r="941" ht="14.25" customHeight="1">
      <c r="E941" s="56"/>
      <c r="F941" s="56"/>
      <c r="T941" s="54"/>
      <c r="U941" s="54"/>
      <c r="AC941" s="54"/>
      <c r="AE941" s="54"/>
      <c r="AG941" s="54"/>
      <c r="AH941" s="54"/>
      <c r="AI941" s="54"/>
      <c r="AJ941" s="54"/>
    </row>
    <row r="942" ht="14.25" customHeight="1">
      <c r="E942" s="56"/>
      <c r="F942" s="56"/>
      <c r="T942" s="54"/>
      <c r="U942" s="54"/>
      <c r="AC942" s="54"/>
      <c r="AE942" s="54"/>
      <c r="AG942" s="54"/>
      <c r="AH942" s="54"/>
      <c r="AI942" s="54"/>
      <c r="AJ942" s="54"/>
    </row>
    <row r="943" ht="14.25" customHeight="1">
      <c r="E943" s="56"/>
      <c r="F943" s="56"/>
      <c r="T943" s="54"/>
      <c r="U943" s="54"/>
      <c r="AC943" s="54"/>
      <c r="AE943" s="54"/>
      <c r="AG943" s="54"/>
      <c r="AH943" s="54"/>
      <c r="AI943" s="54"/>
      <c r="AJ943" s="54"/>
    </row>
    <row r="944" ht="14.25" customHeight="1">
      <c r="E944" s="56"/>
      <c r="F944" s="56"/>
      <c r="T944" s="54"/>
      <c r="U944" s="54"/>
      <c r="AC944" s="54"/>
      <c r="AE944" s="54"/>
      <c r="AG944" s="54"/>
      <c r="AH944" s="54"/>
      <c r="AI944" s="54"/>
      <c r="AJ944" s="54"/>
    </row>
    <row r="945" ht="14.25" customHeight="1">
      <c r="E945" s="56"/>
      <c r="F945" s="56"/>
      <c r="T945" s="54"/>
      <c r="U945" s="54"/>
      <c r="AC945" s="54"/>
      <c r="AE945" s="54"/>
      <c r="AG945" s="54"/>
      <c r="AH945" s="54"/>
      <c r="AI945" s="54"/>
      <c r="AJ945" s="54"/>
    </row>
    <row r="946" ht="14.25" customHeight="1">
      <c r="E946" s="56"/>
      <c r="F946" s="56"/>
      <c r="T946" s="54"/>
      <c r="U946" s="54"/>
      <c r="AC946" s="54"/>
      <c r="AE946" s="54"/>
      <c r="AG946" s="54"/>
      <c r="AH946" s="54"/>
      <c r="AI946" s="54"/>
      <c r="AJ946" s="54"/>
    </row>
    <row r="947" ht="14.25" customHeight="1">
      <c r="E947" s="56"/>
      <c r="F947" s="56"/>
      <c r="T947" s="54"/>
      <c r="U947" s="54"/>
      <c r="AC947" s="54"/>
      <c r="AE947" s="54"/>
      <c r="AG947" s="54"/>
      <c r="AH947" s="54"/>
      <c r="AI947" s="54"/>
      <c r="AJ947" s="54"/>
    </row>
    <row r="948" ht="14.25" customHeight="1">
      <c r="E948" s="56"/>
      <c r="F948" s="56"/>
      <c r="T948" s="54"/>
      <c r="U948" s="54"/>
      <c r="AC948" s="54"/>
      <c r="AE948" s="54"/>
      <c r="AG948" s="54"/>
      <c r="AH948" s="54"/>
      <c r="AI948" s="54"/>
      <c r="AJ948" s="54"/>
    </row>
    <row r="949" ht="14.25" customHeight="1">
      <c r="E949" s="56"/>
      <c r="F949" s="56"/>
      <c r="T949" s="54"/>
      <c r="U949" s="54"/>
      <c r="AC949" s="54"/>
      <c r="AE949" s="54"/>
      <c r="AG949" s="54"/>
      <c r="AH949" s="54"/>
      <c r="AI949" s="54"/>
      <c r="AJ949" s="54"/>
    </row>
    <row r="950" ht="14.25" customHeight="1">
      <c r="E950" s="56"/>
      <c r="F950" s="56"/>
      <c r="T950" s="54"/>
      <c r="U950" s="54"/>
      <c r="AC950" s="54"/>
      <c r="AE950" s="54"/>
      <c r="AG950" s="54"/>
      <c r="AH950" s="54"/>
      <c r="AI950" s="54"/>
      <c r="AJ950" s="54"/>
    </row>
    <row r="951" ht="14.25" customHeight="1">
      <c r="E951" s="56"/>
      <c r="F951" s="56"/>
      <c r="T951" s="54"/>
      <c r="U951" s="54"/>
      <c r="AC951" s="54"/>
      <c r="AE951" s="54"/>
      <c r="AG951" s="54"/>
      <c r="AH951" s="54"/>
      <c r="AI951" s="54"/>
      <c r="AJ951" s="54"/>
    </row>
    <row r="952" ht="14.25" customHeight="1">
      <c r="E952" s="56"/>
      <c r="F952" s="56"/>
      <c r="T952" s="54"/>
      <c r="U952" s="54"/>
      <c r="AC952" s="54"/>
      <c r="AE952" s="54"/>
      <c r="AG952" s="54"/>
      <c r="AH952" s="54"/>
      <c r="AI952" s="54"/>
      <c r="AJ952" s="54"/>
    </row>
    <row r="953" ht="14.25" customHeight="1">
      <c r="E953" s="56"/>
      <c r="F953" s="56"/>
      <c r="T953" s="54"/>
      <c r="U953" s="54"/>
      <c r="AC953" s="54"/>
      <c r="AE953" s="54"/>
      <c r="AG953" s="54"/>
      <c r="AH953" s="54"/>
      <c r="AI953" s="54"/>
      <c r="AJ953" s="54"/>
    </row>
    <row r="954" ht="14.25" customHeight="1">
      <c r="E954" s="56"/>
      <c r="F954" s="56"/>
      <c r="T954" s="54"/>
      <c r="U954" s="54"/>
      <c r="AC954" s="54"/>
      <c r="AE954" s="54"/>
      <c r="AG954" s="54"/>
      <c r="AH954" s="54"/>
      <c r="AI954" s="54"/>
      <c r="AJ954" s="54"/>
    </row>
    <row r="955" ht="14.25" customHeight="1">
      <c r="E955" s="56"/>
      <c r="F955" s="56"/>
      <c r="T955" s="54"/>
      <c r="U955" s="54"/>
      <c r="AC955" s="54"/>
      <c r="AE955" s="54"/>
      <c r="AG955" s="54"/>
      <c r="AH955" s="54"/>
      <c r="AI955" s="54"/>
      <c r="AJ955" s="54"/>
    </row>
    <row r="956" ht="14.25" customHeight="1">
      <c r="E956" s="56"/>
      <c r="F956" s="56"/>
      <c r="T956" s="54"/>
      <c r="U956" s="54"/>
      <c r="AC956" s="54"/>
      <c r="AE956" s="54"/>
      <c r="AG956" s="54"/>
      <c r="AH956" s="54"/>
      <c r="AI956" s="54"/>
      <c r="AJ956" s="54"/>
    </row>
    <row r="957" ht="14.25" customHeight="1">
      <c r="E957" s="56"/>
      <c r="F957" s="56"/>
      <c r="T957" s="54"/>
      <c r="U957" s="54"/>
      <c r="AC957" s="54"/>
      <c r="AE957" s="54"/>
      <c r="AG957" s="54"/>
      <c r="AH957" s="54"/>
      <c r="AI957" s="54"/>
      <c r="AJ957" s="54"/>
    </row>
    <row r="958" ht="14.25" customHeight="1">
      <c r="E958" s="56"/>
      <c r="F958" s="56"/>
      <c r="T958" s="54"/>
      <c r="U958" s="54"/>
      <c r="AC958" s="54"/>
      <c r="AE958" s="54"/>
      <c r="AG958" s="54"/>
      <c r="AH958" s="54"/>
      <c r="AI958" s="54"/>
      <c r="AJ958" s="54"/>
    </row>
    <row r="959" ht="14.25" customHeight="1">
      <c r="E959" s="56"/>
      <c r="F959" s="56"/>
      <c r="T959" s="54"/>
      <c r="U959" s="54"/>
      <c r="AC959" s="54"/>
      <c r="AE959" s="54"/>
      <c r="AG959" s="54"/>
      <c r="AH959" s="54"/>
      <c r="AI959" s="54"/>
      <c r="AJ959" s="54"/>
    </row>
    <row r="960" ht="14.25" customHeight="1">
      <c r="E960" s="56"/>
      <c r="F960" s="56"/>
      <c r="T960" s="54"/>
      <c r="U960" s="54"/>
      <c r="AC960" s="54"/>
      <c r="AE960" s="54"/>
      <c r="AG960" s="54"/>
      <c r="AH960" s="54"/>
      <c r="AI960" s="54"/>
      <c r="AJ960" s="54"/>
    </row>
    <row r="961" ht="14.25" customHeight="1">
      <c r="E961" s="56"/>
      <c r="F961" s="56"/>
      <c r="T961" s="54"/>
      <c r="U961" s="54"/>
      <c r="AC961" s="54"/>
      <c r="AE961" s="54"/>
      <c r="AG961" s="54"/>
      <c r="AH961" s="54"/>
      <c r="AI961" s="54"/>
      <c r="AJ961" s="54"/>
    </row>
    <row r="962" ht="14.25" customHeight="1">
      <c r="E962" s="56"/>
      <c r="F962" s="56"/>
      <c r="T962" s="54"/>
      <c r="U962" s="54"/>
      <c r="AC962" s="54"/>
      <c r="AE962" s="54"/>
      <c r="AG962" s="54"/>
      <c r="AH962" s="54"/>
      <c r="AI962" s="54"/>
      <c r="AJ962" s="54"/>
    </row>
    <row r="963" ht="14.25" customHeight="1">
      <c r="E963" s="56"/>
      <c r="F963" s="56"/>
      <c r="T963" s="54"/>
      <c r="U963" s="54"/>
      <c r="AC963" s="54"/>
      <c r="AE963" s="54"/>
      <c r="AG963" s="54"/>
      <c r="AH963" s="54"/>
      <c r="AI963" s="54"/>
      <c r="AJ963" s="54"/>
    </row>
    <row r="964" ht="14.25" customHeight="1">
      <c r="E964" s="56"/>
      <c r="F964" s="56"/>
      <c r="T964" s="54"/>
      <c r="U964" s="54"/>
      <c r="AC964" s="54"/>
      <c r="AE964" s="54"/>
      <c r="AG964" s="54"/>
      <c r="AH964" s="54"/>
      <c r="AI964" s="54"/>
      <c r="AJ964" s="54"/>
    </row>
    <row r="965" ht="14.25" customHeight="1">
      <c r="E965" s="56"/>
      <c r="F965" s="56"/>
      <c r="T965" s="54"/>
      <c r="U965" s="54"/>
      <c r="AC965" s="54"/>
      <c r="AE965" s="54"/>
      <c r="AG965" s="54"/>
      <c r="AH965" s="54"/>
      <c r="AI965" s="54"/>
      <c r="AJ965" s="54"/>
    </row>
    <row r="966" ht="14.25" customHeight="1">
      <c r="E966" s="56"/>
      <c r="F966" s="56"/>
      <c r="T966" s="54"/>
      <c r="U966" s="54"/>
      <c r="AC966" s="54"/>
      <c r="AE966" s="54"/>
      <c r="AG966" s="54"/>
      <c r="AH966" s="54"/>
      <c r="AI966" s="54"/>
      <c r="AJ966" s="54"/>
    </row>
    <row r="967" ht="14.25" customHeight="1">
      <c r="E967" s="56"/>
      <c r="F967" s="56"/>
      <c r="T967" s="54"/>
      <c r="U967" s="54"/>
      <c r="AC967" s="54"/>
      <c r="AE967" s="54"/>
      <c r="AG967" s="54"/>
      <c r="AH967" s="54"/>
      <c r="AI967" s="54"/>
      <c r="AJ967" s="54"/>
    </row>
    <row r="968" ht="14.25" customHeight="1">
      <c r="E968" s="56"/>
      <c r="F968" s="56"/>
      <c r="T968" s="54"/>
      <c r="U968" s="54"/>
      <c r="AC968" s="54"/>
      <c r="AE968" s="54"/>
      <c r="AG968" s="54"/>
      <c r="AH968" s="54"/>
      <c r="AI968" s="54"/>
      <c r="AJ968" s="54"/>
    </row>
    <row r="969" ht="14.25" customHeight="1">
      <c r="E969" s="56"/>
      <c r="F969" s="56"/>
      <c r="T969" s="54"/>
      <c r="U969" s="54"/>
      <c r="AC969" s="54"/>
      <c r="AE969" s="54"/>
      <c r="AG969" s="54"/>
      <c r="AH969" s="54"/>
      <c r="AI969" s="54"/>
      <c r="AJ969" s="54"/>
    </row>
    <row r="970" ht="14.25" customHeight="1">
      <c r="E970" s="56"/>
      <c r="F970" s="56"/>
      <c r="T970" s="54"/>
      <c r="U970" s="54"/>
      <c r="AC970" s="54"/>
      <c r="AE970" s="54"/>
      <c r="AG970" s="54"/>
      <c r="AH970" s="54"/>
      <c r="AI970" s="54"/>
      <c r="AJ970" s="54"/>
    </row>
    <row r="971" ht="14.25" customHeight="1">
      <c r="E971" s="56"/>
      <c r="F971" s="56"/>
      <c r="T971" s="54"/>
      <c r="U971" s="54"/>
      <c r="AC971" s="54"/>
      <c r="AE971" s="54"/>
      <c r="AG971" s="54"/>
      <c r="AH971" s="54"/>
      <c r="AI971" s="54"/>
      <c r="AJ971" s="54"/>
    </row>
    <row r="972" ht="14.25" customHeight="1">
      <c r="E972" s="56"/>
      <c r="F972" s="56"/>
      <c r="T972" s="54"/>
      <c r="U972" s="54"/>
      <c r="AC972" s="54"/>
      <c r="AE972" s="54"/>
      <c r="AG972" s="54"/>
      <c r="AH972" s="54"/>
      <c r="AI972" s="54"/>
      <c r="AJ972" s="54"/>
    </row>
    <row r="973" ht="14.25" customHeight="1">
      <c r="E973" s="56"/>
      <c r="F973" s="56"/>
      <c r="T973" s="54"/>
      <c r="U973" s="54"/>
      <c r="AC973" s="54"/>
      <c r="AE973" s="54"/>
      <c r="AG973" s="54"/>
      <c r="AH973" s="54"/>
      <c r="AI973" s="54"/>
      <c r="AJ973" s="54"/>
    </row>
    <row r="974" ht="14.25" customHeight="1">
      <c r="E974" s="56"/>
      <c r="F974" s="56"/>
      <c r="T974" s="54"/>
      <c r="U974" s="54"/>
      <c r="AC974" s="54"/>
      <c r="AE974" s="54"/>
      <c r="AG974" s="54"/>
      <c r="AH974" s="54"/>
      <c r="AI974" s="54"/>
      <c r="AJ974" s="54"/>
    </row>
    <row r="975" ht="14.25" customHeight="1">
      <c r="E975" s="56"/>
      <c r="F975" s="56"/>
      <c r="T975" s="54"/>
      <c r="U975" s="54"/>
      <c r="AC975" s="54"/>
      <c r="AE975" s="54"/>
      <c r="AG975" s="54"/>
      <c r="AH975" s="54"/>
      <c r="AI975" s="54"/>
      <c r="AJ975" s="54"/>
    </row>
    <row r="976" ht="14.25" customHeight="1">
      <c r="E976" s="56"/>
      <c r="F976" s="56"/>
      <c r="T976" s="54"/>
      <c r="U976" s="54"/>
      <c r="AC976" s="54"/>
      <c r="AE976" s="54"/>
      <c r="AG976" s="54"/>
      <c r="AH976" s="54"/>
      <c r="AI976" s="54"/>
      <c r="AJ976" s="54"/>
    </row>
    <row r="977" ht="14.25" customHeight="1">
      <c r="E977" s="56"/>
      <c r="F977" s="56"/>
      <c r="T977" s="54"/>
      <c r="U977" s="54"/>
      <c r="AC977" s="54"/>
      <c r="AE977" s="54"/>
      <c r="AG977" s="54"/>
      <c r="AH977" s="54"/>
      <c r="AI977" s="54"/>
      <c r="AJ977" s="54"/>
    </row>
    <row r="978" ht="14.25" customHeight="1">
      <c r="E978" s="56"/>
      <c r="F978" s="56"/>
      <c r="T978" s="54"/>
      <c r="U978" s="54"/>
      <c r="AC978" s="54"/>
      <c r="AE978" s="54"/>
      <c r="AG978" s="54"/>
      <c r="AH978" s="54"/>
      <c r="AI978" s="54"/>
      <c r="AJ978" s="54"/>
    </row>
    <row r="979" ht="14.25" customHeight="1">
      <c r="E979" s="56"/>
      <c r="F979" s="56"/>
      <c r="T979" s="54"/>
      <c r="U979" s="54"/>
      <c r="AC979" s="54"/>
      <c r="AE979" s="54"/>
      <c r="AG979" s="54"/>
      <c r="AH979" s="54"/>
      <c r="AI979" s="54"/>
      <c r="AJ979" s="54"/>
    </row>
    <row r="980" ht="14.25" customHeight="1">
      <c r="E980" s="56"/>
      <c r="F980" s="56"/>
      <c r="T980" s="54"/>
      <c r="U980" s="54"/>
      <c r="AC980" s="54"/>
      <c r="AE980" s="54"/>
      <c r="AG980" s="54"/>
      <c r="AH980" s="54"/>
      <c r="AI980" s="54"/>
      <c r="AJ980" s="54"/>
    </row>
    <row r="981" ht="14.25" customHeight="1">
      <c r="E981" s="56"/>
      <c r="F981" s="56"/>
      <c r="T981" s="54"/>
      <c r="U981" s="54"/>
      <c r="AC981" s="54"/>
      <c r="AE981" s="54"/>
      <c r="AG981" s="54"/>
      <c r="AH981" s="54"/>
      <c r="AI981" s="54"/>
      <c r="AJ981" s="54"/>
    </row>
    <row r="982" ht="14.25" customHeight="1">
      <c r="E982" s="56"/>
      <c r="F982" s="56"/>
      <c r="T982" s="54"/>
      <c r="U982" s="54"/>
      <c r="AC982" s="54"/>
      <c r="AE982" s="54"/>
      <c r="AG982" s="54"/>
      <c r="AH982" s="54"/>
      <c r="AI982" s="54"/>
      <c r="AJ982" s="54"/>
    </row>
    <row r="983" ht="14.25" customHeight="1">
      <c r="E983" s="56"/>
      <c r="F983" s="56"/>
      <c r="T983" s="54"/>
      <c r="U983" s="54"/>
      <c r="AC983" s="54"/>
      <c r="AE983" s="54"/>
      <c r="AG983" s="54"/>
      <c r="AH983" s="54"/>
      <c r="AI983" s="54"/>
      <c r="AJ983" s="54"/>
    </row>
    <row r="984" ht="14.25" customHeight="1">
      <c r="E984" s="56"/>
      <c r="F984" s="56"/>
      <c r="T984" s="54"/>
      <c r="U984" s="54"/>
      <c r="AC984" s="54"/>
      <c r="AE984" s="54"/>
      <c r="AG984" s="54"/>
      <c r="AH984" s="54"/>
      <c r="AI984" s="54"/>
      <c r="AJ984" s="54"/>
    </row>
    <row r="985" ht="14.25" customHeight="1">
      <c r="E985" s="56"/>
      <c r="F985" s="56"/>
      <c r="T985" s="54"/>
      <c r="U985" s="54"/>
      <c r="AC985" s="54"/>
      <c r="AE985" s="54"/>
      <c r="AG985" s="54"/>
      <c r="AH985" s="54"/>
      <c r="AI985" s="54"/>
      <c r="AJ985" s="54"/>
    </row>
    <row r="986" ht="14.25" customHeight="1">
      <c r="E986" s="56"/>
      <c r="F986" s="56"/>
      <c r="T986" s="54"/>
      <c r="U986" s="54"/>
      <c r="AC986" s="54"/>
      <c r="AE986" s="54"/>
      <c r="AG986" s="54"/>
      <c r="AH986" s="54"/>
      <c r="AI986" s="54"/>
      <c r="AJ986" s="54"/>
    </row>
    <row r="987" ht="14.25" customHeight="1">
      <c r="E987" s="56"/>
      <c r="F987" s="56"/>
      <c r="T987" s="54"/>
      <c r="U987" s="54"/>
      <c r="AC987" s="54"/>
      <c r="AE987" s="54"/>
      <c r="AG987" s="54"/>
      <c r="AH987" s="54"/>
      <c r="AI987" s="54"/>
      <c r="AJ987" s="54"/>
    </row>
    <row r="988" ht="14.25" customHeight="1">
      <c r="E988" s="56"/>
      <c r="F988" s="56"/>
      <c r="T988" s="54"/>
      <c r="U988" s="54"/>
      <c r="AC988" s="54"/>
      <c r="AE988" s="54"/>
      <c r="AG988" s="54"/>
      <c r="AH988" s="54"/>
      <c r="AI988" s="54"/>
      <c r="AJ988" s="54"/>
    </row>
    <row r="989" ht="14.25" customHeight="1">
      <c r="E989" s="56"/>
      <c r="F989" s="56"/>
      <c r="T989" s="54"/>
      <c r="U989" s="54"/>
      <c r="AC989" s="54"/>
      <c r="AE989" s="54"/>
      <c r="AG989" s="54"/>
      <c r="AH989" s="54"/>
      <c r="AI989" s="54"/>
      <c r="AJ989" s="54"/>
    </row>
    <row r="990" ht="14.25" customHeight="1">
      <c r="E990" s="56"/>
      <c r="F990" s="56"/>
      <c r="T990" s="54"/>
      <c r="U990" s="54"/>
      <c r="AC990" s="54"/>
      <c r="AE990" s="54"/>
      <c r="AG990" s="54"/>
      <c r="AH990" s="54"/>
      <c r="AI990" s="54"/>
      <c r="AJ990" s="54"/>
    </row>
    <row r="991" ht="14.25" customHeight="1">
      <c r="E991" s="56"/>
      <c r="F991" s="56"/>
      <c r="T991" s="54"/>
      <c r="U991" s="54"/>
      <c r="AC991" s="54"/>
      <c r="AE991" s="54"/>
      <c r="AG991" s="54"/>
      <c r="AH991" s="54"/>
      <c r="AI991" s="54"/>
      <c r="AJ991" s="54"/>
    </row>
    <row r="992" ht="14.25" customHeight="1">
      <c r="E992" s="56"/>
      <c r="F992" s="56"/>
      <c r="T992" s="54"/>
      <c r="U992" s="54"/>
      <c r="AC992" s="54"/>
      <c r="AE992" s="54"/>
      <c r="AG992" s="54"/>
      <c r="AH992" s="54"/>
      <c r="AI992" s="54"/>
      <c r="AJ992" s="54"/>
    </row>
    <row r="993" ht="14.25" customHeight="1">
      <c r="E993" s="56"/>
      <c r="F993" s="56"/>
      <c r="T993" s="54"/>
      <c r="U993" s="54"/>
      <c r="AC993" s="54"/>
      <c r="AE993" s="54"/>
      <c r="AG993" s="54"/>
      <c r="AH993" s="54"/>
      <c r="AI993" s="54"/>
      <c r="AJ993" s="54"/>
    </row>
    <row r="994" ht="14.25" customHeight="1">
      <c r="E994" s="56"/>
      <c r="F994" s="56"/>
      <c r="T994" s="54"/>
      <c r="U994" s="54"/>
      <c r="AC994" s="54"/>
      <c r="AE994" s="54"/>
      <c r="AG994" s="54"/>
      <c r="AH994" s="54"/>
      <c r="AI994" s="54"/>
      <c r="AJ994" s="54"/>
    </row>
    <row r="995" ht="14.25" customHeight="1">
      <c r="E995" s="56"/>
      <c r="F995" s="56"/>
      <c r="T995" s="54"/>
      <c r="U995" s="54"/>
      <c r="AC995" s="54"/>
      <c r="AE995" s="54"/>
      <c r="AG995" s="54"/>
      <c r="AH995" s="54"/>
      <c r="AI995" s="54"/>
      <c r="AJ995" s="54"/>
    </row>
    <row r="996" ht="14.25" customHeight="1">
      <c r="E996" s="56"/>
      <c r="F996" s="56"/>
      <c r="T996" s="54"/>
      <c r="U996" s="54"/>
      <c r="AC996" s="54"/>
      <c r="AE996" s="54"/>
      <c r="AG996" s="54"/>
      <c r="AH996" s="54"/>
      <c r="AI996" s="54"/>
      <c r="AJ996" s="54"/>
    </row>
    <row r="997" ht="14.25" customHeight="1">
      <c r="E997" s="56"/>
      <c r="F997" s="56"/>
      <c r="T997" s="54"/>
      <c r="U997" s="54"/>
      <c r="AC997" s="54"/>
      <c r="AE997" s="54"/>
      <c r="AG997" s="54"/>
      <c r="AH997" s="54"/>
      <c r="AI997" s="54"/>
      <c r="AJ997" s="54"/>
    </row>
    <row r="998" ht="14.25" customHeight="1">
      <c r="E998" s="56"/>
      <c r="F998" s="56"/>
      <c r="T998" s="54"/>
      <c r="U998" s="54"/>
      <c r="AC998" s="54"/>
      <c r="AE998" s="54"/>
      <c r="AG998" s="54"/>
      <c r="AH998" s="54"/>
      <c r="AI998" s="54"/>
      <c r="AJ998" s="54"/>
    </row>
    <row r="999" ht="14.25" customHeight="1">
      <c r="E999" s="56"/>
      <c r="F999" s="56"/>
      <c r="T999" s="54"/>
      <c r="U999" s="54"/>
      <c r="AC999" s="54"/>
      <c r="AE999" s="54"/>
      <c r="AG999" s="54"/>
      <c r="AH999" s="54"/>
      <c r="AI999" s="54"/>
      <c r="AJ999" s="54"/>
    </row>
    <row r="1000" ht="14.25" customHeight="1">
      <c r="E1000" s="56"/>
      <c r="F1000" s="56"/>
      <c r="T1000" s="54"/>
      <c r="U1000" s="54"/>
      <c r="AC1000" s="54"/>
      <c r="AE1000" s="54"/>
      <c r="AG1000" s="54"/>
      <c r="AH1000" s="54"/>
      <c r="AI1000" s="54"/>
      <c r="AJ1000" s="54"/>
    </row>
  </sheetData>
  <mergeCells count="2">
    <mergeCell ref="P2:Q2"/>
    <mergeCell ref="R2:S2"/>
  </mergeCells>
  <hyperlinks>
    <hyperlink r:id="rId1" ref="AP4"/>
    <hyperlink r:id="rId2" ref="AP6"/>
    <hyperlink r:id="rId3" ref="AP7"/>
    <hyperlink r:id="rId4" ref="AP9"/>
    <hyperlink r:id="rId5" ref="AP10"/>
    <hyperlink r:id="rId6" ref="AP11"/>
    <hyperlink r:id="rId7" ref="AP12"/>
    <hyperlink r:id="rId8" ref="AP13"/>
    <hyperlink r:id="rId9" ref="AP17"/>
    <hyperlink r:id="rId10" ref="AP18"/>
    <hyperlink r:id="rId11" ref="AP19"/>
    <hyperlink r:id="rId12" ref="AP22"/>
    <hyperlink r:id="rId13" ref="AP23"/>
    <hyperlink r:id="rId14" ref="AP25"/>
    <hyperlink r:id="rId15" ref="AP26"/>
    <hyperlink r:id="rId16" ref="AP29"/>
    <hyperlink r:id="rId17" ref="AP30"/>
    <hyperlink r:id="rId18" ref="AP31"/>
    <hyperlink r:id="rId19" ref="AP32"/>
    <hyperlink r:id="rId20" ref="AP33"/>
    <hyperlink r:id="rId21" ref="AP34"/>
    <hyperlink r:id="rId22" ref="AP35"/>
    <hyperlink r:id="rId23" ref="AP36"/>
    <hyperlink r:id="rId24" ref="AP37"/>
    <hyperlink r:id="rId25" ref="AP38"/>
    <hyperlink r:id="rId26" ref="AP39"/>
  </hyperlinks>
  <printOptions/>
  <pageMargins bottom="0.45" footer="0.0" header="0.0" left="0.7" right="0.7" top="0.48"/>
  <pageSetup paperSize="9" scale="85" orientation="landscape"/>
  <drawing r:id="rId2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11.14"/>
    <col customWidth="1" min="3" max="3" width="12.14"/>
    <col customWidth="1" min="4" max="4" width="14.29"/>
    <col customWidth="1" min="5" max="6" width="14.14"/>
    <col customWidth="1" min="7" max="7" width="19.71"/>
    <col customWidth="1" min="8" max="8" width="19.29"/>
    <col customWidth="1" min="9" max="9" width="25.0"/>
    <col customWidth="1" min="10" max="10" width="23.57"/>
    <col customWidth="1" min="11" max="11" width="25.29"/>
    <col customWidth="1" min="12" max="12" width="20.43"/>
    <col customWidth="1" min="13" max="13" width="10.14"/>
    <col customWidth="1" min="14" max="14" width="19.43"/>
    <col customWidth="1" min="15" max="15" width="11.43"/>
    <col customWidth="1" min="16" max="16" width="11.86"/>
    <col customWidth="1" min="17" max="17" width="11.57"/>
    <col customWidth="1" min="18" max="18" width="9.86"/>
    <col customWidth="1" min="19" max="19" width="11.43"/>
    <col customWidth="1" min="20" max="20" width="12.14"/>
    <col customWidth="1" min="21" max="21" width="5.71"/>
    <col customWidth="1" min="22" max="22" width="7.71"/>
    <col customWidth="1" min="23" max="23" width="4.71"/>
    <col customWidth="1" min="24" max="24" width="15.14"/>
    <col customWidth="1" min="25" max="25" width="12.43"/>
    <col customWidth="1" min="26" max="26" width="15.29"/>
    <col customWidth="1" min="27" max="27" width="13.43"/>
    <col customWidth="1" min="28" max="28" width="15.29"/>
    <col customWidth="1" min="29" max="29" width="12.43"/>
    <col customWidth="1" min="30" max="30" width="11.14"/>
    <col customWidth="1" min="31" max="31" width="19.71"/>
    <col customWidth="1" min="32" max="32" width="10.43"/>
    <col customWidth="1" min="33" max="33" width="15.86"/>
    <col customWidth="1" min="34" max="35" width="20.86"/>
    <col customWidth="1" min="36" max="36" width="11.71"/>
    <col customWidth="1" min="37" max="37" width="12.43"/>
    <col customWidth="1" min="38" max="38" width="9.86"/>
    <col customWidth="1" min="39" max="39" width="53.14"/>
    <col customWidth="1" min="40" max="40" width="35.86"/>
    <col customWidth="1" min="41" max="41" width="35.57"/>
    <col customWidth="1" min="42" max="42" width="26.71"/>
    <col customWidth="1" min="43" max="43" width="25.0"/>
    <col customWidth="1" min="44" max="44" width="33.71"/>
    <col customWidth="1" min="45" max="45" width="23.14"/>
    <col customWidth="1" min="46" max="48" width="14.29"/>
    <col customWidth="1" min="49" max="49" width="19.57"/>
    <col customWidth="1" min="50" max="51" width="19.14"/>
    <col customWidth="1" min="52" max="52" width="16.29"/>
    <col customWidth="1" min="53" max="53" width="19.14"/>
    <col customWidth="1" min="54" max="54" width="23.0"/>
    <col customWidth="1" min="55" max="55" width="12.0"/>
    <col customWidth="1" min="56" max="56" width="9.0"/>
  </cols>
  <sheetData>
    <row r="1" ht="45.75" customHeight="1">
      <c r="A1" s="127" t="s">
        <v>1</v>
      </c>
      <c r="B1" s="127" t="s">
        <v>2</v>
      </c>
      <c r="C1" s="127" t="s">
        <v>3</v>
      </c>
      <c r="D1" s="127" t="s">
        <v>4</v>
      </c>
      <c r="E1" s="128" t="s">
        <v>5</v>
      </c>
      <c r="F1" s="128" t="s">
        <v>6</v>
      </c>
      <c r="G1" s="127" t="s">
        <v>7</v>
      </c>
      <c r="H1" s="127" t="s">
        <v>7</v>
      </c>
      <c r="I1" s="127"/>
      <c r="J1" s="127" t="s">
        <v>8</v>
      </c>
      <c r="K1" s="127" t="s">
        <v>10</v>
      </c>
      <c r="L1" s="127" t="s">
        <v>11</v>
      </c>
      <c r="M1" s="127" t="s">
        <v>12</v>
      </c>
      <c r="N1" s="127" t="s">
        <v>13</v>
      </c>
      <c r="O1" s="127" t="s">
        <v>14</v>
      </c>
      <c r="P1" s="129" t="s">
        <v>15</v>
      </c>
      <c r="Q1" s="9"/>
      <c r="R1" s="129" t="s">
        <v>16</v>
      </c>
      <c r="S1" s="9"/>
      <c r="T1" s="127" t="s">
        <v>17</v>
      </c>
      <c r="U1" s="127" t="s">
        <v>18</v>
      </c>
      <c r="V1" s="127" t="s">
        <v>19</v>
      </c>
      <c r="W1" s="127" t="s">
        <v>20</v>
      </c>
      <c r="X1" s="127" t="s">
        <v>21</v>
      </c>
      <c r="Y1" s="127" t="s">
        <v>22</v>
      </c>
      <c r="Z1" s="127" t="s">
        <v>23</v>
      </c>
      <c r="AA1" s="127" t="s">
        <v>24</v>
      </c>
      <c r="AB1" s="127" t="s">
        <v>23</v>
      </c>
      <c r="AC1" s="127" t="s">
        <v>26</v>
      </c>
      <c r="AD1" s="127" t="s">
        <v>27</v>
      </c>
      <c r="AE1" s="128" t="s">
        <v>28</v>
      </c>
      <c r="AF1" s="127" t="s">
        <v>29</v>
      </c>
      <c r="AG1" s="127" t="s">
        <v>30</v>
      </c>
      <c r="AH1" s="130" t="s">
        <v>31</v>
      </c>
      <c r="AI1" s="130" t="s">
        <v>32</v>
      </c>
      <c r="AJ1" s="127" t="s">
        <v>33</v>
      </c>
      <c r="AK1" s="127" t="s">
        <v>34</v>
      </c>
      <c r="AL1" s="127" t="s">
        <v>35</v>
      </c>
      <c r="AM1" s="127" t="s">
        <v>36</v>
      </c>
      <c r="AN1" s="127" t="s">
        <v>37</v>
      </c>
      <c r="AO1" s="127" t="s">
        <v>38</v>
      </c>
      <c r="AP1" s="127" t="s">
        <v>39</v>
      </c>
      <c r="AQ1" s="128" t="s">
        <v>40</v>
      </c>
      <c r="AR1" s="127" t="s">
        <v>41</v>
      </c>
      <c r="AS1" s="127" t="s">
        <v>42</v>
      </c>
      <c r="AT1" s="127" t="s">
        <v>43</v>
      </c>
      <c r="AU1" s="127" t="s">
        <v>44</v>
      </c>
      <c r="AV1" s="127" t="s">
        <v>45</v>
      </c>
      <c r="AW1" s="128" t="s">
        <v>46</v>
      </c>
      <c r="AX1" s="127" t="s">
        <v>47</v>
      </c>
      <c r="AY1" s="127" t="s">
        <v>48</v>
      </c>
      <c r="AZ1" s="127" t="s">
        <v>49</v>
      </c>
      <c r="BA1" s="127" t="s">
        <v>50</v>
      </c>
      <c r="BB1" s="127" t="s">
        <v>886</v>
      </c>
      <c r="BC1" s="127" t="s">
        <v>887</v>
      </c>
      <c r="BD1" s="131"/>
    </row>
    <row r="2" ht="14.25" customHeight="1">
      <c r="A2" s="14">
        <v>1.0</v>
      </c>
      <c r="B2" s="15" t="s">
        <v>888</v>
      </c>
      <c r="C2" s="15" t="s">
        <v>889</v>
      </c>
      <c r="D2" s="15" t="s">
        <v>890</v>
      </c>
      <c r="E2" s="17" t="s">
        <v>308</v>
      </c>
      <c r="F2" s="17"/>
      <c r="G2" s="132" t="str">
        <f t="shared" ref="G2:G10" si="1">CONCATENATE(B2,", ",C2," ",E2,".")</f>
        <v>Aranda, Jay-belle B.</v>
      </c>
      <c r="H2" s="132" t="str">
        <f t="shared" ref="H2:H10" si="2">CONCATENATE(C2," ",E2,". ",B2)</f>
        <v>Jay-belle B. Aranda</v>
      </c>
      <c r="I2" s="132" t="str">
        <f t="shared" ref="I2:I10" si="3">CONCATENATE(B2,", ",C2," ",D2)</f>
        <v>Aranda, Jay-belle Bosque</v>
      </c>
      <c r="J2" s="19" t="s">
        <v>577</v>
      </c>
      <c r="K2" s="19" t="s">
        <v>537</v>
      </c>
      <c r="L2" s="19" t="s">
        <v>57</v>
      </c>
      <c r="M2" s="133" t="s">
        <v>58</v>
      </c>
      <c r="N2" s="109">
        <v>1.051622019E9</v>
      </c>
      <c r="O2" s="134">
        <v>44697.0</v>
      </c>
      <c r="P2" s="134"/>
      <c r="Q2" s="134"/>
      <c r="R2" s="134"/>
      <c r="S2" s="134"/>
      <c r="T2" s="135">
        <f t="shared" ref="T2:T29" si="4">TODAY()</f>
        <v>46132</v>
      </c>
      <c r="U2" s="136">
        <f t="shared" ref="U2:U29" si="5">DATEDIF(O2,T2,"y")</f>
        <v>3</v>
      </c>
      <c r="V2" s="133">
        <f t="shared" ref="V2:V29" si="6">DATEDIF(O2,T2,"ym")</f>
        <v>11</v>
      </c>
      <c r="W2" s="133">
        <f t="shared" ref="W2:W29" si="7">DATEDIF(O2,T2,"MD")</f>
        <v>4</v>
      </c>
      <c r="X2" s="137">
        <v>44697.0</v>
      </c>
      <c r="Y2" s="133"/>
      <c r="Z2" s="133"/>
      <c r="AA2" s="133"/>
      <c r="AB2" s="133"/>
      <c r="AC2" s="138"/>
      <c r="AD2" s="138"/>
      <c r="AE2" s="139"/>
      <c r="AF2" s="139"/>
      <c r="AG2" s="133" t="s">
        <v>59</v>
      </c>
      <c r="AH2" s="140" t="s">
        <v>891</v>
      </c>
      <c r="AI2" s="140"/>
      <c r="AJ2" s="109" t="s">
        <v>107</v>
      </c>
      <c r="AK2" s="109">
        <v>32327.0</v>
      </c>
      <c r="AL2" s="141">
        <f t="shared" ref="AL2:AL29" si="8">((TODAY()-AK2)/365)</f>
        <v>37.82191781</v>
      </c>
      <c r="AM2" s="142" t="s">
        <v>892</v>
      </c>
      <c r="AN2" s="132"/>
      <c r="AO2" s="143">
        <v>9.174706849E9</v>
      </c>
      <c r="AP2" s="144" t="s">
        <v>893</v>
      </c>
      <c r="AQ2" s="132" t="s">
        <v>110</v>
      </c>
      <c r="AR2" s="132" t="s">
        <v>894</v>
      </c>
      <c r="AS2" s="109" t="s">
        <v>895</v>
      </c>
      <c r="AT2" s="109" t="s">
        <v>896</v>
      </c>
      <c r="AU2" s="109" t="s">
        <v>897</v>
      </c>
      <c r="AV2" s="109" t="s">
        <v>898</v>
      </c>
      <c r="AW2" s="133"/>
      <c r="AX2" s="145" t="s">
        <v>899</v>
      </c>
      <c r="AY2" s="133" t="s">
        <v>73</v>
      </c>
      <c r="AZ2" s="146">
        <v>9.177728699E9</v>
      </c>
      <c r="BA2" s="132" t="s">
        <v>900</v>
      </c>
      <c r="BB2" s="86" t="s">
        <v>901</v>
      </c>
      <c r="BC2" s="86">
        <v>44731.0</v>
      </c>
    </row>
    <row r="3" ht="14.25" customHeight="1">
      <c r="A3" s="14">
        <f t="shared" ref="A3:A44" si="9">+A2+1</f>
        <v>2</v>
      </c>
      <c r="B3" s="15" t="s">
        <v>902</v>
      </c>
      <c r="C3" s="15" t="s">
        <v>903</v>
      </c>
      <c r="D3" s="15" t="s">
        <v>904</v>
      </c>
      <c r="E3" s="17" t="s">
        <v>450</v>
      </c>
      <c r="F3" s="17"/>
      <c r="G3" s="16" t="str">
        <f t="shared" si="1"/>
        <v>Bautista, Warlito I.</v>
      </c>
      <c r="H3" s="16" t="str">
        <f t="shared" si="2"/>
        <v>Warlito I. Bautista</v>
      </c>
      <c r="I3" s="26" t="str">
        <f t="shared" si="3"/>
        <v>Bautista, Warlito Ilagan</v>
      </c>
      <c r="J3" s="19" t="s">
        <v>905</v>
      </c>
      <c r="K3" s="19" t="s">
        <v>508</v>
      </c>
      <c r="L3" s="19" t="s">
        <v>16</v>
      </c>
      <c r="M3" s="19" t="s">
        <v>58</v>
      </c>
      <c r="N3" s="17">
        <v>1.060622253E9</v>
      </c>
      <c r="O3" s="20">
        <v>44718.0</v>
      </c>
      <c r="P3" s="20"/>
      <c r="Q3" s="20"/>
      <c r="R3" s="20"/>
      <c r="S3" s="20">
        <v>43702.0</v>
      </c>
      <c r="T3" s="20">
        <f t="shared" si="4"/>
        <v>46132</v>
      </c>
      <c r="U3" s="21">
        <f t="shared" si="5"/>
        <v>3</v>
      </c>
      <c r="V3" s="19">
        <f t="shared" si="6"/>
        <v>10</v>
      </c>
      <c r="W3" s="19">
        <f t="shared" si="7"/>
        <v>14</v>
      </c>
      <c r="X3" s="74"/>
      <c r="Y3" s="16"/>
      <c r="Z3" s="16"/>
      <c r="AA3" s="16"/>
      <c r="AB3" s="16"/>
      <c r="AC3" s="23"/>
      <c r="AD3" s="23"/>
      <c r="AE3" s="147"/>
      <c r="AF3" s="147"/>
      <c r="AG3" s="19" t="s">
        <v>59</v>
      </c>
      <c r="AH3" s="24"/>
      <c r="AI3" s="24"/>
      <c r="AJ3" s="19" t="s">
        <v>107</v>
      </c>
      <c r="AK3" s="19">
        <v>32711.0</v>
      </c>
      <c r="AL3" s="25">
        <f t="shared" si="8"/>
        <v>36.76986301</v>
      </c>
      <c r="AM3" s="26" t="s">
        <v>906</v>
      </c>
      <c r="AN3" s="26"/>
      <c r="AO3" s="71">
        <v>9.557840469E9</v>
      </c>
      <c r="AP3" s="28" t="s">
        <v>907</v>
      </c>
      <c r="AQ3" s="26" t="s">
        <v>110</v>
      </c>
      <c r="AR3" s="26" t="s">
        <v>908</v>
      </c>
      <c r="AS3" s="19" t="s">
        <v>909</v>
      </c>
      <c r="AT3" s="19" t="s">
        <v>910</v>
      </c>
      <c r="AU3" s="19" t="s">
        <v>911</v>
      </c>
      <c r="AV3" s="19" t="s">
        <v>912</v>
      </c>
      <c r="AW3" s="16"/>
      <c r="AX3" s="16" t="s">
        <v>913</v>
      </c>
      <c r="AY3" s="19" t="s">
        <v>117</v>
      </c>
      <c r="AZ3" s="64">
        <v>9.058563506E9</v>
      </c>
      <c r="BA3" s="86" t="s">
        <v>914</v>
      </c>
      <c r="BB3" s="86" t="s">
        <v>914</v>
      </c>
      <c r="BC3" s="148">
        <v>44748.0</v>
      </c>
    </row>
    <row r="4" ht="14.25" customHeight="1">
      <c r="A4" s="14">
        <f t="shared" si="9"/>
        <v>3</v>
      </c>
      <c r="B4" s="16" t="s">
        <v>915</v>
      </c>
      <c r="C4" s="16" t="s">
        <v>916</v>
      </c>
      <c r="D4" s="16" t="s">
        <v>917</v>
      </c>
      <c r="E4" s="17" t="s">
        <v>132</v>
      </c>
      <c r="F4" s="17"/>
      <c r="G4" s="16" t="str">
        <f t="shared" si="1"/>
        <v>Cayao, Kristine Ghay C.</v>
      </c>
      <c r="H4" s="16" t="str">
        <f t="shared" si="2"/>
        <v>Kristine Ghay C. Cayao</v>
      </c>
      <c r="I4" s="26" t="str">
        <f t="shared" si="3"/>
        <v>Cayao, Kristine Ghay Crucena</v>
      </c>
      <c r="J4" s="19" t="s">
        <v>133</v>
      </c>
      <c r="K4" s="19" t="s">
        <v>56</v>
      </c>
      <c r="L4" s="19" t="s">
        <v>16</v>
      </c>
      <c r="M4" s="19" t="s">
        <v>58</v>
      </c>
      <c r="N4" s="19">
        <v>1.053022249E9</v>
      </c>
      <c r="O4" s="20">
        <v>44711.0</v>
      </c>
      <c r="P4" s="20">
        <v>44693.0</v>
      </c>
      <c r="Q4" s="20">
        <v>44710.0</v>
      </c>
      <c r="R4" s="20">
        <v>44711.0</v>
      </c>
      <c r="S4" s="20">
        <v>44894.0</v>
      </c>
      <c r="T4" s="20">
        <f t="shared" si="4"/>
        <v>46132</v>
      </c>
      <c r="U4" s="21">
        <f t="shared" si="5"/>
        <v>3</v>
      </c>
      <c r="V4" s="19">
        <f t="shared" si="6"/>
        <v>10</v>
      </c>
      <c r="W4" s="19">
        <f t="shared" si="7"/>
        <v>21</v>
      </c>
      <c r="X4" s="19"/>
      <c r="Y4" s="16"/>
      <c r="Z4" s="16"/>
      <c r="AA4" s="16"/>
      <c r="AB4" s="16"/>
      <c r="AC4" s="22">
        <v>14867.5</v>
      </c>
      <c r="AD4" s="23"/>
      <c r="AE4" s="22">
        <f t="shared" ref="AE4:AE29" si="10">SUM(AC4:AD4)</f>
        <v>14867.5</v>
      </c>
      <c r="AF4" s="22">
        <v>570.0</v>
      </c>
      <c r="AG4" s="19" t="s">
        <v>178</v>
      </c>
      <c r="AH4" s="24"/>
      <c r="AI4" s="24" t="s">
        <v>135</v>
      </c>
      <c r="AJ4" s="19" t="s">
        <v>107</v>
      </c>
      <c r="AK4" s="19">
        <v>32863.0</v>
      </c>
      <c r="AL4" s="25">
        <f t="shared" si="8"/>
        <v>36.35342466</v>
      </c>
      <c r="AM4" s="26" t="s">
        <v>918</v>
      </c>
      <c r="AN4" s="19" t="s">
        <v>919</v>
      </c>
      <c r="AO4" s="71">
        <v>9.659380558E9</v>
      </c>
      <c r="AP4" s="28" t="s">
        <v>920</v>
      </c>
      <c r="AQ4" s="16" t="s">
        <v>110</v>
      </c>
      <c r="AR4" s="16" t="s">
        <v>921</v>
      </c>
      <c r="AS4" s="19" t="s">
        <v>922</v>
      </c>
      <c r="AT4" s="19" t="s">
        <v>923</v>
      </c>
      <c r="AU4" s="19" t="s">
        <v>924</v>
      </c>
      <c r="AV4" s="19" t="s">
        <v>925</v>
      </c>
      <c r="AW4" s="16"/>
      <c r="AX4" s="16" t="s">
        <v>926</v>
      </c>
      <c r="AY4" s="64" t="s">
        <v>213</v>
      </c>
      <c r="AZ4" s="19">
        <v>9.977898302E9</v>
      </c>
      <c r="BA4" s="86" t="s">
        <v>914</v>
      </c>
      <c r="BB4" s="86" t="s">
        <v>914</v>
      </c>
      <c r="BC4" s="148">
        <v>44894.0</v>
      </c>
    </row>
    <row r="5" ht="14.25" customHeight="1">
      <c r="A5" s="14">
        <f t="shared" si="9"/>
        <v>4</v>
      </c>
      <c r="B5" s="16" t="s">
        <v>927</v>
      </c>
      <c r="C5" s="16" t="s">
        <v>928</v>
      </c>
      <c r="D5" s="16" t="s">
        <v>929</v>
      </c>
      <c r="E5" s="17" t="s">
        <v>394</v>
      </c>
      <c r="F5" s="17"/>
      <c r="G5" s="16" t="str">
        <f t="shared" si="1"/>
        <v>Frias, Farrah Lovely S.</v>
      </c>
      <c r="H5" s="16" t="str">
        <f t="shared" si="2"/>
        <v>Farrah Lovely S. Frias</v>
      </c>
      <c r="I5" s="26" t="str">
        <f t="shared" si="3"/>
        <v>Frias, Farrah Lovely Sanchez</v>
      </c>
      <c r="J5" s="19" t="s">
        <v>82</v>
      </c>
      <c r="K5" s="19" t="s">
        <v>335</v>
      </c>
      <c r="L5" s="19" t="s">
        <v>16</v>
      </c>
      <c r="M5" s="19" t="s">
        <v>58</v>
      </c>
      <c r="N5" s="19">
        <v>1.072222258E9</v>
      </c>
      <c r="O5" s="20">
        <v>44764.0</v>
      </c>
      <c r="P5" s="20">
        <v>44748.0</v>
      </c>
      <c r="Q5" s="20">
        <v>44763.0</v>
      </c>
      <c r="R5" s="20">
        <v>44764.0</v>
      </c>
      <c r="S5" s="20">
        <v>44947.0</v>
      </c>
      <c r="T5" s="20">
        <f t="shared" si="4"/>
        <v>46132</v>
      </c>
      <c r="U5" s="21">
        <f t="shared" si="5"/>
        <v>3</v>
      </c>
      <c r="V5" s="19">
        <f t="shared" si="6"/>
        <v>8</v>
      </c>
      <c r="W5" s="19">
        <f t="shared" si="7"/>
        <v>29</v>
      </c>
      <c r="X5" s="74"/>
      <c r="Y5" s="16"/>
      <c r="Z5" s="16"/>
      <c r="AA5" s="16"/>
      <c r="AB5" s="16"/>
      <c r="AC5" s="22">
        <v>14867.5</v>
      </c>
      <c r="AD5" s="23"/>
      <c r="AE5" s="22">
        <f t="shared" si="10"/>
        <v>14867.5</v>
      </c>
      <c r="AF5" s="22">
        <v>570.0</v>
      </c>
      <c r="AG5" s="19" t="s">
        <v>178</v>
      </c>
      <c r="AH5" s="24" t="s">
        <v>930</v>
      </c>
      <c r="AI5" s="24" t="s">
        <v>135</v>
      </c>
      <c r="AJ5" s="19" t="s">
        <v>62</v>
      </c>
      <c r="AK5" s="19">
        <v>36248.0</v>
      </c>
      <c r="AL5" s="25">
        <f t="shared" si="8"/>
        <v>27.07945205</v>
      </c>
      <c r="AM5" s="26" t="s">
        <v>931</v>
      </c>
      <c r="AN5" s="19"/>
      <c r="AO5" s="19">
        <v>9.095097844E9</v>
      </c>
      <c r="AP5" s="75" t="s">
        <v>932</v>
      </c>
      <c r="AQ5" s="16" t="s">
        <v>110</v>
      </c>
      <c r="AR5" s="16" t="s">
        <v>933</v>
      </c>
      <c r="AS5" s="19" t="s">
        <v>934</v>
      </c>
      <c r="AT5" s="19" t="s">
        <v>935</v>
      </c>
      <c r="AU5" s="19" t="s">
        <v>936</v>
      </c>
      <c r="AV5" s="19" t="s">
        <v>937</v>
      </c>
      <c r="AW5" s="16"/>
      <c r="AX5" s="16" t="s">
        <v>938</v>
      </c>
      <c r="AY5" s="19" t="s">
        <v>213</v>
      </c>
      <c r="AZ5" s="19">
        <v>9.070887057E9</v>
      </c>
      <c r="BA5" s="86" t="s">
        <v>900</v>
      </c>
      <c r="BB5" s="16" t="s">
        <v>939</v>
      </c>
      <c r="BC5" s="148">
        <v>44911.0</v>
      </c>
    </row>
    <row r="6" ht="14.25" customHeight="1">
      <c r="A6" s="14">
        <f t="shared" si="9"/>
        <v>5</v>
      </c>
      <c r="B6" s="16" t="s">
        <v>940</v>
      </c>
      <c r="C6" s="16" t="s">
        <v>941</v>
      </c>
      <c r="D6" s="16" t="s">
        <v>942</v>
      </c>
      <c r="E6" s="17" t="s">
        <v>943</v>
      </c>
      <c r="F6" s="17"/>
      <c r="G6" s="16" t="str">
        <f t="shared" si="1"/>
        <v>Linart, Kristine O.</v>
      </c>
      <c r="H6" s="16" t="str">
        <f t="shared" si="2"/>
        <v>Kristine O. Linart</v>
      </c>
      <c r="I6" s="26" t="str">
        <f t="shared" si="3"/>
        <v>Linart, Kristine Ogalina</v>
      </c>
      <c r="J6" s="19" t="s">
        <v>944</v>
      </c>
      <c r="K6" s="19" t="s">
        <v>508</v>
      </c>
      <c r="L6" s="19" t="s">
        <v>57</v>
      </c>
      <c r="M6" s="19" t="s">
        <v>58</v>
      </c>
      <c r="N6" s="17">
        <v>1.022619178E9</v>
      </c>
      <c r="O6" s="20">
        <v>43522.0</v>
      </c>
      <c r="P6" s="20"/>
      <c r="Q6" s="20"/>
      <c r="R6" s="20">
        <v>43522.0</v>
      </c>
      <c r="S6" s="20">
        <v>43702.0</v>
      </c>
      <c r="T6" s="20">
        <f t="shared" si="4"/>
        <v>46132</v>
      </c>
      <c r="U6" s="21">
        <f t="shared" si="5"/>
        <v>7</v>
      </c>
      <c r="V6" s="19">
        <f t="shared" si="6"/>
        <v>1</v>
      </c>
      <c r="W6" s="19">
        <f t="shared" si="7"/>
        <v>25</v>
      </c>
      <c r="X6" s="74">
        <v>43703.0</v>
      </c>
      <c r="Y6" s="16"/>
      <c r="Z6" s="16"/>
      <c r="AA6" s="16"/>
      <c r="AB6" s="16"/>
      <c r="AC6" s="22">
        <v>20303.75</v>
      </c>
      <c r="AD6" s="23"/>
      <c r="AE6" s="22">
        <f t="shared" si="10"/>
        <v>20303.75</v>
      </c>
      <c r="AF6" s="22">
        <v>667.52</v>
      </c>
      <c r="AG6" s="19" t="s">
        <v>59</v>
      </c>
      <c r="AH6" s="24" t="s">
        <v>945</v>
      </c>
      <c r="AI6" s="24" t="s">
        <v>135</v>
      </c>
      <c r="AJ6" s="19" t="s">
        <v>62</v>
      </c>
      <c r="AK6" s="19">
        <v>35733.0</v>
      </c>
      <c r="AL6" s="25">
        <f t="shared" si="8"/>
        <v>28.49041096</v>
      </c>
      <c r="AM6" s="26" t="s">
        <v>946</v>
      </c>
      <c r="AN6" s="19"/>
      <c r="AO6" s="71">
        <v>9.199685237E9</v>
      </c>
      <c r="AP6" s="28" t="s">
        <v>947</v>
      </c>
      <c r="AQ6" s="16" t="s">
        <v>110</v>
      </c>
      <c r="AR6" s="26" t="s">
        <v>948</v>
      </c>
      <c r="AS6" s="19" t="s">
        <v>949</v>
      </c>
      <c r="AT6" s="19" t="s">
        <v>950</v>
      </c>
      <c r="AU6" s="19" t="s">
        <v>951</v>
      </c>
      <c r="AV6" s="19" t="s">
        <v>952</v>
      </c>
      <c r="AW6" s="16"/>
      <c r="AX6" s="16" t="s">
        <v>953</v>
      </c>
      <c r="AY6" s="19" t="s">
        <v>213</v>
      </c>
      <c r="AZ6" s="19">
        <v>9.395545397E9</v>
      </c>
      <c r="BA6" s="132" t="s">
        <v>900</v>
      </c>
      <c r="BB6" s="16" t="s">
        <v>954</v>
      </c>
      <c r="BC6" s="148">
        <v>44834.0</v>
      </c>
    </row>
    <row r="7" ht="14.25" customHeight="1">
      <c r="A7" s="14">
        <f t="shared" si="9"/>
        <v>6</v>
      </c>
      <c r="B7" s="15" t="s">
        <v>955</v>
      </c>
      <c r="C7" s="15" t="s">
        <v>956</v>
      </c>
      <c r="D7" s="15" t="s">
        <v>957</v>
      </c>
      <c r="E7" s="17" t="s">
        <v>308</v>
      </c>
      <c r="F7" s="17"/>
      <c r="G7" s="16" t="str">
        <f t="shared" si="1"/>
        <v>Olmedo, Dianne Gel B.</v>
      </c>
      <c r="H7" s="16" t="str">
        <f t="shared" si="2"/>
        <v>Dianne Gel B. Olmedo</v>
      </c>
      <c r="I7" s="26" t="str">
        <f t="shared" si="3"/>
        <v>Olmedo, Dianne Gel Balintos</v>
      </c>
      <c r="J7" s="19" t="s">
        <v>958</v>
      </c>
      <c r="K7" s="19" t="s">
        <v>959</v>
      </c>
      <c r="L7" s="19" t="s">
        <v>57</v>
      </c>
      <c r="M7" s="19" t="s">
        <v>58</v>
      </c>
      <c r="N7" s="19">
        <v>1.10071921E9</v>
      </c>
      <c r="O7" s="20">
        <v>43745.0</v>
      </c>
      <c r="P7" s="19"/>
      <c r="Q7" s="19"/>
      <c r="R7" s="19">
        <v>43745.0</v>
      </c>
      <c r="S7" s="19">
        <v>43927.0</v>
      </c>
      <c r="T7" s="20">
        <f t="shared" si="4"/>
        <v>46132</v>
      </c>
      <c r="U7" s="21">
        <f t="shared" si="5"/>
        <v>6</v>
      </c>
      <c r="V7" s="19">
        <f t="shared" si="6"/>
        <v>6</v>
      </c>
      <c r="W7" s="19">
        <f t="shared" si="7"/>
        <v>13</v>
      </c>
      <c r="X7" s="74">
        <v>44274.0</v>
      </c>
      <c r="Y7" s="16"/>
      <c r="Z7" s="16"/>
      <c r="AA7" s="16"/>
      <c r="AB7" s="16"/>
      <c r="AC7" s="22">
        <v>18328.75</v>
      </c>
      <c r="AD7" s="23"/>
      <c r="AE7" s="22">
        <f t="shared" si="10"/>
        <v>18328.75</v>
      </c>
      <c r="AF7" s="22">
        <v>602.59</v>
      </c>
      <c r="AG7" s="19" t="s">
        <v>59</v>
      </c>
      <c r="AH7" s="24" t="s">
        <v>960</v>
      </c>
      <c r="AI7" s="24" t="s">
        <v>135</v>
      </c>
      <c r="AJ7" s="19" t="s">
        <v>62</v>
      </c>
      <c r="AK7" s="19">
        <v>35732.0</v>
      </c>
      <c r="AL7" s="25">
        <f t="shared" si="8"/>
        <v>28.49315068</v>
      </c>
      <c r="AM7" s="53" t="s">
        <v>961</v>
      </c>
      <c r="AN7" s="19"/>
      <c r="AO7" s="19">
        <v>9.777008557E9</v>
      </c>
      <c r="AP7" s="28" t="s">
        <v>962</v>
      </c>
      <c r="AQ7" s="16" t="s">
        <v>110</v>
      </c>
      <c r="AR7" s="16" t="s">
        <v>963</v>
      </c>
      <c r="AS7" s="19" t="s">
        <v>964</v>
      </c>
      <c r="AT7" s="19" t="s">
        <v>965</v>
      </c>
      <c r="AU7" s="19" t="s">
        <v>966</v>
      </c>
      <c r="AV7" s="19" t="s">
        <v>967</v>
      </c>
      <c r="AW7" s="16"/>
      <c r="AX7" s="16" t="s">
        <v>968</v>
      </c>
      <c r="AY7" s="19" t="s">
        <v>213</v>
      </c>
      <c r="AZ7" s="19">
        <v>9.174146455E9</v>
      </c>
      <c r="BA7" s="86" t="s">
        <v>900</v>
      </c>
      <c r="BB7" s="86" t="s">
        <v>954</v>
      </c>
      <c r="BC7" s="148">
        <v>44942.0</v>
      </c>
    </row>
    <row r="8" ht="14.25" customHeight="1">
      <c r="A8" s="14">
        <f t="shared" si="9"/>
        <v>7</v>
      </c>
      <c r="B8" s="15" t="s">
        <v>969</v>
      </c>
      <c r="C8" s="15" t="s">
        <v>970</v>
      </c>
      <c r="D8" s="15" t="s">
        <v>971</v>
      </c>
      <c r="E8" s="17" t="s">
        <v>943</v>
      </c>
      <c r="F8" s="17"/>
      <c r="G8" s="16" t="str">
        <f t="shared" si="1"/>
        <v>Abud, Camille Joyce O.</v>
      </c>
      <c r="H8" s="16" t="str">
        <f t="shared" si="2"/>
        <v>Camille Joyce O. Abud</v>
      </c>
      <c r="I8" s="26" t="str">
        <f t="shared" si="3"/>
        <v>Abud, Camille Joyce Olivar</v>
      </c>
      <c r="J8" s="19" t="s">
        <v>972</v>
      </c>
      <c r="K8" s="19" t="s">
        <v>959</v>
      </c>
      <c r="L8" s="19" t="s">
        <v>16</v>
      </c>
      <c r="M8" s="19" t="s">
        <v>58</v>
      </c>
      <c r="N8" s="19">
        <v>1.011923273E9</v>
      </c>
      <c r="O8" s="20">
        <v>44945.0</v>
      </c>
      <c r="P8" s="19">
        <v>44945.0</v>
      </c>
      <c r="Q8" s="19">
        <v>44958.0</v>
      </c>
      <c r="R8" s="19">
        <v>44945.0</v>
      </c>
      <c r="S8" s="19">
        <v>45125.0</v>
      </c>
      <c r="T8" s="20">
        <f t="shared" si="4"/>
        <v>46132</v>
      </c>
      <c r="U8" s="21">
        <f t="shared" si="5"/>
        <v>3</v>
      </c>
      <c r="V8" s="19">
        <f t="shared" si="6"/>
        <v>3</v>
      </c>
      <c r="W8" s="19">
        <f t="shared" si="7"/>
        <v>1</v>
      </c>
      <c r="X8" s="74">
        <v>44274.0</v>
      </c>
      <c r="Y8" s="16"/>
      <c r="Z8" s="16"/>
      <c r="AA8" s="16"/>
      <c r="AB8" s="16"/>
      <c r="AC8" s="22">
        <v>17500.0</v>
      </c>
      <c r="AD8" s="23"/>
      <c r="AE8" s="22">
        <f t="shared" si="10"/>
        <v>17500</v>
      </c>
      <c r="AF8" s="22">
        <v>575.34</v>
      </c>
      <c r="AG8" s="19" t="s">
        <v>59</v>
      </c>
      <c r="AH8" s="24"/>
      <c r="AI8" s="24" t="s">
        <v>135</v>
      </c>
      <c r="AJ8" s="19" t="s">
        <v>62</v>
      </c>
      <c r="AK8" s="19">
        <v>36327.0</v>
      </c>
      <c r="AL8" s="25">
        <f t="shared" si="8"/>
        <v>26.8630137</v>
      </c>
      <c r="AM8" s="53" t="s">
        <v>973</v>
      </c>
      <c r="AN8" s="19"/>
      <c r="AO8" s="19">
        <v>9.773817853E9</v>
      </c>
      <c r="AP8" s="75" t="s">
        <v>974</v>
      </c>
      <c r="AQ8" s="16" t="s">
        <v>110</v>
      </c>
      <c r="AR8" s="16" t="s">
        <v>975</v>
      </c>
      <c r="AS8" s="19" t="s">
        <v>976</v>
      </c>
      <c r="AT8" s="19" t="s">
        <v>977</v>
      </c>
      <c r="AU8" s="19" t="s">
        <v>978</v>
      </c>
      <c r="AV8" s="19" t="s">
        <v>979</v>
      </c>
      <c r="AW8" s="16"/>
      <c r="AX8" s="16" t="s">
        <v>980</v>
      </c>
      <c r="AY8" s="19" t="s">
        <v>981</v>
      </c>
      <c r="AZ8" s="19">
        <v>9.458517237E9</v>
      </c>
      <c r="BA8" s="16" t="s">
        <v>982</v>
      </c>
      <c r="BB8" s="86" t="s">
        <v>983</v>
      </c>
      <c r="BC8" s="148">
        <v>44976.0</v>
      </c>
    </row>
    <row r="9" ht="14.25" customHeight="1">
      <c r="A9" s="14">
        <f t="shared" si="9"/>
        <v>8</v>
      </c>
      <c r="B9" s="16" t="s">
        <v>984</v>
      </c>
      <c r="C9" s="16" t="s">
        <v>985</v>
      </c>
      <c r="D9" s="16" t="s">
        <v>986</v>
      </c>
      <c r="E9" s="17" t="s">
        <v>81</v>
      </c>
      <c r="F9" s="17"/>
      <c r="G9" s="16" t="str">
        <f t="shared" si="1"/>
        <v>Fiecas, Dan Kloyd F.</v>
      </c>
      <c r="H9" s="16" t="str">
        <f t="shared" si="2"/>
        <v>Dan Kloyd F. Fiecas</v>
      </c>
      <c r="I9" s="26" t="str">
        <f t="shared" si="3"/>
        <v>Fiecas, Dan Kloyd Faigao</v>
      </c>
      <c r="J9" s="19" t="s">
        <v>944</v>
      </c>
      <c r="K9" s="19" t="s">
        <v>508</v>
      </c>
      <c r="L9" s="19" t="s">
        <v>57</v>
      </c>
      <c r="M9" s="19" t="s">
        <v>58</v>
      </c>
      <c r="N9" s="19">
        <v>1.080222259E9</v>
      </c>
      <c r="O9" s="20">
        <v>44775.0</v>
      </c>
      <c r="P9" s="105"/>
      <c r="Q9" s="105"/>
      <c r="R9" s="20">
        <v>44775.0</v>
      </c>
      <c r="S9" s="20">
        <v>44593.0</v>
      </c>
      <c r="T9" s="20">
        <f t="shared" si="4"/>
        <v>46132</v>
      </c>
      <c r="U9" s="21">
        <f t="shared" si="5"/>
        <v>3</v>
      </c>
      <c r="V9" s="19">
        <f t="shared" si="6"/>
        <v>8</v>
      </c>
      <c r="W9" s="19">
        <f t="shared" si="7"/>
        <v>18</v>
      </c>
      <c r="X9" s="74">
        <v>44959.0</v>
      </c>
      <c r="Y9" s="16"/>
      <c r="Z9" s="16"/>
      <c r="AA9" s="16"/>
      <c r="AB9" s="16"/>
      <c r="AC9" s="22">
        <v>18375.0</v>
      </c>
      <c r="AD9" s="23"/>
      <c r="AE9" s="22">
        <f t="shared" si="10"/>
        <v>18375</v>
      </c>
      <c r="AF9" s="22">
        <f>AC9*12/365</f>
        <v>604.109589</v>
      </c>
      <c r="AG9" s="19" t="s">
        <v>59</v>
      </c>
      <c r="AH9" s="24" t="s">
        <v>987</v>
      </c>
      <c r="AI9" s="24" t="s">
        <v>61</v>
      </c>
      <c r="AJ9" s="19" t="s">
        <v>62</v>
      </c>
      <c r="AK9" s="19">
        <v>36337.0</v>
      </c>
      <c r="AL9" s="25">
        <f t="shared" si="8"/>
        <v>26.83561644</v>
      </c>
      <c r="AM9" s="26" t="s">
        <v>988</v>
      </c>
      <c r="AN9" s="19" t="s">
        <v>784</v>
      </c>
      <c r="AO9" s="108">
        <v>9.76066532E9</v>
      </c>
      <c r="AP9" s="75" t="s">
        <v>989</v>
      </c>
      <c r="AQ9" s="16" t="s">
        <v>110</v>
      </c>
      <c r="AR9" s="16" t="s">
        <v>990</v>
      </c>
      <c r="AS9" s="19" t="s">
        <v>991</v>
      </c>
      <c r="AT9" s="19" t="s">
        <v>992</v>
      </c>
      <c r="AU9" s="19" t="s">
        <v>993</v>
      </c>
      <c r="AV9" s="19" t="s">
        <v>994</v>
      </c>
      <c r="AW9" s="16"/>
      <c r="AX9" s="16" t="s">
        <v>995</v>
      </c>
      <c r="AY9" s="19" t="s">
        <v>213</v>
      </c>
      <c r="AZ9" s="19">
        <v>9.065690241E9</v>
      </c>
      <c r="BA9" s="86" t="s">
        <v>900</v>
      </c>
      <c r="BB9" s="86" t="s">
        <v>954</v>
      </c>
      <c r="BC9" s="148">
        <v>44995.0</v>
      </c>
    </row>
    <row r="10" ht="14.25" customHeight="1">
      <c r="A10" s="14">
        <f t="shared" si="9"/>
        <v>9</v>
      </c>
      <c r="B10" s="15" t="s">
        <v>996</v>
      </c>
      <c r="C10" s="15" t="s">
        <v>997</v>
      </c>
      <c r="D10" s="15" t="s">
        <v>998</v>
      </c>
      <c r="E10" s="17" t="s">
        <v>87</v>
      </c>
      <c r="F10" s="17"/>
      <c r="G10" s="16" t="str">
        <f t="shared" si="1"/>
        <v>De Guia, Angelica L.</v>
      </c>
      <c r="H10" s="16" t="str">
        <f t="shared" si="2"/>
        <v>Angelica L. De Guia</v>
      </c>
      <c r="I10" s="16" t="str">
        <f t="shared" si="3"/>
        <v>De Guia, Angelica Loro</v>
      </c>
      <c r="J10" s="19" t="s">
        <v>550</v>
      </c>
      <c r="K10" s="19" t="s">
        <v>451</v>
      </c>
      <c r="L10" s="19" t="s">
        <v>57</v>
      </c>
      <c r="M10" s="19" t="s">
        <v>58</v>
      </c>
      <c r="N10" s="19">
        <v>1.110518153E9</v>
      </c>
      <c r="O10" s="20">
        <v>43409.0</v>
      </c>
      <c r="P10" s="90"/>
      <c r="Q10" s="90"/>
      <c r="R10" s="19">
        <v>43409.0</v>
      </c>
      <c r="S10" s="19">
        <v>43589.0</v>
      </c>
      <c r="T10" s="20">
        <f t="shared" si="4"/>
        <v>46132</v>
      </c>
      <c r="U10" s="21">
        <f t="shared" si="5"/>
        <v>7</v>
      </c>
      <c r="V10" s="19">
        <f t="shared" si="6"/>
        <v>5</v>
      </c>
      <c r="W10" s="19">
        <f t="shared" si="7"/>
        <v>15</v>
      </c>
      <c r="X10" s="74">
        <v>43590.0</v>
      </c>
      <c r="Y10" s="16"/>
      <c r="Z10" s="16"/>
      <c r="AA10" s="16"/>
      <c r="AB10" s="16"/>
      <c r="AC10" s="22">
        <v>20303.75</v>
      </c>
      <c r="AD10" s="23"/>
      <c r="AE10" s="22">
        <f t="shared" si="10"/>
        <v>20303.75</v>
      </c>
      <c r="AF10" s="22">
        <v>667.52</v>
      </c>
      <c r="AG10" s="19" t="s">
        <v>59</v>
      </c>
      <c r="AH10" s="24" t="s">
        <v>999</v>
      </c>
      <c r="AI10" s="24" t="s">
        <v>135</v>
      </c>
      <c r="AJ10" s="19" t="s">
        <v>62</v>
      </c>
      <c r="AK10" s="19">
        <v>35168.0</v>
      </c>
      <c r="AL10" s="25">
        <f t="shared" si="8"/>
        <v>30.03835616</v>
      </c>
      <c r="AM10" s="149" t="s">
        <v>1000</v>
      </c>
      <c r="AN10" s="19"/>
      <c r="AO10" s="71">
        <v>9.302532062E9</v>
      </c>
      <c r="AP10" s="89" t="s">
        <v>1001</v>
      </c>
      <c r="AQ10" s="16" t="s">
        <v>110</v>
      </c>
      <c r="AR10" s="26" t="s">
        <v>526</v>
      </c>
      <c r="AS10" s="19" t="s">
        <v>1002</v>
      </c>
      <c r="AT10" s="19" t="s">
        <v>1003</v>
      </c>
      <c r="AU10" s="19" t="s">
        <v>1004</v>
      </c>
      <c r="AV10" s="19" t="s">
        <v>1005</v>
      </c>
      <c r="AW10" s="16"/>
      <c r="AX10" s="16" t="s">
        <v>1006</v>
      </c>
      <c r="AY10" s="19" t="s">
        <v>701</v>
      </c>
      <c r="AZ10" s="19">
        <v>9.561281319E9</v>
      </c>
      <c r="BA10" s="86" t="s">
        <v>900</v>
      </c>
      <c r="BB10" s="86" t="s">
        <v>954</v>
      </c>
      <c r="BC10" s="148">
        <v>45071.0</v>
      </c>
    </row>
    <row r="11" ht="14.25" customHeight="1">
      <c r="A11" s="14">
        <f t="shared" si="9"/>
        <v>10</v>
      </c>
      <c r="B11" s="16" t="s">
        <v>1007</v>
      </c>
      <c r="C11" s="16" t="s">
        <v>1008</v>
      </c>
      <c r="D11" s="16" t="s">
        <v>1009</v>
      </c>
      <c r="E11" s="17" t="s">
        <v>943</v>
      </c>
      <c r="F11" s="17"/>
      <c r="G11" s="16" t="str">
        <f>CONCATENATE(B11," ",F11,", ",C11," ",E11,".")</f>
        <v>Anector , Christopher O.</v>
      </c>
      <c r="H11" s="16" t="str">
        <f>CONCATENATE(C11," ",E11,". ",B11," ",F11)</f>
        <v>Christopher O. Anector </v>
      </c>
      <c r="I11" s="16" t="str">
        <f>CONCATENATE(B11," ",F11,", ",C11," ",D11)</f>
        <v>Anector , Christopher Ortiguesa</v>
      </c>
      <c r="J11" s="19" t="s">
        <v>219</v>
      </c>
      <c r="K11" s="19" t="s">
        <v>161</v>
      </c>
      <c r="L11" s="19" t="s">
        <v>16</v>
      </c>
      <c r="M11" s="19" t="s">
        <v>58</v>
      </c>
      <c r="N11" s="109">
        <v>1.010623271E9</v>
      </c>
      <c r="O11" s="20">
        <v>44932.0</v>
      </c>
      <c r="P11" s="110"/>
      <c r="Q11" s="20"/>
      <c r="R11" s="20"/>
      <c r="S11" s="20"/>
      <c r="T11" s="20">
        <f t="shared" si="4"/>
        <v>46132</v>
      </c>
      <c r="U11" s="21">
        <f t="shared" si="5"/>
        <v>3</v>
      </c>
      <c r="V11" s="19">
        <f t="shared" si="6"/>
        <v>3</v>
      </c>
      <c r="W11" s="19">
        <f t="shared" si="7"/>
        <v>14</v>
      </c>
      <c r="X11" s="74"/>
      <c r="Y11" s="16"/>
      <c r="Z11" s="16"/>
      <c r="AA11" s="16"/>
      <c r="AB11" s="16"/>
      <c r="AC11" s="22">
        <v>14867.5</v>
      </c>
      <c r="AD11" s="23"/>
      <c r="AE11" s="22">
        <f t="shared" si="10"/>
        <v>14867.5</v>
      </c>
      <c r="AF11" s="22">
        <v>570.0</v>
      </c>
      <c r="AG11" s="19" t="s">
        <v>178</v>
      </c>
      <c r="AH11" s="24" t="s">
        <v>1010</v>
      </c>
      <c r="AI11" s="24" t="s">
        <v>61</v>
      </c>
      <c r="AJ11" s="19" t="s">
        <v>62</v>
      </c>
      <c r="AK11" s="19">
        <v>31674.0</v>
      </c>
      <c r="AL11" s="25">
        <f t="shared" si="8"/>
        <v>39.6109589</v>
      </c>
      <c r="AM11" s="19" t="s">
        <v>1011</v>
      </c>
      <c r="AN11" s="19" t="s">
        <v>1012</v>
      </c>
      <c r="AO11" s="108">
        <v>9.566493666E9</v>
      </c>
      <c r="AP11" s="75" t="s">
        <v>1013</v>
      </c>
      <c r="AQ11" s="16" t="s">
        <v>352</v>
      </c>
      <c r="AR11" s="16" t="s">
        <v>1014</v>
      </c>
      <c r="AS11" s="19" t="s">
        <v>1015</v>
      </c>
      <c r="AT11" s="19" t="s">
        <v>1016</v>
      </c>
      <c r="AU11" s="19" t="s">
        <v>1017</v>
      </c>
      <c r="AV11" s="19" t="s">
        <v>1018</v>
      </c>
      <c r="AW11" s="16"/>
      <c r="AX11" s="16" t="s">
        <v>1019</v>
      </c>
      <c r="AY11" s="19" t="s">
        <v>213</v>
      </c>
      <c r="AZ11" s="19">
        <v>9.267131176E9</v>
      </c>
      <c r="BA11" s="86" t="s">
        <v>900</v>
      </c>
      <c r="BB11" s="86" t="s">
        <v>954</v>
      </c>
      <c r="BC11" s="148">
        <v>45092.0</v>
      </c>
    </row>
    <row r="12" ht="14.25" customHeight="1">
      <c r="A12" s="14">
        <f t="shared" si="9"/>
        <v>11</v>
      </c>
      <c r="B12" s="15" t="s">
        <v>216</v>
      </c>
      <c r="C12" s="15" t="s">
        <v>1020</v>
      </c>
      <c r="D12" s="15" t="s">
        <v>1021</v>
      </c>
      <c r="E12" s="17" t="s">
        <v>54</v>
      </c>
      <c r="F12" s="17"/>
      <c r="G12" s="16" t="str">
        <f t="shared" ref="G12:G23" si="11">CONCATENATE(B12,", ",C12," ",E12,".")</f>
        <v>Marasigan, Lourenze D.</v>
      </c>
      <c r="H12" s="16" t="str">
        <f t="shared" ref="H12:H23" si="12">CONCATENATE(C12," ",E12,". ",B12)</f>
        <v>Lourenze D. Marasigan</v>
      </c>
      <c r="I12" s="16" t="str">
        <f t="shared" ref="I12:I23" si="13">CONCATENATE(B12,", ",C12," ",D12)</f>
        <v>Marasigan, Lourenze De Leon</v>
      </c>
      <c r="J12" s="19" t="s">
        <v>1022</v>
      </c>
      <c r="K12" s="19" t="s">
        <v>56</v>
      </c>
      <c r="L12" s="19" t="s">
        <v>57</v>
      </c>
      <c r="M12" s="19" t="s">
        <v>58</v>
      </c>
      <c r="N12" s="19">
        <v>1.051622179E9</v>
      </c>
      <c r="O12" s="20">
        <v>44697.0</v>
      </c>
      <c r="P12" s="20"/>
      <c r="Q12" s="20"/>
      <c r="R12" s="20"/>
      <c r="S12" s="20"/>
      <c r="T12" s="20">
        <f t="shared" si="4"/>
        <v>46132</v>
      </c>
      <c r="U12" s="21">
        <f t="shared" si="5"/>
        <v>3</v>
      </c>
      <c r="V12" s="19">
        <f t="shared" si="6"/>
        <v>11</v>
      </c>
      <c r="W12" s="19">
        <f t="shared" si="7"/>
        <v>4</v>
      </c>
      <c r="X12" s="74">
        <v>44697.0</v>
      </c>
      <c r="Y12" s="16"/>
      <c r="Z12" s="16"/>
      <c r="AA12" s="16"/>
      <c r="AB12" s="16"/>
      <c r="AC12" s="22">
        <v>17337.5</v>
      </c>
      <c r="AD12" s="23"/>
      <c r="AE12" s="22">
        <f t="shared" si="10"/>
        <v>17337.5</v>
      </c>
      <c r="AF12" s="22">
        <v>570.0</v>
      </c>
      <c r="AG12" s="19" t="s">
        <v>59</v>
      </c>
      <c r="AH12" s="24" t="s">
        <v>1023</v>
      </c>
      <c r="AI12" s="24" t="s">
        <v>61</v>
      </c>
      <c r="AJ12" s="19" t="s">
        <v>62</v>
      </c>
      <c r="AK12" s="19">
        <v>34888.0</v>
      </c>
      <c r="AL12" s="25">
        <f t="shared" si="8"/>
        <v>30.80547945</v>
      </c>
      <c r="AM12" s="19" t="s">
        <v>1024</v>
      </c>
      <c r="AN12" s="19"/>
      <c r="AO12" s="88">
        <v>9.262431891E9</v>
      </c>
      <c r="AP12" s="89" t="s">
        <v>1025</v>
      </c>
      <c r="AQ12" s="16" t="s">
        <v>66</v>
      </c>
      <c r="AR12" s="16" t="s">
        <v>568</v>
      </c>
      <c r="AS12" s="19" t="s">
        <v>1026</v>
      </c>
      <c r="AT12" s="19" t="s">
        <v>1027</v>
      </c>
      <c r="AU12" s="19" t="s">
        <v>1028</v>
      </c>
      <c r="AV12" s="19" t="s">
        <v>1029</v>
      </c>
      <c r="AW12" s="16"/>
      <c r="AX12" s="16" t="s">
        <v>1030</v>
      </c>
      <c r="AY12" s="19" t="s">
        <v>73</v>
      </c>
      <c r="AZ12" s="16">
        <v>9.169523251E9</v>
      </c>
      <c r="BA12" s="86" t="s">
        <v>900</v>
      </c>
      <c r="BB12" s="86" t="s">
        <v>954</v>
      </c>
      <c r="BC12" s="148">
        <v>45122.0</v>
      </c>
    </row>
    <row r="13" ht="14.25" customHeight="1">
      <c r="A13" s="14">
        <f t="shared" si="9"/>
        <v>12</v>
      </c>
      <c r="B13" s="15" t="s">
        <v>1031</v>
      </c>
      <c r="C13" s="15" t="s">
        <v>1032</v>
      </c>
      <c r="D13" s="15" t="s">
        <v>1033</v>
      </c>
      <c r="E13" s="17" t="s">
        <v>379</v>
      </c>
      <c r="F13" s="17"/>
      <c r="G13" s="16" t="str">
        <f t="shared" si="11"/>
        <v>Delumen, Helen G.</v>
      </c>
      <c r="H13" s="16" t="str">
        <f t="shared" si="12"/>
        <v>Helen G. Delumen</v>
      </c>
      <c r="I13" s="16" t="str">
        <f t="shared" si="13"/>
        <v>Delumen, Helen Galvan</v>
      </c>
      <c r="J13" s="19" t="s">
        <v>1034</v>
      </c>
      <c r="K13" s="19" t="s">
        <v>508</v>
      </c>
      <c r="L13" s="19" t="s">
        <v>57</v>
      </c>
      <c r="M13" s="19" t="s">
        <v>58</v>
      </c>
      <c r="N13" s="19">
        <v>1.100118346E9</v>
      </c>
      <c r="O13" s="20">
        <v>42744.0</v>
      </c>
      <c r="P13" s="20"/>
      <c r="Q13" s="20"/>
      <c r="R13" s="20">
        <v>42744.0</v>
      </c>
      <c r="S13" s="20">
        <v>42924.0</v>
      </c>
      <c r="T13" s="20">
        <f t="shared" si="4"/>
        <v>46132</v>
      </c>
      <c r="U13" s="21">
        <f t="shared" si="5"/>
        <v>9</v>
      </c>
      <c r="V13" s="19">
        <f t="shared" si="6"/>
        <v>3</v>
      </c>
      <c r="W13" s="19">
        <f t="shared" si="7"/>
        <v>11</v>
      </c>
      <c r="X13" s="74">
        <v>42925.0</v>
      </c>
      <c r="Y13" s="15"/>
      <c r="Z13" s="15"/>
      <c r="AA13" s="15"/>
      <c r="AB13" s="15"/>
      <c r="AC13" s="78">
        <v>25003.75</v>
      </c>
      <c r="AD13" s="150"/>
      <c r="AE13" s="22">
        <f t="shared" si="10"/>
        <v>25003.75</v>
      </c>
      <c r="AF13" s="19">
        <v>822.04</v>
      </c>
      <c r="AG13" s="19" t="s">
        <v>59</v>
      </c>
      <c r="AH13" s="80" t="s">
        <v>1035</v>
      </c>
      <c r="AI13" s="24" t="s">
        <v>135</v>
      </c>
      <c r="AJ13" s="19" t="s">
        <v>107</v>
      </c>
      <c r="AK13" s="19">
        <v>28126.0</v>
      </c>
      <c r="AL13" s="25">
        <f t="shared" si="8"/>
        <v>49.33150685</v>
      </c>
      <c r="AM13" s="19" t="s">
        <v>1036</v>
      </c>
      <c r="AN13" s="17"/>
      <c r="AO13" s="71">
        <v>9.086715911E9</v>
      </c>
      <c r="AP13" s="89" t="s">
        <v>1037</v>
      </c>
      <c r="AQ13" s="16" t="s">
        <v>110</v>
      </c>
      <c r="AR13" s="93" t="s">
        <v>1038</v>
      </c>
      <c r="AS13" s="19" t="s">
        <v>1039</v>
      </c>
      <c r="AT13" s="19" t="s">
        <v>1040</v>
      </c>
      <c r="AU13" s="19" t="s">
        <v>1041</v>
      </c>
      <c r="AV13" s="19" t="s">
        <v>1042</v>
      </c>
      <c r="AW13" s="15"/>
      <c r="AX13" s="15" t="s">
        <v>1043</v>
      </c>
      <c r="AY13" s="17" t="s">
        <v>635</v>
      </c>
      <c r="AZ13" s="17">
        <v>9.086862804E9</v>
      </c>
      <c r="BA13" s="86" t="s">
        <v>900</v>
      </c>
      <c r="BB13" s="86" t="s">
        <v>954</v>
      </c>
      <c r="BC13" s="148">
        <v>45122.0</v>
      </c>
    </row>
    <row r="14" ht="14.25" customHeight="1">
      <c r="A14" s="14">
        <f t="shared" si="9"/>
        <v>13</v>
      </c>
      <c r="B14" s="16" t="s">
        <v>1044</v>
      </c>
      <c r="C14" s="16" t="s">
        <v>1045</v>
      </c>
      <c r="D14" s="16" t="s">
        <v>1046</v>
      </c>
      <c r="E14" s="17" t="s">
        <v>418</v>
      </c>
      <c r="F14" s="17"/>
      <c r="G14" s="16" t="str">
        <f t="shared" si="11"/>
        <v>Delos Reyes, Jo Anne P.</v>
      </c>
      <c r="H14" s="16" t="str">
        <f t="shared" si="12"/>
        <v>Jo Anne P. Delos Reyes</v>
      </c>
      <c r="I14" s="16" t="str">
        <f t="shared" si="13"/>
        <v>Delos Reyes, Jo Anne Pancito</v>
      </c>
      <c r="J14" s="19" t="s">
        <v>944</v>
      </c>
      <c r="K14" s="19" t="s">
        <v>508</v>
      </c>
      <c r="L14" s="19" t="s">
        <v>16</v>
      </c>
      <c r="M14" s="19" t="s">
        <v>58</v>
      </c>
      <c r="N14" s="19">
        <v>1.020623276E9</v>
      </c>
      <c r="O14" s="20">
        <v>44963.0</v>
      </c>
      <c r="P14" s="105"/>
      <c r="Q14" s="105"/>
      <c r="R14" s="20">
        <v>44963.0</v>
      </c>
      <c r="S14" s="20">
        <v>45143.0</v>
      </c>
      <c r="T14" s="20">
        <f t="shared" si="4"/>
        <v>46132</v>
      </c>
      <c r="U14" s="21">
        <f t="shared" si="5"/>
        <v>3</v>
      </c>
      <c r="V14" s="19">
        <f t="shared" si="6"/>
        <v>2</v>
      </c>
      <c r="W14" s="19">
        <f t="shared" si="7"/>
        <v>14</v>
      </c>
      <c r="X14" s="74"/>
      <c r="Y14" s="16"/>
      <c r="Z14" s="16"/>
      <c r="AA14" s="16"/>
      <c r="AB14" s="16"/>
      <c r="AC14" s="151">
        <f>17500+1216.66</f>
        <v>18716.66</v>
      </c>
      <c r="AD14" s="23"/>
      <c r="AE14" s="22">
        <f t="shared" si="10"/>
        <v>18716.66</v>
      </c>
      <c r="AF14" s="22">
        <f t="shared" ref="AF14:AF16" si="14">AE14*12/365</f>
        <v>615.3422466</v>
      </c>
      <c r="AG14" s="19" t="s">
        <v>59</v>
      </c>
      <c r="AH14" s="24" t="s">
        <v>1047</v>
      </c>
      <c r="AI14" s="24" t="s">
        <v>135</v>
      </c>
      <c r="AJ14" s="19" t="s">
        <v>62</v>
      </c>
      <c r="AK14" s="19">
        <v>36832.0</v>
      </c>
      <c r="AL14" s="25">
        <f t="shared" si="8"/>
        <v>25.47945205</v>
      </c>
      <c r="AM14" s="19" t="s">
        <v>1048</v>
      </c>
      <c r="AN14" s="19"/>
      <c r="AO14" s="108">
        <v>9.083234508E9</v>
      </c>
      <c r="AP14" s="75" t="s">
        <v>1049</v>
      </c>
      <c r="AQ14" s="16" t="s">
        <v>110</v>
      </c>
      <c r="AR14" s="16" t="s">
        <v>990</v>
      </c>
      <c r="AS14" s="19" t="s">
        <v>1050</v>
      </c>
      <c r="AT14" s="19" t="s">
        <v>1051</v>
      </c>
      <c r="AU14" s="19" t="s">
        <v>1052</v>
      </c>
      <c r="AV14" s="19" t="s">
        <v>1053</v>
      </c>
      <c r="AW14" s="16"/>
      <c r="AX14" s="16" t="s">
        <v>1054</v>
      </c>
      <c r="AY14" s="19" t="s">
        <v>1055</v>
      </c>
      <c r="AZ14" s="16">
        <v>9.395968168E9</v>
      </c>
      <c r="BA14" s="86" t="s">
        <v>900</v>
      </c>
      <c r="BB14" s="86" t="s">
        <v>954</v>
      </c>
      <c r="BC14" s="148">
        <v>45143.0</v>
      </c>
      <c r="BD14" s="83"/>
    </row>
    <row r="15" ht="14.25" customHeight="1">
      <c r="A15" s="14">
        <f t="shared" si="9"/>
        <v>14</v>
      </c>
      <c r="B15" s="16" t="s">
        <v>1056</v>
      </c>
      <c r="C15" s="16" t="s">
        <v>1057</v>
      </c>
      <c r="D15" s="16" t="s">
        <v>1058</v>
      </c>
      <c r="E15" s="17" t="s">
        <v>394</v>
      </c>
      <c r="F15" s="17"/>
      <c r="G15" s="16" t="str">
        <f t="shared" si="11"/>
        <v>Santelices, Leo S.</v>
      </c>
      <c r="H15" s="16" t="str">
        <f t="shared" si="12"/>
        <v>Leo S. Santelices</v>
      </c>
      <c r="I15" s="16" t="str">
        <f t="shared" si="13"/>
        <v>Santelices, Leo Salar</v>
      </c>
      <c r="J15" s="19" t="s">
        <v>1059</v>
      </c>
      <c r="K15" s="19" t="s">
        <v>177</v>
      </c>
      <c r="L15" s="19" t="s">
        <v>57</v>
      </c>
      <c r="M15" s="19" t="s">
        <v>58</v>
      </c>
      <c r="N15" s="19">
        <v>1.071122257E9</v>
      </c>
      <c r="O15" s="20">
        <v>44753.0</v>
      </c>
      <c r="P15" s="19">
        <v>44737.0</v>
      </c>
      <c r="Q15" s="19">
        <v>44752.0</v>
      </c>
      <c r="R15" s="19">
        <v>44753.0</v>
      </c>
      <c r="S15" s="19">
        <v>44936.0</v>
      </c>
      <c r="T15" s="20">
        <f t="shared" si="4"/>
        <v>46132</v>
      </c>
      <c r="U15" s="21">
        <f t="shared" si="5"/>
        <v>3</v>
      </c>
      <c r="V15" s="19">
        <f t="shared" si="6"/>
        <v>9</v>
      </c>
      <c r="W15" s="19">
        <f t="shared" si="7"/>
        <v>9</v>
      </c>
      <c r="X15" s="74">
        <v>44937.0</v>
      </c>
      <c r="Y15" s="16"/>
      <c r="Z15" s="16"/>
      <c r="AA15" s="16"/>
      <c r="AB15" s="16"/>
      <c r="AC15" s="22">
        <f>17337.5+1216.66</f>
        <v>18554.16</v>
      </c>
      <c r="AD15" s="23"/>
      <c r="AE15" s="22">
        <f t="shared" si="10"/>
        <v>18554.16</v>
      </c>
      <c r="AF15" s="22">
        <f t="shared" si="14"/>
        <v>609.9997808</v>
      </c>
      <c r="AG15" s="19" t="s">
        <v>59</v>
      </c>
      <c r="AH15" s="24" t="s">
        <v>1060</v>
      </c>
      <c r="AI15" s="24" t="s">
        <v>61</v>
      </c>
      <c r="AJ15" s="19" t="s">
        <v>62</v>
      </c>
      <c r="AK15" s="19">
        <v>31493.0</v>
      </c>
      <c r="AL15" s="25">
        <f t="shared" si="8"/>
        <v>40.10684932</v>
      </c>
      <c r="AM15" s="19" t="s">
        <v>1061</v>
      </c>
      <c r="AN15" s="19" t="s">
        <v>1062</v>
      </c>
      <c r="AO15" s="91" t="s">
        <v>1063</v>
      </c>
      <c r="AP15" s="87" t="s">
        <v>1064</v>
      </c>
      <c r="AQ15" s="16" t="s">
        <v>440</v>
      </c>
      <c r="AR15" s="16" t="s">
        <v>1065</v>
      </c>
      <c r="AS15" s="19" t="s">
        <v>1066</v>
      </c>
      <c r="AT15" s="115" t="s">
        <v>1067</v>
      </c>
      <c r="AU15" s="21" t="s">
        <v>1068</v>
      </c>
      <c r="AV15" s="19" t="s">
        <v>1069</v>
      </c>
      <c r="AW15" s="16"/>
      <c r="AX15" s="16" t="s">
        <v>1070</v>
      </c>
      <c r="AY15" s="19" t="s">
        <v>213</v>
      </c>
      <c r="AZ15" s="16">
        <v>9.38631232E9</v>
      </c>
      <c r="BA15" s="86" t="s">
        <v>900</v>
      </c>
      <c r="BB15" s="86" t="s">
        <v>954</v>
      </c>
      <c r="BC15" s="148">
        <v>45184.0</v>
      </c>
    </row>
    <row r="16" ht="14.25" customHeight="1">
      <c r="A16" s="14">
        <f t="shared" si="9"/>
        <v>15</v>
      </c>
      <c r="B16" s="16" t="s">
        <v>1071</v>
      </c>
      <c r="C16" s="16" t="s">
        <v>1072</v>
      </c>
      <c r="D16" s="16" t="s">
        <v>1073</v>
      </c>
      <c r="E16" s="19" t="s">
        <v>102</v>
      </c>
      <c r="F16" s="19"/>
      <c r="G16" s="16" t="str">
        <f t="shared" si="11"/>
        <v>Calma, Trisha Marie A.</v>
      </c>
      <c r="H16" s="16" t="str">
        <f t="shared" si="12"/>
        <v>Trisha Marie A. Calma</v>
      </c>
      <c r="I16" s="16" t="str">
        <f t="shared" si="13"/>
        <v>Calma, Trisha Marie Alotinto</v>
      </c>
      <c r="J16" s="19" t="s">
        <v>133</v>
      </c>
      <c r="K16" s="19" t="s">
        <v>56</v>
      </c>
      <c r="L16" s="19" t="s">
        <v>57</v>
      </c>
      <c r="M16" s="19" t="s">
        <v>58</v>
      </c>
      <c r="N16" s="19">
        <v>1.08032226E9</v>
      </c>
      <c r="O16" s="20">
        <v>44776.0</v>
      </c>
      <c r="P16" s="20">
        <v>44760.0</v>
      </c>
      <c r="Q16" s="20">
        <v>44775.0</v>
      </c>
      <c r="R16" s="20">
        <v>44776.0</v>
      </c>
      <c r="S16" s="20">
        <v>44959.0</v>
      </c>
      <c r="T16" s="20">
        <f t="shared" si="4"/>
        <v>46132</v>
      </c>
      <c r="U16" s="21">
        <f t="shared" si="5"/>
        <v>3</v>
      </c>
      <c r="V16" s="19">
        <f t="shared" si="6"/>
        <v>8</v>
      </c>
      <c r="W16" s="19">
        <f t="shared" si="7"/>
        <v>17</v>
      </c>
      <c r="X16" s="74">
        <v>44960.0</v>
      </c>
      <c r="Y16" s="16"/>
      <c r="Z16" s="16"/>
      <c r="AA16" s="16"/>
      <c r="AB16" s="16"/>
      <c r="AC16" s="22">
        <f>17337.75+1216.41</f>
        <v>18554.16</v>
      </c>
      <c r="AD16" s="23"/>
      <c r="AE16" s="22">
        <f t="shared" si="10"/>
        <v>18554.16</v>
      </c>
      <c r="AF16" s="22">
        <f t="shared" si="14"/>
        <v>609.9997808</v>
      </c>
      <c r="AG16" s="19" t="s">
        <v>59</v>
      </c>
      <c r="AH16" s="24" t="s">
        <v>1074</v>
      </c>
      <c r="AI16" s="24" t="s">
        <v>135</v>
      </c>
      <c r="AJ16" s="19" t="s">
        <v>62</v>
      </c>
      <c r="AK16" s="19">
        <v>36175.0</v>
      </c>
      <c r="AL16" s="25">
        <f t="shared" si="8"/>
        <v>27.27945205</v>
      </c>
      <c r="AM16" s="19" t="s">
        <v>1075</v>
      </c>
      <c r="AN16" s="19"/>
      <c r="AO16" s="91">
        <v>9.976953555E9</v>
      </c>
      <c r="AP16" s="75" t="s">
        <v>1076</v>
      </c>
      <c r="AQ16" s="16" t="s">
        <v>110</v>
      </c>
      <c r="AR16" s="93" t="s">
        <v>786</v>
      </c>
      <c r="AS16" s="19" t="s">
        <v>1077</v>
      </c>
      <c r="AT16" s="19" t="s">
        <v>1078</v>
      </c>
      <c r="AU16" s="19" t="s">
        <v>1079</v>
      </c>
      <c r="AV16" s="19" t="s">
        <v>1080</v>
      </c>
      <c r="AW16" s="16"/>
      <c r="AX16" s="16" t="s">
        <v>1081</v>
      </c>
      <c r="AY16" s="19" t="s">
        <v>701</v>
      </c>
      <c r="AZ16" s="16">
        <v>9.914015255E9</v>
      </c>
      <c r="BA16" s="86" t="s">
        <v>900</v>
      </c>
      <c r="BB16" s="86" t="s">
        <v>954</v>
      </c>
      <c r="BC16" s="148">
        <v>45224.0</v>
      </c>
    </row>
    <row r="17" ht="14.25" customHeight="1">
      <c r="A17" s="14">
        <f t="shared" si="9"/>
        <v>16</v>
      </c>
      <c r="B17" s="16" t="s">
        <v>1082</v>
      </c>
      <c r="C17" s="16" t="s">
        <v>1083</v>
      </c>
      <c r="D17" s="16" t="s">
        <v>1084</v>
      </c>
      <c r="E17" s="17" t="s">
        <v>77</v>
      </c>
      <c r="F17" s="17"/>
      <c r="G17" s="16" t="str">
        <f t="shared" si="11"/>
        <v>Pabilona, Claire R.</v>
      </c>
      <c r="H17" s="16" t="str">
        <f t="shared" si="12"/>
        <v>Claire R. Pabilona</v>
      </c>
      <c r="I17" s="16" t="str">
        <f t="shared" si="13"/>
        <v>Pabilona, Claire Roxas</v>
      </c>
      <c r="J17" s="19" t="s">
        <v>82</v>
      </c>
      <c r="K17" s="19" t="s">
        <v>335</v>
      </c>
      <c r="L17" s="19" t="s">
        <v>16</v>
      </c>
      <c r="M17" s="19" t="s">
        <v>58</v>
      </c>
      <c r="N17" s="19">
        <v>1.081722262E9</v>
      </c>
      <c r="O17" s="20">
        <v>44790.0</v>
      </c>
      <c r="P17" s="20">
        <v>44774.0</v>
      </c>
      <c r="Q17" s="20">
        <v>44789.0</v>
      </c>
      <c r="R17" s="20">
        <v>44790.0</v>
      </c>
      <c r="S17" s="20">
        <v>44973.0</v>
      </c>
      <c r="T17" s="20">
        <f t="shared" si="4"/>
        <v>46132</v>
      </c>
      <c r="U17" s="21">
        <f t="shared" si="5"/>
        <v>3</v>
      </c>
      <c r="V17" s="19">
        <f t="shared" si="6"/>
        <v>8</v>
      </c>
      <c r="W17" s="19">
        <f t="shared" si="7"/>
        <v>3</v>
      </c>
      <c r="X17" s="74"/>
      <c r="Y17" s="16"/>
      <c r="Z17" s="16"/>
      <c r="AA17" s="16"/>
      <c r="AB17" s="16"/>
      <c r="AC17" s="22">
        <v>14867.5</v>
      </c>
      <c r="AD17" s="23"/>
      <c r="AE17" s="22">
        <f t="shared" si="10"/>
        <v>14867.5</v>
      </c>
      <c r="AF17" s="22">
        <v>570.0</v>
      </c>
      <c r="AG17" s="19" t="s">
        <v>178</v>
      </c>
      <c r="AH17" s="24" t="s">
        <v>1085</v>
      </c>
      <c r="AI17" s="24" t="s">
        <v>135</v>
      </c>
      <c r="AJ17" s="19" t="s">
        <v>62</v>
      </c>
      <c r="AK17" s="19">
        <v>36803.0</v>
      </c>
      <c r="AL17" s="25">
        <f t="shared" si="8"/>
        <v>25.55890411</v>
      </c>
      <c r="AM17" s="19" t="s">
        <v>1086</v>
      </c>
      <c r="AN17" s="19"/>
      <c r="AO17" s="19">
        <v>9.158724275E9</v>
      </c>
      <c r="AP17" s="75" t="s">
        <v>1087</v>
      </c>
      <c r="AQ17" s="16" t="s">
        <v>110</v>
      </c>
      <c r="AR17" s="16" t="s">
        <v>326</v>
      </c>
      <c r="AS17" s="19" t="s">
        <v>1088</v>
      </c>
      <c r="AT17" s="19" t="s">
        <v>1089</v>
      </c>
      <c r="AU17" s="19" t="s">
        <v>1090</v>
      </c>
      <c r="AV17" s="19" t="s">
        <v>1091</v>
      </c>
      <c r="AW17" s="16"/>
      <c r="AX17" s="16" t="s">
        <v>1092</v>
      </c>
      <c r="AY17" s="19" t="s">
        <v>318</v>
      </c>
      <c r="AZ17" s="16">
        <v>9.457106017E9</v>
      </c>
      <c r="BA17" s="86" t="s">
        <v>1093</v>
      </c>
      <c r="BB17" s="86" t="s">
        <v>1094</v>
      </c>
      <c r="BC17" s="148">
        <v>45184.0</v>
      </c>
    </row>
    <row r="18" ht="14.25" customHeight="1">
      <c r="A18" s="14">
        <f t="shared" si="9"/>
        <v>17</v>
      </c>
      <c r="B18" s="16" t="s">
        <v>1095</v>
      </c>
      <c r="C18" s="16" t="s">
        <v>1096</v>
      </c>
      <c r="D18" s="16" t="s">
        <v>256</v>
      </c>
      <c r="E18" s="19" t="s">
        <v>257</v>
      </c>
      <c r="F18" s="19"/>
      <c r="G18" s="16" t="str">
        <f t="shared" si="11"/>
        <v>Firmeza, Joesseph J.</v>
      </c>
      <c r="H18" s="16" t="str">
        <f t="shared" si="12"/>
        <v>Joesseph J. Firmeza</v>
      </c>
      <c r="I18" s="16" t="str">
        <f t="shared" si="13"/>
        <v>Firmeza, Joesseph Jaudian</v>
      </c>
      <c r="J18" s="19" t="s">
        <v>550</v>
      </c>
      <c r="K18" s="19" t="s">
        <v>451</v>
      </c>
      <c r="L18" s="19" t="s">
        <v>57</v>
      </c>
      <c r="M18" s="19" t="s">
        <v>58</v>
      </c>
      <c r="N18" s="19">
        <v>1.020322241E9</v>
      </c>
      <c r="O18" s="20">
        <v>44595.0</v>
      </c>
      <c r="P18" s="19"/>
      <c r="Q18" s="19"/>
      <c r="R18" s="19">
        <v>44595.0</v>
      </c>
      <c r="S18" s="19">
        <v>44775.0</v>
      </c>
      <c r="T18" s="20">
        <f t="shared" si="4"/>
        <v>46132</v>
      </c>
      <c r="U18" s="21">
        <f t="shared" si="5"/>
        <v>4</v>
      </c>
      <c r="V18" s="19">
        <f t="shared" si="6"/>
        <v>2</v>
      </c>
      <c r="W18" s="19">
        <f t="shared" si="7"/>
        <v>17</v>
      </c>
      <c r="X18" s="19">
        <v>44776.0</v>
      </c>
      <c r="Y18" s="16"/>
      <c r="Z18" s="16"/>
      <c r="AA18" s="16"/>
      <c r="AB18" s="16"/>
      <c r="AC18" s="22">
        <f>18903.94+1216.66</f>
        <v>20120.6</v>
      </c>
      <c r="AD18" s="23"/>
      <c r="AE18" s="22">
        <f t="shared" si="10"/>
        <v>20120.6</v>
      </c>
      <c r="AF18" s="22">
        <f t="shared" ref="AF18:AF19" si="15">AE18*12/365</f>
        <v>661.4991781</v>
      </c>
      <c r="AG18" s="19" t="s">
        <v>59</v>
      </c>
      <c r="AH18" s="24" t="s">
        <v>1097</v>
      </c>
      <c r="AI18" s="24" t="s">
        <v>61</v>
      </c>
      <c r="AJ18" s="19" t="s">
        <v>62</v>
      </c>
      <c r="AK18" s="19">
        <v>35784.0</v>
      </c>
      <c r="AL18" s="25">
        <f t="shared" si="8"/>
        <v>28.35068493</v>
      </c>
      <c r="AM18" s="94" t="s">
        <v>1098</v>
      </c>
      <c r="AN18" s="19"/>
      <c r="AO18" s="71">
        <v>9.100704529E9</v>
      </c>
      <c r="AP18" s="28" t="s">
        <v>1099</v>
      </c>
      <c r="AQ18" s="16" t="s">
        <v>110</v>
      </c>
      <c r="AR18" s="26" t="s">
        <v>526</v>
      </c>
      <c r="AS18" s="19" t="s">
        <v>1100</v>
      </c>
      <c r="AT18" s="19" t="s">
        <v>1101</v>
      </c>
      <c r="AU18" s="19" t="s">
        <v>1102</v>
      </c>
      <c r="AV18" s="19" t="s">
        <v>1103</v>
      </c>
      <c r="AW18" s="16"/>
      <c r="AX18" s="16" t="s">
        <v>1104</v>
      </c>
      <c r="AY18" s="19" t="s">
        <v>318</v>
      </c>
      <c r="AZ18" s="152">
        <v>9.705762644E9</v>
      </c>
      <c r="BA18" s="86" t="s">
        <v>900</v>
      </c>
      <c r="BB18" s="86" t="s">
        <v>954</v>
      </c>
      <c r="BC18" s="148">
        <v>45234.0</v>
      </c>
    </row>
    <row r="19" ht="14.25" customHeight="1">
      <c r="A19" s="14">
        <f t="shared" si="9"/>
        <v>18</v>
      </c>
      <c r="B19" s="15" t="s">
        <v>1105</v>
      </c>
      <c r="C19" s="15" t="s">
        <v>1106</v>
      </c>
      <c r="D19" s="15" t="s">
        <v>1107</v>
      </c>
      <c r="E19" s="17" t="s">
        <v>54</v>
      </c>
      <c r="F19" s="17"/>
      <c r="G19" s="16" t="str">
        <f t="shared" si="11"/>
        <v>Limpin, Mary Grace D.</v>
      </c>
      <c r="H19" s="16" t="str">
        <f t="shared" si="12"/>
        <v>Mary Grace D. Limpin</v>
      </c>
      <c r="I19" s="16" t="str">
        <f t="shared" si="13"/>
        <v>Limpin, Mary Grace Delos Santos</v>
      </c>
      <c r="J19" s="19" t="s">
        <v>1108</v>
      </c>
      <c r="K19" s="19" t="s">
        <v>537</v>
      </c>
      <c r="L19" s="19" t="s">
        <v>57</v>
      </c>
      <c r="M19" s="19" t="s">
        <v>58</v>
      </c>
      <c r="N19" s="19">
        <v>1.111709055E9</v>
      </c>
      <c r="O19" s="20">
        <v>40134.0</v>
      </c>
      <c r="P19" s="20"/>
      <c r="Q19" s="20"/>
      <c r="R19" s="20">
        <v>40330.0</v>
      </c>
      <c r="S19" s="20">
        <f t="shared" ref="S19:S20" si="16">EDATE(R19-1,6)</f>
        <v>40512</v>
      </c>
      <c r="T19" s="20">
        <f t="shared" si="4"/>
        <v>46132</v>
      </c>
      <c r="U19" s="21">
        <f t="shared" si="5"/>
        <v>16</v>
      </c>
      <c r="V19" s="19">
        <f t="shared" si="6"/>
        <v>5</v>
      </c>
      <c r="W19" s="19">
        <f t="shared" si="7"/>
        <v>3</v>
      </c>
      <c r="X19" s="74">
        <v>40513.0</v>
      </c>
      <c r="Y19" s="16"/>
      <c r="Z19" s="16"/>
      <c r="AA19" s="16"/>
      <c r="AB19" s="16"/>
      <c r="AC19" s="22">
        <f>27003.75+1216.66</f>
        <v>28220.41</v>
      </c>
      <c r="AD19" s="23"/>
      <c r="AE19" s="22">
        <f t="shared" si="10"/>
        <v>28220.41</v>
      </c>
      <c r="AF19" s="22">
        <f t="shared" si="15"/>
        <v>927.7943014</v>
      </c>
      <c r="AG19" s="19" t="s">
        <v>59</v>
      </c>
      <c r="AH19" s="24" t="s">
        <v>1109</v>
      </c>
      <c r="AI19" s="24" t="s">
        <v>135</v>
      </c>
      <c r="AJ19" s="19" t="s">
        <v>62</v>
      </c>
      <c r="AK19" s="19">
        <v>29589.0</v>
      </c>
      <c r="AL19" s="25">
        <f t="shared" si="8"/>
        <v>45.32328767</v>
      </c>
      <c r="AM19" s="19" t="s">
        <v>1110</v>
      </c>
      <c r="AN19" s="19"/>
      <c r="AO19" s="91">
        <v>9.17575584E9</v>
      </c>
      <c r="AP19" s="92" t="s">
        <v>1111</v>
      </c>
      <c r="AQ19" s="16" t="s">
        <v>110</v>
      </c>
      <c r="AR19" s="26" t="s">
        <v>1112</v>
      </c>
      <c r="AS19" s="19" t="s">
        <v>1113</v>
      </c>
      <c r="AT19" s="19" t="s">
        <v>1114</v>
      </c>
      <c r="AU19" s="19" t="s">
        <v>1115</v>
      </c>
      <c r="AV19" s="153" t="s">
        <v>1116</v>
      </c>
      <c r="AW19" s="16"/>
      <c r="AX19" s="16" t="s">
        <v>1117</v>
      </c>
      <c r="AY19" s="19" t="s">
        <v>213</v>
      </c>
      <c r="AZ19" s="16" t="s">
        <v>1118</v>
      </c>
      <c r="BA19" s="86" t="s">
        <v>900</v>
      </c>
      <c r="BB19" s="86" t="s">
        <v>954</v>
      </c>
      <c r="BC19" s="148">
        <v>45278.0</v>
      </c>
    </row>
    <row r="20" ht="14.25" customHeight="1">
      <c r="A20" s="14">
        <f t="shared" si="9"/>
        <v>19</v>
      </c>
      <c r="B20" s="16" t="s">
        <v>1119</v>
      </c>
      <c r="C20" s="16" t="s">
        <v>1120</v>
      </c>
      <c r="D20" s="16" t="s">
        <v>1121</v>
      </c>
      <c r="E20" s="17" t="s">
        <v>93</v>
      </c>
      <c r="F20" s="17"/>
      <c r="G20" s="16" t="str">
        <f t="shared" si="11"/>
        <v>Villano, Judith T.</v>
      </c>
      <c r="H20" s="16" t="str">
        <f t="shared" si="12"/>
        <v>Judith T. Villano</v>
      </c>
      <c r="I20" s="16" t="str">
        <f t="shared" si="13"/>
        <v>Villano, Judith Tenerife</v>
      </c>
      <c r="J20" s="19" t="s">
        <v>82</v>
      </c>
      <c r="K20" s="19" t="s">
        <v>335</v>
      </c>
      <c r="L20" s="19" t="s">
        <v>57</v>
      </c>
      <c r="M20" s="19" t="s">
        <v>58</v>
      </c>
      <c r="N20" s="19">
        <v>1.072922261E9</v>
      </c>
      <c r="O20" s="20">
        <v>44771.0</v>
      </c>
      <c r="P20" s="20">
        <v>44755.0</v>
      </c>
      <c r="Q20" s="20">
        <v>44770.0</v>
      </c>
      <c r="R20" s="20">
        <v>44771.0</v>
      </c>
      <c r="S20" s="20">
        <f t="shared" si="16"/>
        <v>44954</v>
      </c>
      <c r="T20" s="20">
        <f t="shared" si="4"/>
        <v>46132</v>
      </c>
      <c r="U20" s="21">
        <f t="shared" si="5"/>
        <v>3</v>
      </c>
      <c r="V20" s="19">
        <f t="shared" si="6"/>
        <v>8</v>
      </c>
      <c r="W20" s="19">
        <f t="shared" si="7"/>
        <v>22</v>
      </c>
      <c r="X20" s="74">
        <v>44954.0</v>
      </c>
      <c r="Y20" s="16"/>
      <c r="Z20" s="16"/>
      <c r="AA20" s="16"/>
      <c r="AB20" s="16"/>
      <c r="AC20" s="22">
        <f>14867.5+1043.33</f>
        <v>15910.83</v>
      </c>
      <c r="AD20" s="23"/>
      <c r="AE20" s="22">
        <f t="shared" si="10"/>
        <v>15910.83</v>
      </c>
      <c r="AF20" s="22">
        <f>AE20*12/313</f>
        <v>609.9998722</v>
      </c>
      <c r="AG20" s="19" t="s">
        <v>178</v>
      </c>
      <c r="AH20" s="24" t="s">
        <v>1122</v>
      </c>
      <c r="AI20" s="24" t="s">
        <v>135</v>
      </c>
      <c r="AJ20" s="19" t="s">
        <v>62</v>
      </c>
      <c r="AK20" s="19">
        <v>36417.0</v>
      </c>
      <c r="AL20" s="25">
        <f t="shared" si="8"/>
        <v>26.61643836</v>
      </c>
      <c r="AM20" s="19" t="s">
        <v>1123</v>
      </c>
      <c r="AN20" s="19" t="s">
        <v>1124</v>
      </c>
      <c r="AO20" s="19">
        <v>9.336226947E9</v>
      </c>
      <c r="AP20" s="75" t="s">
        <v>1125</v>
      </c>
      <c r="AQ20" s="16" t="s">
        <v>110</v>
      </c>
      <c r="AR20" s="16" t="s">
        <v>326</v>
      </c>
      <c r="AS20" s="19" t="s">
        <v>1126</v>
      </c>
      <c r="AT20" s="19" t="s">
        <v>1127</v>
      </c>
      <c r="AU20" s="19" t="s">
        <v>1128</v>
      </c>
      <c r="AV20" s="19" t="s">
        <v>1129</v>
      </c>
      <c r="AW20" s="16"/>
      <c r="AX20" s="16" t="s">
        <v>1130</v>
      </c>
      <c r="AY20" s="19" t="s">
        <v>73</v>
      </c>
      <c r="AZ20" s="16">
        <v>9.092658445E9</v>
      </c>
      <c r="BA20" s="86" t="s">
        <v>900</v>
      </c>
      <c r="BB20" s="86" t="s">
        <v>1131</v>
      </c>
      <c r="BC20" s="148">
        <v>45407.0</v>
      </c>
    </row>
    <row r="21" ht="14.25" customHeight="1">
      <c r="A21" s="14">
        <f t="shared" si="9"/>
        <v>20</v>
      </c>
      <c r="B21" s="15" t="s">
        <v>1132</v>
      </c>
      <c r="C21" s="15" t="s">
        <v>1133</v>
      </c>
      <c r="D21" s="15" t="s">
        <v>1134</v>
      </c>
      <c r="E21" s="17" t="s">
        <v>217</v>
      </c>
      <c r="F21" s="17"/>
      <c r="G21" s="16" t="str">
        <f t="shared" si="11"/>
        <v>Olpindo, Magdalena M.</v>
      </c>
      <c r="H21" s="16" t="str">
        <f t="shared" si="12"/>
        <v>Magdalena M. Olpindo</v>
      </c>
      <c r="I21" s="16" t="str">
        <f t="shared" si="13"/>
        <v>Olpindo, Magdalena Marquez</v>
      </c>
      <c r="J21" s="19" t="s">
        <v>1135</v>
      </c>
      <c r="K21" s="19" t="s">
        <v>451</v>
      </c>
      <c r="L21" s="19" t="s">
        <v>57</v>
      </c>
      <c r="M21" s="19" t="s">
        <v>58</v>
      </c>
      <c r="N21" s="19">
        <v>1.120104072E9</v>
      </c>
      <c r="O21" s="20">
        <v>38322.0</v>
      </c>
      <c r="P21" s="20"/>
      <c r="Q21" s="20"/>
      <c r="R21" s="20"/>
      <c r="S21" s="20"/>
      <c r="T21" s="20">
        <f t="shared" si="4"/>
        <v>46132</v>
      </c>
      <c r="U21" s="21">
        <f t="shared" si="5"/>
        <v>21</v>
      </c>
      <c r="V21" s="19">
        <f t="shared" si="6"/>
        <v>4</v>
      </c>
      <c r="W21" s="19">
        <f t="shared" si="7"/>
        <v>19</v>
      </c>
      <c r="X21" s="74">
        <v>38322.0</v>
      </c>
      <c r="Y21" s="16"/>
      <c r="Z21" s="16"/>
      <c r="AA21" s="16"/>
      <c r="AB21" s="16"/>
      <c r="AC21" s="22">
        <f>23003.75+1216.66</f>
        <v>24220.41</v>
      </c>
      <c r="AD21" s="23"/>
      <c r="AE21" s="22">
        <f t="shared" si="10"/>
        <v>24220.41</v>
      </c>
      <c r="AF21" s="22">
        <f t="shared" ref="AF21:AF23" si="17">AE21*12/365</f>
        <v>796.2874521</v>
      </c>
      <c r="AG21" s="19" t="s">
        <v>59</v>
      </c>
      <c r="AH21" s="24" t="s">
        <v>1136</v>
      </c>
      <c r="AI21" s="24" t="s">
        <v>135</v>
      </c>
      <c r="AJ21" s="19" t="s">
        <v>1137</v>
      </c>
      <c r="AK21" s="19">
        <v>23439.0</v>
      </c>
      <c r="AL21" s="25">
        <f t="shared" si="8"/>
        <v>62.17260274</v>
      </c>
      <c r="AM21" s="19" t="s">
        <v>1138</v>
      </c>
      <c r="AN21" s="19"/>
      <c r="AO21" s="71" t="s">
        <v>1139</v>
      </c>
      <c r="AP21" s="92" t="s">
        <v>1140</v>
      </c>
      <c r="AQ21" s="16" t="s">
        <v>468</v>
      </c>
      <c r="AR21" s="16"/>
      <c r="AS21" s="19" t="s">
        <v>1141</v>
      </c>
      <c r="AT21" s="19" t="s">
        <v>1142</v>
      </c>
      <c r="AU21" s="19" t="s">
        <v>1143</v>
      </c>
      <c r="AV21" s="19" t="s">
        <v>1144</v>
      </c>
      <c r="AW21" s="16"/>
      <c r="AX21" s="16" t="s">
        <v>1145</v>
      </c>
      <c r="AY21" s="19" t="s">
        <v>1146</v>
      </c>
      <c r="AZ21" s="16">
        <v>9.234172476E9</v>
      </c>
      <c r="BA21" s="86" t="s">
        <v>1147</v>
      </c>
      <c r="BB21" s="86" t="s">
        <v>1147</v>
      </c>
      <c r="BC21" s="148">
        <v>45382.0</v>
      </c>
    </row>
    <row r="22" ht="14.25" customHeight="1">
      <c r="A22" s="14">
        <f t="shared" si="9"/>
        <v>21</v>
      </c>
      <c r="B22" s="15" t="s">
        <v>1148</v>
      </c>
      <c r="C22" s="16" t="s">
        <v>158</v>
      </c>
      <c r="D22" s="16" t="s">
        <v>1149</v>
      </c>
      <c r="E22" s="17" t="s">
        <v>308</v>
      </c>
      <c r="F22" s="17"/>
      <c r="G22" s="16" t="str">
        <f t="shared" si="11"/>
        <v>Salazar, Arnel B.</v>
      </c>
      <c r="H22" s="16" t="str">
        <f t="shared" si="12"/>
        <v>Arnel B. Salazar</v>
      </c>
      <c r="I22" s="16" t="str">
        <f t="shared" si="13"/>
        <v>Salazar, Arnel Buenaagua</v>
      </c>
      <c r="J22" s="19" t="s">
        <v>1150</v>
      </c>
      <c r="K22" s="19" t="s">
        <v>177</v>
      </c>
      <c r="L22" s="19" t="s">
        <v>57</v>
      </c>
      <c r="M22" s="19" t="s">
        <v>58</v>
      </c>
      <c r="N22" s="19">
        <v>1.011818409E9</v>
      </c>
      <c r="O22" s="20">
        <v>43118.0</v>
      </c>
      <c r="P22" s="19"/>
      <c r="Q22" s="19"/>
      <c r="R22" s="19"/>
      <c r="S22" s="19"/>
      <c r="T22" s="20">
        <f t="shared" si="4"/>
        <v>46132</v>
      </c>
      <c r="U22" s="21">
        <f t="shared" si="5"/>
        <v>8</v>
      </c>
      <c r="V22" s="19">
        <f t="shared" si="6"/>
        <v>3</v>
      </c>
      <c r="W22" s="19">
        <f t="shared" si="7"/>
        <v>2</v>
      </c>
      <c r="X22" s="74">
        <v>43297.0</v>
      </c>
      <c r="Y22" s="16"/>
      <c r="Z22" s="16"/>
      <c r="AA22" s="16"/>
      <c r="AB22" s="16"/>
      <c r="AC22" s="22">
        <f>17337.5+1216.66</f>
        <v>18554.16</v>
      </c>
      <c r="AD22" s="23"/>
      <c r="AE22" s="22">
        <f t="shared" si="10"/>
        <v>18554.16</v>
      </c>
      <c r="AF22" s="22">
        <f t="shared" si="17"/>
        <v>609.9997808</v>
      </c>
      <c r="AG22" s="19" t="s">
        <v>59</v>
      </c>
      <c r="AH22" s="24" t="s">
        <v>1151</v>
      </c>
      <c r="AI22" s="24" t="s">
        <v>61</v>
      </c>
      <c r="AJ22" s="19" t="s">
        <v>107</v>
      </c>
      <c r="AK22" s="19">
        <v>25396.0</v>
      </c>
      <c r="AL22" s="25">
        <f t="shared" si="8"/>
        <v>56.8109589</v>
      </c>
      <c r="AM22" s="19" t="s">
        <v>1152</v>
      </c>
      <c r="AN22" s="19"/>
      <c r="AO22" s="91" t="s">
        <v>1153</v>
      </c>
      <c r="AP22" s="87" t="s">
        <v>1154</v>
      </c>
      <c r="AQ22" s="16" t="s">
        <v>66</v>
      </c>
      <c r="AR22" s="16" t="s">
        <v>1155</v>
      </c>
      <c r="AS22" s="19" t="s">
        <v>1156</v>
      </c>
      <c r="AT22" s="115" t="s">
        <v>1157</v>
      </c>
      <c r="AU22" s="21" t="s">
        <v>1158</v>
      </c>
      <c r="AV22" s="19" t="s">
        <v>1159</v>
      </c>
      <c r="AW22" s="16"/>
      <c r="AX22" s="16" t="s">
        <v>1160</v>
      </c>
      <c r="AY22" s="19" t="s">
        <v>117</v>
      </c>
      <c r="AZ22" s="16">
        <v>9.562649405E9</v>
      </c>
      <c r="BA22" s="86" t="s">
        <v>900</v>
      </c>
      <c r="BB22" s="86" t="s">
        <v>1161</v>
      </c>
      <c r="BC22" s="148">
        <v>45397.0</v>
      </c>
    </row>
    <row r="23" ht="14.25" customHeight="1">
      <c r="A23" s="14">
        <f t="shared" si="9"/>
        <v>22</v>
      </c>
      <c r="B23" s="16" t="s">
        <v>1162</v>
      </c>
      <c r="C23" s="16" t="s">
        <v>1163</v>
      </c>
      <c r="D23" s="16" t="s">
        <v>1164</v>
      </c>
      <c r="E23" s="17" t="s">
        <v>102</v>
      </c>
      <c r="F23" s="17"/>
      <c r="G23" s="16" t="str">
        <f t="shared" si="11"/>
        <v>Asperilla, Maria Dorothy A.</v>
      </c>
      <c r="H23" s="16" t="str">
        <f t="shared" si="12"/>
        <v>Maria Dorothy A. Asperilla</v>
      </c>
      <c r="I23" s="16" t="str">
        <f t="shared" si="13"/>
        <v>Asperilla, Maria Dorothy Alvarez</v>
      </c>
      <c r="J23" s="19" t="s">
        <v>133</v>
      </c>
      <c r="K23" s="19" t="s">
        <v>56</v>
      </c>
      <c r="L23" s="19" t="s">
        <v>57</v>
      </c>
      <c r="M23" s="19" t="s">
        <v>58</v>
      </c>
      <c r="N23" s="19">
        <v>1.052722247E9</v>
      </c>
      <c r="O23" s="20">
        <v>44708.0</v>
      </c>
      <c r="P23" s="20">
        <v>44692.0</v>
      </c>
      <c r="Q23" s="20">
        <v>44707.0</v>
      </c>
      <c r="R23" s="20">
        <v>44708.0</v>
      </c>
      <c r="S23" s="20">
        <f t="shared" ref="S23:S26" si="18">EDATE(R23-1,6)</f>
        <v>44891</v>
      </c>
      <c r="T23" s="20">
        <f t="shared" si="4"/>
        <v>46132</v>
      </c>
      <c r="U23" s="21">
        <f t="shared" si="5"/>
        <v>3</v>
      </c>
      <c r="V23" s="19">
        <f t="shared" si="6"/>
        <v>10</v>
      </c>
      <c r="W23" s="19">
        <f t="shared" si="7"/>
        <v>24</v>
      </c>
      <c r="X23" s="19">
        <v>44892.0</v>
      </c>
      <c r="Y23" s="16" t="s">
        <v>82</v>
      </c>
      <c r="Z23" s="16" t="s">
        <v>1165</v>
      </c>
      <c r="AA23" s="16"/>
      <c r="AB23" s="16"/>
      <c r="AC23" s="22">
        <f>17337.75+1216.41</f>
        <v>18554.16</v>
      </c>
      <c r="AD23" s="23"/>
      <c r="AE23" s="22">
        <f t="shared" si="10"/>
        <v>18554.16</v>
      </c>
      <c r="AF23" s="22">
        <f t="shared" si="17"/>
        <v>609.9997808</v>
      </c>
      <c r="AG23" s="19" t="s">
        <v>59</v>
      </c>
      <c r="AH23" s="24" t="s">
        <v>1166</v>
      </c>
      <c r="AI23" s="24" t="s">
        <v>135</v>
      </c>
      <c r="AJ23" s="19" t="s">
        <v>62</v>
      </c>
      <c r="AK23" s="19">
        <v>36648.0</v>
      </c>
      <c r="AL23" s="25">
        <f t="shared" si="8"/>
        <v>25.98356164</v>
      </c>
      <c r="AM23" s="19" t="s">
        <v>1167</v>
      </c>
      <c r="AN23" s="19" t="s">
        <v>1168</v>
      </c>
      <c r="AO23" s="19">
        <v>9.61181596E9</v>
      </c>
      <c r="AP23" s="28" t="s">
        <v>1169</v>
      </c>
      <c r="AQ23" s="16" t="s">
        <v>110</v>
      </c>
      <c r="AR23" s="16" t="s">
        <v>298</v>
      </c>
      <c r="AS23" s="19" t="s">
        <v>1170</v>
      </c>
      <c r="AT23" s="19" t="s">
        <v>1171</v>
      </c>
      <c r="AU23" s="19" t="s">
        <v>1172</v>
      </c>
      <c r="AV23" s="19" t="s">
        <v>1173</v>
      </c>
      <c r="AW23" s="16"/>
      <c r="AX23" s="16" t="s">
        <v>1174</v>
      </c>
      <c r="AY23" s="19" t="s">
        <v>213</v>
      </c>
      <c r="AZ23" s="16">
        <v>9.971721223E9</v>
      </c>
      <c r="BA23" s="86" t="s">
        <v>900</v>
      </c>
      <c r="BB23" s="86" t="s">
        <v>954</v>
      </c>
      <c r="BC23" s="148">
        <v>45429.0</v>
      </c>
    </row>
    <row r="24" ht="14.25" customHeight="1">
      <c r="A24" s="14">
        <f t="shared" si="9"/>
        <v>23</v>
      </c>
      <c r="B24" s="16" t="s">
        <v>766</v>
      </c>
      <c r="C24" s="16" t="s">
        <v>767</v>
      </c>
      <c r="D24" s="16" t="s">
        <v>768</v>
      </c>
      <c r="E24" s="17" t="s">
        <v>54</v>
      </c>
      <c r="F24" s="17"/>
      <c r="G24" s="16" t="str">
        <f>CONCATENATE(B24," ",F24,", ",C24," ",E24,".")</f>
        <v>Brezuela , Mark Vinz D.</v>
      </c>
      <c r="H24" s="16" t="str">
        <f>CONCATENATE(C24," ",E24,". ",B24," ",F24)</f>
        <v>Mark Vinz D. Brezuela </v>
      </c>
      <c r="I24" s="16" t="str">
        <f>CONCATENATE(B24," ",F24,", ",C24," ",D24)</f>
        <v>Brezuela , Mark Vinz De Los Santos</v>
      </c>
      <c r="J24" s="19" t="s">
        <v>219</v>
      </c>
      <c r="K24" s="19" t="s">
        <v>161</v>
      </c>
      <c r="L24" s="19" t="s">
        <v>57</v>
      </c>
      <c r="M24" s="19" t="s">
        <v>58</v>
      </c>
      <c r="N24" s="19">
        <v>1.121722269E9</v>
      </c>
      <c r="O24" s="20">
        <v>44912.0</v>
      </c>
      <c r="P24" s="110">
        <v>44896.0</v>
      </c>
      <c r="Q24" s="20">
        <v>44911.0</v>
      </c>
      <c r="R24" s="20">
        <v>44912.0</v>
      </c>
      <c r="S24" s="20">
        <f t="shared" si="18"/>
        <v>45093</v>
      </c>
      <c r="T24" s="20">
        <f t="shared" si="4"/>
        <v>46132</v>
      </c>
      <c r="U24" s="21">
        <f t="shared" si="5"/>
        <v>3</v>
      </c>
      <c r="V24" s="19">
        <f t="shared" si="6"/>
        <v>4</v>
      </c>
      <c r="W24" s="19">
        <f t="shared" si="7"/>
        <v>3</v>
      </c>
      <c r="X24" s="74">
        <v>45094.0</v>
      </c>
      <c r="Y24" s="16"/>
      <c r="Z24" s="16"/>
      <c r="AA24" s="16"/>
      <c r="AB24" s="16"/>
      <c r="AC24" s="22">
        <f t="shared" ref="AC24:AC26" si="19">14867.5+1043.33</f>
        <v>15910.83</v>
      </c>
      <c r="AD24" s="23"/>
      <c r="AE24" s="22">
        <f t="shared" si="10"/>
        <v>15910.83</v>
      </c>
      <c r="AF24" s="22">
        <f t="shared" ref="AF24:AF26" si="20">AE24*12/313</f>
        <v>609.9998722</v>
      </c>
      <c r="AG24" s="19" t="s">
        <v>178</v>
      </c>
      <c r="AH24" s="24" t="s">
        <v>769</v>
      </c>
      <c r="AI24" s="24" t="s">
        <v>61</v>
      </c>
      <c r="AJ24" s="19" t="s">
        <v>62</v>
      </c>
      <c r="AK24" s="19">
        <v>36559.0</v>
      </c>
      <c r="AL24" s="25">
        <f t="shared" si="8"/>
        <v>26.22739726</v>
      </c>
      <c r="AM24" s="19" t="s">
        <v>770</v>
      </c>
      <c r="AN24" s="19" t="s">
        <v>771</v>
      </c>
      <c r="AO24" s="108">
        <v>9.972631554E9</v>
      </c>
      <c r="AP24" s="111" t="s">
        <v>772</v>
      </c>
      <c r="AQ24" s="16" t="s">
        <v>352</v>
      </c>
      <c r="AR24" s="16" t="s">
        <v>773</v>
      </c>
      <c r="AS24" s="19" t="s">
        <v>774</v>
      </c>
      <c r="AT24" s="19" t="s">
        <v>775</v>
      </c>
      <c r="AU24" s="19" t="s">
        <v>776</v>
      </c>
      <c r="AV24" s="19" t="s">
        <v>777</v>
      </c>
      <c r="AW24" s="16"/>
      <c r="AX24" s="16" t="s">
        <v>778</v>
      </c>
      <c r="AY24" s="19" t="s">
        <v>318</v>
      </c>
      <c r="AZ24" s="16">
        <v>9.480557197E9</v>
      </c>
      <c r="BA24" s="86" t="s">
        <v>900</v>
      </c>
      <c r="BB24" s="86" t="s">
        <v>954</v>
      </c>
      <c r="BC24" s="148">
        <v>45468.0</v>
      </c>
    </row>
    <row r="25" ht="14.25" customHeight="1">
      <c r="A25" s="14">
        <f t="shared" si="9"/>
        <v>24</v>
      </c>
      <c r="B25" s="16" t="s">
        <v>805</v>
      </c>
      <c r="C25" s="16" t="s">
        <v>806</v>
      </c>
      <c r="D25" s="16" t="s">
        <v>807</v>
      </c>
      <c r="E25" s="17" t="s">
        <v>379</v>
      </c>
      <c r="F25" s="17"/>
      <c r="G25" s="16" t="str">
        <f>CONCATENATE(B25,", ",C25," ",E25,".")</f>
        <v>Urriza, Leslie G.</v>
      </c>
      <c r="H25" s="16" t="str">
        <f>CONCATENATE(C25," ",E25,". ",B25)</f>
        <v>Leslie G. Urriza</v>
      </c>
      <c r="I25" s="16" t="str">
        <f>CONCATENATE(B25,", ",C25," ",D25)</f>
        <v>Urriza, Leslie Gonzales</v>
      </c>
      <c r="J25" s="19" t="s">
        <v>82</v>
      </c>
      <c r="K25" s="19" t="s">
        <v>335</v>
      </c>
      <c r="L25" s="19" t="s">
        <v>57</v>
      </c>
      <c r="M25" s="19" t="s">
        <v>58</v>
      </c>
      <c r="N25" s="19">
        <v>1092023.0</v>
      </c>
      <c r="O25" s="20">
        <v>45189.0</v>
      </c>
      <c r="P25" s="20">
        <v>45173.0</v>
      </c>
      <c r="Q25" s="20">
        <v>45188.0</v>
      </c>
      <c r="R25" s="20">
        <v>45189.0</v>
      </c>
      <c r="S25" s="20">
        <f t="shared" si="18"/>
        <v>45370</v>
      </c>
      <c r="T25" s="20">
        <f t="shared" si="4"/>
        <v>46132</v>
      </c>
      <c r="U25" s="21">
        <f t="shared" si="5"/>
        <v>2</v>
      </c>
      <c r="V25" s="19">
        <f t="shared" si="6"/>
        <v>7</v>
      </c>
      <c r="W25" s="19">
        <f t="shared" si="7"/>
        <v>0</v>
      </c>
      <c r="X25" s="74">
        <f>EDATE(R25,6)</f>
        <v>45371</v>
      </c>
      <c r="Y25" s="16"/>
      <c r="Z25" s="16"/>
      <c r="AA25" s="16"/>
      <c r="AB25" s="16"/>
      <c r="AC25" s="22">
        <f t="shared" si="19"/>
        <v>15910.83</v>
      </c>
      <c r="AD25" s="23"/>
      <c r="AE25" s="22">
        <f t="shared" si="10"/>
        <v>15910.83</v>
      </c>
      <c r="AF25" s="22">
        <f t="shared" si="20"/>
        <v>609.9998722</v>
      </c>
      <c r="AG25" s="19" t="s">
        <v>178</v>
      </c>
      <c r="AH25" s="24"/>
      <c r="AI25" s="24" t="s">
        <v>135</v>
      </c>
      <c r="AJ25" s="19" t="s">
        <v>62</v>
      </c>
      <c r="AK25" s="19">
        <v>36876.0</v>
      </c>
      <c r="AL25" s="25">
        <f t="shared" si="8"/>
        <v>25.35890411</v>
      </c>
      <c r="AM25" s="19"/>
      <c r="AN25" s="19" t="s">
        <v>808</v>
      </c>
      <c r="AO25" s="19">
        <v>9.09021719E9</v>
      </c>
      <c r="AP25" s="75" t="s">
        <v>809</v>
      </c>
      <c r="AQ25" s="16" t="s">
        <v>110</v>
      </c>
      <c r="AR25" s="16" t="s">
        <v>326</v>
      </c>
      <c r="AS25" s="19" t="s">
        <v>810</v>
      </c>
      <c r="AT25" s="19" t="s">
        <v>811</v>
      </c>
      <c r="AU25" s="19" t="s">
        <v>812</v>
      </c>
      <c r="AV25" s="19" t="s">
        <v>813</v>
      </c>
      <c r="AW25" s="16"/>
      <c r="AX25" s="16" t="s">
        <v>814</v>
      </c>
      <c r="AY25" s="19" t="s">
        <v>213</v>
      </c>
      <c r="AZ25" s="16">
        <v>9.184910714E9</v>
      </c>
      <c r="BA25" s="86" t="s">
        <v>900</v>
      </c>
      <c r="BB25" s="86" t="s">
        <v>954</v>
      </c>
      <c r="BC25" s="148">
        <v>45488.0</v>
      </c>
      <c r="BD25" s="29"/>
    </row>
    <row r="26" ht="14.25" customHeight="1">
      <c r="A26" s="14">
        <f t="shared" si="9"/>
        <v>25</v>
      </c>
      <c r="B26" s="16" t="s">
        <v>792</v>
      </c>
      <c r="C26" s="16" t="s">
        <v>793</v>
      </c>
      <c r="D26" s="16" t="s">
        <v>794</v>
      </c>
      <c r="E26" s="17" t="s">
        <v>257</v>
      </c>
      <c r="F26" s="17"/>
      <c r="G26" s="16" t="str">
        <f>CONCATENATE(B26," ",F26,", ",C26," ",E26,".")</f>
        <v>Fernando , Princess J.</v>
      </c>
      <c r="H26" s="16" t="str">
        <f>CONCATENATE(C26," ",E26,". ",B26," ",F26)</f>
        <v>Princess J. Fernando </v>
      </c>
      <c r="I26" s="16" t="str">
        <f>CONCATENATE(B26," ",F26,", ",C26," ",D26)</f>
        <v>Fernando , Princess Juarez</v>
      </c>
      <c r="J26" s="19" t="s">
        <v>82</v>
      </c>
      <c r="K26" s="19" t="s">
        <v>335</v>
      </c>
      <c r="L26" s="19" t="s">
        <v>57</v>
      </c>
      <c r="M26" s="19" t="s">
        <v>58</v>
      </c>
      <c r="N26" s="19">
        <v>1.012623275E9</v>
      </c>
      <c r="O26" s="20">
        <v>44952.0</v>
      </c>
      <c r="P26" s="110">
        <v>44936.0</v>
      </c>
      <c r="Q26" s="110">
        <v>44951.0</v>
      </c>
      <c r="R26" s="20">
        <v>44952.0</v>
      </c>
      <c r="S26" s="20">
        <f t="shared" si="18"/>
        <v>45132</v>
      </c>
      <c r="T26" s="20">
        <f t="shared" si="4"/>
        <v>46132</v>
      </c>
      <c r="U26" s="21">
        <f t="shared" si="5"/>
        <v>3</v>
      </c>
      <c r="V26" s="19">
        <f t="shared" si="6"/>
        <v>2</v>
      </c>
      <c r="W26" s="19">
        <f t="shared" si="7"/>
        <v>25</v>
      </c>
      <c r="X26" s="74">
        <v>45132.0</v>
      </c>
      <c r="Y26" s="16"/>
      <c r="Z26" s="16"/>
      <c r="AA26" s="16"/>
      <c r="AB26" s="16"/>
      <c r="AC26" s="22">
        <f t="shared" si="19"/>
        <v>15910.83</v>
      </c>
      <c r="AD26" s="23"/>
      <c r="AE26" s="22">
        <f t="shared" si="10"/>
        <v>15910.83</v>
      </c>
      <c r="AF26" s="22">
        <f t="shared" si="20"/>
        <v>609.9998722</v>
      </c>
      <c r="AG26" s="19" t="s">
        <v>178</v>
      </c>
      <c r="AH26" s="24" t="s">
        <v>795</v>
      </c>
      <c r="AI26" s="24" t="s">
        <v>135</v>
      </c>
      <c r="AJ26" s="19" t="s">
        <v>62</v>
      </c>
      <c r="AK26" s="19">
        <v>35808.0</v>
      </c>
      <c r="AL26" s="25">
        <f t="shared" si="8"/>
        <v>28.28493151</v>
      </c>
      <c r="AM26" s="19" t="s">
        <v>796</v>
      </c>
      <c r="AN26" s="19" t="s">
        <v>797</v>
      </c>
      <c r="AO26" s="108">
        <v>9.455967065E9</v>
      </c>
      <c r="AP26" s="75" t="s">
        <v>798</v>
      </c>
      <c r="AQ26" s="16" t="s">
        <v>110</v>
      </c>
      <c r="AR26" s="16" t="s">
        <v>799</v>
      </c>
      <c r="AS26" s="19" t="s">
        <v>800</v>
      </c>
      <c r="AT26" s="19" t="s">
        <v>801</v>
      </c>
      <c r="AU26" s="19" t="s">
        <v>802</v>
      </c>
      <c r="AV26" s="19" t="s">
        <v>803</v>
      </c>
      <c r="AW26" s="16"/>
      <c r="AX26" s="16" t="s">
        <v>804</v>
      </c>
      <c r="AY26" s="19" t="s">
        <v>213</v>
      </c>
      <c r="AZ26" s="16">
        <v>9.486762993E9</v>
      </c>
      <c r="BA26" s="86" t="s">
        <v>1093</v>
      </c>
      <c r="BB26" s="86" t="s">
        <v>1175</v>
      </c>
      <c r="BC26" s="148">
        <v>45474.0</v>
      </c>
    </row>
    <row r="27" ht="14.25" customHeight="1">
      <c r="A27" s="14">
        <f t="shared" si="9"/>
        <v>26</v>
      </c>
      <c r="B27" s="15" t="s">
        <v>547</v>
      </c>
      <c r="C27" s="15" t="s">
        <v>548</v>
      </c>
      <c r="D27" s="15" t="s">
        <v>549</v>
      </c>
      <c r="E27" s="17" t="s">
        <v>308</v>
      </c>
      <c r="F27" s="17"/>
      <c r="G27" s="16" t="str">
        <f t="shared" ref="G27:G28" si="21">CONCATENATE(B27,", ",C27," ",E27,".")</f>
        <v>Batario, Roma Amor B.</v>
      </c>
      <c r="H27" s="16" t="str">
        <f t="shared" ref="H27:H28" si="22">CONCATENATE(C27," ",E27,". ",B27)</f>
        <v>Roma Amor B. Batario</v>
      </c>
      <c r="I27" s="16" t="str">
        <f t="shared" ref="I27:I28" si="23">CONCATENATE(B27,", ",C27," ",D27)</f>
        <v>Batario, Roma Amor Barco</v>
      </c>
      <c r="J27" s="19" t="s">
        <v>550</v>
      </c>
      <c r="K27" s="19" t="s">
        <v>451</v>
      </c>
      <c r="L27" s="19" t="s">
        <v>57</v>
      </c>
      <c r="M27" s="19" t="s">
        <v>58</v>
      </c>
      <c r="N27" s="19">
        <v>1.08022124E9</v>
      </c>
      <c r="O27" s="20">
        <v>44410.0</v>
      </c>
      <c r="P27" s="20"/>
      <c r="Q27" s="20"/>
      <c r="R27" s="19">
        <v>44410.0</v>
      </c>
      <c r="S27" s="19">
        <v>44593.0</v>
      </c>
      <c r="T27" s="20">
        <f t="shared" si="4"/>
        <v>46132</v>
      </c>
      <c r="U27" s="21">
        <f t="shared" si="5"/>
        <v>4</v>
      </c>
      <c r="V27" s="19">
        <f t="shared" si="6"/>
        <v>8</v>
      </c>
      <c r="W27" s="19">
        <f t="shared" si="7"/>
        <v>18</v>
      </c>
      <c r="X27" s="19">
        <v>44594.0</v>
      </c>
      <c r="Y27" s="16"/>
      <c r="Z27" s="16"/>
      <c r="AA27" s="16"/>
      <c r="AB27" s="16"/>
      <c r="AC27" s="22">
        <f>18903.94+1216.66+1064.59</f>
        <v>21185.19</v>
      </c>
      <c r="AD27" s="23"/>
      <c r="AE27" s="22">
        <f t="shared" si="10"/>
        <v>21185.19</v>
      </c>
      <c r="AF27" s="22">
        <f t="shared" ref="AF27:AF28" si="24">AE27*12/365</f>
        <v>696.4993973</v>
      </c>
      <c r="AG27" s="19" t="s">
        <v>59</v>
      </c>
      <c r="AH27" s="24"/>
      <c r="AI27" s="24" t="s">
        <v>135</v>
      </c>
      <c r="AJ27" s="19" t="s">
        <v>62</v>
      </c>
      <c r="AK27" s="19">
        <v>35863.0</v>
      </c>
      <c r="AL27" s="25">
        <f t="shared" si="8"/>
        <v>28.13424658</v>
      </c>
      <c r="AM27" s="94" t="s">
        <v>551</v>
      </c>
      <c r="AN27" s="19"/>
      <c r="AO27" s="91">
        <v>9.392110704E9</v>
      </c>
      <c r="AP27" s="92" t="s">
        <v>552</v>
      </c>
      <c r="AQ27" s="16" t="s">
        <v>110</v>
      </c>
      <c r="AR27" s="93" t="s">
        <v>526</v>
      </c>
      <c r="AS27" s="19" t="s">
        <v>553</v>
      </c>
      <c r="AT27" s="19" t="s">
        <v>554</v>
      </c>
      <c r="AU27" s="19" t="s">
        <v>555</v>
      </c>
      <c r="AV27" s="19" t="s">
        <v>556</v>
      </c>
      <c r="AW27" s="16"/>
      <c r="AX27" s="16" t="s">
        <v>557</v>
      </c>
      <c r="AY27" s="19" t="s">
        <v>213</v>
      </c>
      <c r="AZ27" s="16">
        <v>9.60690509E9</v>
      </c>
      <c r="BA27" s="86" t="s">
        <v>900</v>
      </c>
      <c r="BB27" s="86" t="s">
        <v>954</v>
      </c>
      <c r="BC27" s="148">
        <v>45509.0</v>
      </c>
    </row>
    <row r="28" ht="14.25" customHeight="1">
      <c r="A28" s="14">
        <f t="shared" si="9"/>
        <v>27</v>
      </c>
      <c r="B28" s="15" t="s">
        <v>688</v>
      </c>
      <c r="C28" s="15" t="s">
        <v>689</v>
      </c>
      <c r="D28" s="15" t="s">
        <v>690</v>
      </c>
      <c r="E28" s="17" t="s">
        <v>93</v>
      </c>
      <c r="F28" s="17"/>
      <c r="G28" s="16" t="str">
        <f t="shared" si="21"/>
        <v>Almira, Kristine Joy  T.</v>
      </c>
      <c r="H28" s="16" t="str">
        <f t="shared" si="22"/>
        <v>Kristine Joy  T. Almira</v>
      </c>
      <c r="I28" s="16" t="str">
        <f t="shared" si="23"/>
        <v>Almira, Kristine Joy  Tolentino</v>
      </c>
      <c r="J28" s="19" t="s">
        <v>691</v>
      </c>
      <c r="K28" s="19" t="s">
        <v>335</v>
      </c>
      <c r="L28" s="19" t="s">
        <v>57</v>
      </c>
      <c r="M28" s="19" t="s">
        <v>58</v>
      </c>
      <c r="N28" s="19">
        <v>1.051622214E9</v>
      </c>
      <c r="O28" s="20">
        <v>44697.0</v>
      </c>
      <c r="P28" s="20"/>
      <c r="Q28" s="20"/>
      <c r="R28" s="20"/>
      <c r="S28" s="20"/>
      <c r="T28" s="20">
        <f t="shared" si="4"/>
        <v>46132</v>
      </c>
      <c r="U28" s="21">
        <f t="shared" si="5"/>
        <v>3</v>
      </c>
      <c r="V28" s="19">
        <f t="shared" si="6"/>
        <v>11</v>
      </c>
      <c r="W28" s="19">
        <f t="shared" si="7"/>
        <v>4</v>
      </c>
      <c r="X28" s="74">
        <v>44697.0</v>
      </c>
      <c r="Y28" s="16"/>
      <c r="Z28" s="16"/>
      <c r="AA28" s="16"/>
      <c r="AB28" s="16"/>
      <c r="AC28" s="22">
        <v>19618.75</v>
      </c>
      <c r="AD28" s="23"/>
      <c r="AE28" s="22">
        <f t="shared" si="10"/>
        <v>19618.75</v>
      </c>
      <c r="AF28" s="22">
        <f t="shared" si="24"/>
        <v>645</v>
      </c>
      <c r="AG28" s="19" t="s">
        <v>59</v>
      </c>
      <c r="AH28" s="24" t="s">
        <v>692</v>
      </c>
      <c r="AI28" s="24" t="s">
        <v>135</v>
      </c>
      <c r="AJ28" s="19" t="s">
        <v>62</v>
      </c>
      <c r="AK28" s="19">
        <v>34693.0</v>
      </c>
      <c r="AL28" s="25">
        <f t="shared" si="8"/>
        <v>31.33972603</v>
      </c>
      <c r="AM28" s="19" t="s">
        <v>693</v>
      </c>
      <c r="AN28" s="19"/>
      <c r="AO28" s="71">
        <v>9.31141031E9</v>
      </c>
      <c r="AP28" s="28" t="s">
        <v>694</v>
      </c>
      <c r="AQ28" s="16" t="s">
        <v>110</v>
      </c>
      <c r="AR28" s="16" t="s">
        <v>695</v>
      </c>
      <c r="AS28" s="19" t="s">
        <v>696</v>
      </c>
      <c r="AT28" s="19" t="s">
        <v>697</v>
      </c>
      <c r="AU28" s="19" t="s">
        <v>698</v>
      </c>
      <c r="AV28" s="19" t="s">
        <v>699</v>
      </c>
      <c r="AW28" s="16"/>
      <c r="AX28" s="16" t="s">
        <v>700</v>
      </c>
      <c r="AY28" s="19" t="s">
        <v>701</v>
      </c>
      <c r="AZ28" s="16">
        <v>9.083427287E9</v>
      </c>
      <c r="BA28" s="86" t="s">
        <v>900</v>
      </c>
      <c r="BB28" s="86" t="s">
        <v>954</v>
      </c>
      <c r="BC28" s="148">
        <v>45535.0</v>
      </c>
    </row>
    <row r="29" ht="14.25" customHeight="1">
      <c r="A29" s="14">
        <f t="shared" si="9"/>
        <v>28</v>
      </c>
      <c r="B29" s="16" t="s">
        <v>1176</v>
      </c>
      <c r="C29" s="16" t="s">
        <v>1177</v>
      </c>
      <c r="D29" s="16" t="s">
        <v>1178</v>
      </c>
      <c r="E29" s="17" t="s">
        <v>379</v>
      </c>
      <c r="F29" s="17"/>
      <c r="G29" s="16" t="str">
        <f>CONCATENATE(B29," ",F29,", ",C29," ",E29,".")</f>
        <v>Daza , Amie G.</v>
      </c>
      <c r="H29" s="16" t="str">
        <f>CONCATENATE(C29," ",E29,". ",B29," ",F29)</f>
        <v>Amie G. Daza </v>
      </c>
      <c r="I29" s="16" t="str">
        <f>CONCATENATE(B29," ",F29,", ",C29," ",D29)</f>
        <v>Daza , Amie Gabriel</v>
      </c>
      <c r="J29" s="19" t="s">
        <v>82</v>
      </c>
      <c r="K29" s="19" t="s">
        <v>335</v>
      </c>
      <c r="L29" s="19" t="s">
        <v>16</v>
      </c>
      <c r="M29" s="19" t="s">
        <v>58</v>
      </c>
      <c r="N29" s="19"/>
      <c r="O29" s="20">
        <v>45453.0</v>
      </c>
      <c r="P29" s="110">
        <v>45437.0</v>
      </c>
      <c r="Q29" s="110">
        <v>45452.0</v>
      </c>
      <c r="R29" s="20">
        <v>45453.0</v>
      </c>
      <c r="S29" s="20">
        <f>EDATE(R29-1,6)</f>
        <v>45635</v>
      </c>
      <c r="T29" s="20">
        <f t="shared" si="4"/>
        <v>46132</v>
      </c>
      <c r="U29" s="21">
        <f t="shared" si="5"/>
        <v>1</v>
      </c>
      <c r="V29" s="19">
        <f t="shared" si="6"/>
        <v>10</v>
      </c>
      <c r="W29" s="19">
        <f t="shared" si="7"/>
        <v>10</v>
      </c>
      <c r="X29" s="74">
        <f>EDATE(R29,6)</f>
        <v>45636</v>
      </c>
      <c r="Y29" s="16" t="s">
        <v>82</v>
      </c>
      <c r="Z29" s="16"/>
      <c r="AA29" s="16"/>
      <c r="AB29" s="16"/>
      <c r="AC29" s="22">
        <v>16823.75</v>
      </c>
      <c r="AD29" s="23"/>
      <c r="AE29" s="22">
        <f t="shared" si="10"/>
        <v>16823.75</v>
      </c>
      <c r="AF29" s="22">
        <f>AE29*12/313</f>
        <v>645</v>
      </c>
      <c r="AG29" s="19" t="s">
        <v>178</v>
      </c>
      <c r="AH29" s="24"/>
      <c r="AI29" s="24" t="s">
        <v>135</v>
      </c>
      <c r="AJ29" s="19" t="s">
        <v>860</v>
      </c>
      <c r="AK29" s="19">
        <v>34660.0</v>
      </c>
      <c r="AL29" s="25">
        <f t="shared" si="8"/>
        <v>31.43013699</v>
      </c>
      <c r="AM29" s="109" t="s">
        <v>1179</v>
      </c>
      <c r="AN29" s="109" t="s">
        <v>1180</v>
      </c>
      <c r="AO29" s="108">
        <v>9.676270302E9</v>
      </c>
      <c r="AP29" s="75" t="s">
        <v>1181</v>
      </c>
      <c r="AQ29" s="16" t="s">
        <v>110</v>
      </c>
      <c r="AR29" s="26" t="s">
        <v>1182</v>
      </c>
      <c r="AS29" s="19" t="s">
        <v>1183</v>
      </c>
      <c r="AT29" s="19" t="s">
        <v>1184</v>
      </c>
      <c r="AU29" s="21" t="s">
        <v>1185</v>
      </c>
      <c r="AV29" s="19" t="s">
        <v>1186</v>
      </c>
      <c r="AW29" s="16"/>
      <c r="AX29" s="16" t="s">
        <v>1187</v>
      </c>
      <c r="AY29" s="19" t="s">
        <v>1188</v>
      </c>
      <c r="AZ29" s="16">
        <v>9.550298779E9</v>
      </c>
      <c r="BA29" s="86" t="s">
        <v>1189</v>
      </c>
      <c r="BB29" s="154" t="s">
        <v>1190</v>
      </c>
      <c r="BC29" s="148">
        <v>45538.0</v>
      </c>
    </row>
    <row r="30" ht="14.25" customHeight="1">
      <c r="A30" s="14">
        <f t="shared" si="9"/>
        <v>29</v>
      </c>
      <c r="B30" s="16" t="s">
        <v>847</v>
      </c>
      <c r="C30" s="16" t="s">
        <v>52</v>
      </c>
      <c r="D30" s="16" t="s">
        <v>1191</v>
      </c>
      <c r="E30" s="17" t="s">
        <v>81</v>
      </c>
      <c r="F30" s="17"/>
      <c r="G30" s="16" t="s">
        <v>1192</v>
      </c>
      <c r="H30" s="16" t="s">
        <v>1193</v>
      </c>
      <c r="I30" s="16" t="s">
        <v>1194</v>
      </c>
      <c r="J30" s="19" t="s">
        <v>1059</v>
      </c>
      <c r="K30" s="19" t="s">
        <v>177</v>
      </c>
      <c r="L30" s="19" t="s">
        <v>57</v>
      </c>
      <c r="M30" s="19" t="s">
        <v>58</v>
      </c>
      <c r="N30" s="19"/>
      <c r="O30" s="20">
        <v>45420.0</v>
      </c>
      <c r="P30" s="110">
        <v>45404.0</v>
      </c>
      <c r="Q30" s="110">
        <v>45419.0</v>
      </c>
      <c r="R30" s="20">
        <v>45420.0</v>
      </c>
      <c r="S30" s="20">
        <v>0.0</v>
      </c>
      <c r="T30" s="20">
        <v>45855.0</v>
      </c>
      <c r="U30" s="21">
        <v>1.0</v>
      </c>
      <c r="V30" s="19">
        <v>2.0</v>
      </c>
      <c r="W30" s="19">
        <v>9.0</v>
      </c>
      <c r="X30" s="74">
        <v>45604.0</v>
      </c>
      <c r="Y30" s="16" t="s">
        <v>1195</v>
      </c>
      <c r="Z30" s="16"/>
      <c r="AA30" s="16"/>
      <c r="AB30" s="16"/>
      <c r="AC30" s="22">
        <v>20000.0</v>
      </c>
      <c r="AD30" s="23"/>
      <c r="AE30" s="22">
        <v>20000.0</v>
      </c>
      <c r="AF30" s="22">
        <v>766.773162939297</v>
      </c>
      <c r="AG30" s="24" t="s">
        <v>178</v>
      </c>
      <c r="AH30" s="24"/>
      <c r="AI30" s="19" t="s">
        <v>61</v>
      </c>
      <c r="AJ30" s="19" t="s">
        <v>107</v>
      </c>
      <c r="AK30" s="19">
        <v>31720.0</v>
      </c>
      <c r="AL30" s="25">
        <v>38.7260273972603</v>
      </c>
      <c r="AM30" s="109" t="s">
        <v>849</v>
      </c>
      <c r="AN30" s="108"/>
      <c r="AO30" s="108">
        <v>9.154884776E9</v>
      </c>
      <c r="AP30" s="16" t="s">
        <v>850</v>
      </c>
      <c r="AQ30" s="26" t="s">
        <v>352</v>
      </c>
      <c r="AR30" s="26" t="s">
        <v>851</v>
      </c>
      <c r="AS30" s="19" t="s">
        <v>852</v>
      </c>
      <c r="AT30" s="21" t="s">
        <v>853</v>
      </c>
      <c r="AU30" s="19" t="s">
        <v>854</v>
      </c>
      <c r="AV30" s="19" t="s">
        <v>855</v>
      </c>
      <c r="AW30" s="16"/>
      <c r="AX30" s="16" t="s">
        <v>856</v>
      </c>
      <c r="AY30" s="19" t="s">
        <v>117</v>
      </c>
      <c r="AZ30" s="86">
        <v>9.666344776E9</v>
      </c>
      <c r="BA30" s="16" t="s">
        <v>982</v>
      </c>
      <c r="BB30" s="86" t="s">
        <v>983</v>
      </c>
      <c r="BC30" s="148">
        <v>45810.0</v>
      </c>
    </row>
    <row r="31" ht="14.25" customHeight="1">
      <c r="A31" s="14">
        <f t="shared" si="9"/>
        <v>30</v>
      </c>
      <c r="B31" s="16" t="s">
        <v>624</v>
      </c>
      <c r="C31" s="16" t="s">
        <v>625</v>
      </c>
      <c r="D31" s="16" t="s">
        <v>626</v>
      </c>
      <c r="E31" s="17" t="s">
        <v>132</v>
      </c>
      <c r="F31" s="17"/>
      <c r="G31" s="16" t="s">
        <v>1196</v>
      </c>
      <c r="H31" s="16" t="s">
        <v>1197</v>
      </c>
      <c r="I31" s="16" t="s">
        <v>1198</v>
      </c>
      <c r="J31" s="19" t="s">
        <v>133</v>
      </c>
      <c r="K31" s="19" t="s">
        <v>56</v>
      </c>
      <c r="L31" s="19" t="s">
        <v>57</v>
      </c>
      <c r="M31" s="19" t="s">
        <v>58</v>
      </c>
      <c r="N31" s="19">
        <v>1.051622025E9</v>
      </c>
      <c r="O31" s="20">
        <v>44697.0</v>
      </c>
      <c r="P31" s="110"/>
      <c r="Q31" s="110"/>
      <c r="R31" s="20"/>
      <c r="S31" s="20"/>
      <c r="T31" s="20">
        <v>45855.0</v>
      </c>
      <c r="U31" s="21">
        <v>3.0</v>
      </c>
      <c r="V31" s="19">
        <v>2.0</v>
      </c>
      <c r="W31" s="19">
        <v>1.0</v>
      </c>
      <c r="X31" s="74">
        <v>44697.0</v>
      </c>
      <c r="Y31" s="16"/>
      <c r="Z31" s="16"/>
      <c r="AA31" s="16"/>
      <c r="AB31" s="16"/>
      <c r="AC31" s="22">
        <v>21385.0</v>
      </c>
      <c r="AD31" s="23"/>
      <c r="AE31" s="22">
        <v>21385.0</v>
      </c>
      <c r="AF31" s="22">
        <v>703.068493150685</v>
      </c>
      <c r="AG31" s="24" t="s">
        <v>59</v>
      </c>
      <c r="AH31" s="19" t="s">
        <v>627</v>
      </c>
      <c r="AI31" s="19" t="s">
        <v>135</v>
      </c>
      <c r="AJ31" s="19" t="s">
        <v>107</v>
      </c>
      <c r="AK31" s="19">
        <v>31980.0</v>
      </c>
      <c r="AL31" s="25">
        <v>38.013698630137</v>
      </c>
      <c r="AM31" s="108" t="s">
        <v>628</v>
      </c>
      <c r="AN31" s="108"/>
      <c r="AO31" s="108">
        <v>9.69480078E9</v>
      </c>
      <c r="AP31" s="26" t="s">
        <v>629</v>
      </c>
      <c r="AQ31" s="26" t="s">
        <v>440</v>
      </c>
      <c r="AR31" s="26" t="s">
        <v>67</v>
      </c>
      <c r="AS31" s="21" t="s">
        <v>630</v>
      </c>
      <c r="AT31" s="19" t="s">
        <v>631</v>
      </c>
      <c r="AU31" s="19" t="s">
        <v>632</v>
      </c>
      <c r="AV31" s="19" t="s">
        <v>633</v>
      </c>
      <c r="AW31" s="16"/>
      <c r="AX31" s="16" t="s">
        <v>634</v>
      </c>
      <c r="AY31" s="133" t="s">
        <v>635</v>
      </c>
      <c r="AZ31" s="16">
        <v>9.358443913E9</v>
      </c>
      <c r="BA31" s="86" t="s">
        <v>900</v>
      </c>
      <c r="BB31" s="86" t="s">
        <v>900</v>
      </c>
      <c r="BC31" s="148" t="s">
        <v>1199</v>
      </c>
    </row>
    <row r="32" ht="15.0" customHeight="1">
      <c r="A32" s="14">
        <f t="shared" si="9"/>
        <v>31</v>
      </c>
      <c r="B32" s="65" t="s">
        <v>84</v>
      </c>
      <c r="C32" s="16" t="s">
        <v>702</v>
      </c>
      <c r="D32" s="16" t="s">
        <v>703</v>
      </c>
      <c r="E32" s="19" t="s">
        <v>217</v>
      </c>
      <c r="F32" s="17"/>
      <c r="G32" s="65" t="s">
        <v>1200</v>
      </c>
      <c r="H32" s="16" t="s">
        <v>1201</v>
      </c>
      <c r="I32" s="16" t="s">
        <v>1202</v>
      </c>
      <c r="J32" s="19" t="s">
        <v>704</v>
      </c>
      <c r="K32" s="19" t="s">
        <v>191</v>
      </c>
      <c r="L32" s="19" t="s">
        <v>57</v>
      </c>
      <c r="M32" s="19" t="s">
        <v>58</v>
      </c>
      <c r="N32" s="19">
        <v>1.051622167E9</v>
      </c>
      <c r="O32" s="20">
        <v>44697.0</v>
      </c>
      <c r="P32" s="20"/>
      <c r="Q32" s="110"/>
      <c r="R32" s="110"/>
      <c r="S32" s="20"/>
      <c r="T32" s="20">
        <v>45855.0</v>
      </c>
      <c r="U32" s="21">
        <v>3.0</v>
      </c>
      <c r="V32" s="21">
        <v>2.0</v>
      </c>
      <c r="W32" s="19">
        <v>1.0</v>
      </c>
      <c r="X32" s="74">
        <v>44697.0</v>
      </c>
      <c r="Y32" s="74"/>
      <c r="Z32" s="16"/>
      <c r="AA32" s="16"/>
      <c r="AB32" s="16"/>
      <c r="AC32" s="22">
        <v>19618.75</v>
      </c>
      <c r="AD32" s="22"/>
      <c r="AE32" s="22">
        <v>19618.75</v>
      </c>
      <c r="AF32" s="22">
        <v>752.156549520767</v>
      </c>
      <c r="AG32" s="24" t="s">
        <v>59</v>
      </c>
      <c r="AH32" s="19" t="s">
        <v>705</v>
      </c>
      <c r="AI32" s="19" t="s">
        <v>61</v>
      </c>
      <c r="AJ32" s="19" t="s">
        <v>62</v>
      </c>
      <c r="AK32" s="19">
        <v>32187.0</v>
      </c>
      <c r="AL32" s="25">
        <v>37.4465753424658</v>
      </c>
      <c r="AM32" s="108" t="s">
        <v>706</v>
      </c>
      <c r="AN32" s="108" t="s">
        <v>707</v>
      </c>
      <c r="AO32" s="108">
        <v>9.773636791E9</v>
      </c>
      <c r="AP32" s="26" t="s">
        <v>708</v>
      </c>
      <c r="AQ32" s="26" t="s">
        <v>66</v>
      </c>
      <c r="AR32" s="26" t="s">
        <v>568</v>
      </c>
      <c r="AS32" s="21" t="s">
        <v>709</v>
      </c>
      <c r="AT32" s="19" t="s">
        <v>710</v>
      </c>
      <c r="AU32" s="19" t="s">
        <v>711</v>
      </c>
      <c r="AV32" s="19" t="s">
        <v>712</v>
      </c>
      <c r="AW32" s="16"/>
      <c r="AX32" s="16" t="s">
        <v>713</v>
      </c>
      <c r="AY32" s="133" t="s">
        <v>73</v>
      </c>
      <c r="AZ32" s="16">
        <v>9.300052341E9</v>
      </c>
      <c r="BA32" s="86" t="s">
        <v>900</v>
      </c>
      <c r="BB32" s="86" t="s">
        <v>900</v>
      </c>
      <c r="BC32" s="148">
        <v>45812.0</v>
      </c>
    </row>
    <row r="33" ht="15.0" customHeight="1">
      <c r="A33" s="14">
        <f t="shared" si="9"/>
        <v>32</v>
      </c>
      <c r="B33" s="65" t="s">
        <v>824</v>
      </c>
      <c r="C33" s="16" t="s">
        <v>825</v>
      </c>
      <c r="D33" s="16" t="s">
        <v>826</v>
      </c>
      <c r="E33" s="19" t="s">
        <v>87</v>
      </c>
      <c r="F33" s="17"/>
      <c r="G33" s="65" t="s">
        <v>1203</v>
      </c>
      <c r="H33" s="16" t="s">
        <v>1204</v>
      </c>
      <c r="I33" s="16" t="s">
        <v>1205</v>
      </c>
      <c r="J33" s="19" t="s">
        <v>550</v>
      </c>
      <c r="K33" s="19" t="s">
        <v>451</v>
      </c>
      <c r="L33" s="19" t="s">
        <v>57</v>
      </c>
      <c r="M33" s="19" t="s">
        <v>58</v>
      </c>
      <c r="N33" s="19">
        <v>1.102523284E9</v>
      </c>
      <c r="O33" s="20">
        <v>45224.0</v>
      </c>
      <c r="P33" s="20"/>
      <c r="Q33" s="110"/>
      <c r="R33" s="110">
        <v>45224.0</v>
      </c>
      <c r="S33" s="20">
        <v>45406.0</v>
      </c>
      <c r="T33" s="20">
        <v>45855.0</v>
      </c>
      <c r="U33" s="21">
        <v>1.0</v>
      </c>
      <c r="V33" s="21">
        <v>8.0</v>
      </c>
      <c r="W33" s="19">
        <v>22.0</v>
      </c>
      <c r="X33" s="74">
        <v>45407.0</v>
      </c>
      <c r="Y33" s="74"/>
      <c r="Z33" s="16"/>
      <c r="AA33" s="16"/>
      <c r="AB33" s="16"/>
      <c r="AC33" s="22">
        <v>20800.0</v>
      </c>
      <c r="AD33" s="22"/>
      <c r="AE33" s="22">
        <v>20800.0</v>
      </c>
      <c r="AF33" s="22">
        <v>683.835616438356</v>
      </c>
      <c r="AG33" s="19" t="s">
        <v>59</v>
      </c>
      <c r="AH33" s="19"/>
      <c r="AI33" s="19" t="s">
        <v>135</v>
      </c>
      <c r="AJ33" s="25" t="s">
        <v>62</v>
      </c>
      <c r="AK33" s="19">
        <v>36772.0</v>
      </c>
      <c r="AL33" s="25">
        <v>24.8849315068493</v>
      </c>
      <c r="AM33" s="108" t="s">
        <v>1206</v>
      </c>
      <c r="AN33" s="108" t="s">
        <v>828</v>
      </c>
      <c r="AO33" s="108">
        <v>9.357350019E9</v>
      </c>
      <c r="AP33" s="26" t="s">
        <v>829</v>
      </c>
      <c r="AQ33" s="26" t="s">
        <v>110</v>
      </c>
      <c r="AR33" s="155" t="s">
        <v>526</v>
      </c>
      <c r="AS33" s="19" t="s">
        <v>830</v>
      </c>
      <c r="AT33" s="19" t="s">
        <v>831</v>
      </c>
      <c r="AU33" s="16" t="s">
        <v>832</v>
      </c>
      <c r="AV33" s="19" t="s">
        <v>833</v>
      </c>
      <c r="AW33" s="16"/>
      <c r="AX33" s="86" t="s">
        <v>834</v>
      </c>
      <c r="AY33" s="19" t="s">
        <v>213</v>
      </c>
      <c r="AZ33" s="86">
        <v>9.056716791E9</v>
      </c>
      <c r="BA33" s="86" t="s">
        <v>900</v>
      </c>
      <c r="BB33" s="86" t="s">
        <v>900</v>
      </c>
      <c r="BC33" s="148">
        <v>45693.0</v>
      </c>
    </row>
    <row r="34" ht="15.0" customHeight="1">
      <c r="A34" s="14">
        <f t="shared" si="9"/>
        <v>33</v>
      </c>
      <c r="B34" s="65" t="s">
        <v>519</v>
      </c>
      <c r="C34" s="16" t="s">
        <v>520</v>
      </c>
      <c r="D34" s="16" t="s">
        <v>521</v>
      </c>
      <c r="E34" s="19" t="s">
        <v>394</v>
      </c>
      <c r="F34" s="17"/>
      <c r="G34" s="65" t="s">
        <v>1207</v>
      </c>
      <c r="H34" s="16" t="s">
        <v>1208</v>
      </c>
      <c r="I34" s="16" t="s">
        <v>1209</v>
      </c>
      <c r="J34" s="19" t="s">
        <v>522</v>
      </c>
      <c r="K34" s="19" t="s">
        <v>451</v>
      </c>
      <c r="L34" s="19" t="s">
        <v>57</v>
      </c>
      <c r="M34" s="19" t="s">
        <v>58</v>
      </c>
      <c r="N34" s="19">
        <v>1.070218203E9</v>
      </c>
      <c r="O34" s="20">
        <v>43283.0</v>
      </c>
      <c r="P34" s="20"/>
      <c r="Q34" s="110"/>
      <c r="R34" s="110">
        <v>43283.0</v>
      </c>
      <c r="S34" s="20">
        <v>43466.0</v>
      </c>
      <c r="T34" s="20">
        <v>45855.0</v>
      </c>
      <c r="U34" s="21">
        <v>7.0</v>
      </c>
      <c r="V34" s="21">
        <v>0.0</v>
      </c>
      <c r="W34" s="19">
        <v>15.0</v>
      </c>
      <c r="X34" s="74">
        <v>43467.0</v>
      </c>
      <c r="Y34" s="74"/>
      <c r="Z34" s="16"/>
      <c r="AA34" s="16"/>
      <c r="AB34" s="16"/>
      <c r="AC34" s="22">
        <v>26285.0</v>
      </c>
      <c r="AD34" s="22"/>
      <c r="AE34" s="22">
        <v>26285.0</v>
      </c>
      <c r="AF34" s="22">
        <v>864.164383561644</v>
      </c>
      <c r="AG34" s="19" t="s">
        <v>59</v>
      </c>
      <c r="AH34" s="19" t="s">
        <v>523</v>
      </c>
      <c r="AI34" s="25" t="s">
        <v>61</v>
      </c>
      <c r="AJ34" s="109" t="s">
        <v>62</v>
      </c>
      <c r="AK34" s="19">
        <v>33886.0</v>
      </c>
      <c r="AL34" s="25">
        <v>32.7917808219178</v>
      </c>
      <c r="AM34" s="108" t="s">
        <v>524</v>
      </c>
      <c r="AN34" s="108"/>
      <c r="AO34" s="19">
        <v>9.671353061E9</v>
      </c>
      <c r="AP34" s="26" t="s">
        <v>525</v>
      </c>
      <c r="AQ34" s="155" t="s">
        <v>110</v>
      </c>
      <c r="AR34" s="26" t="s">
        <v>526</v>
      </c>
      <c r="AS34" s="19" t="s">
        <v>527</v>
      </c>
      <c r="AT34" s="16" t="s">
        <v>528</v>
      </c>
      <c r="AU34" s="19" t="s">
        <v>529</v>
      </c>
      <c r="AV34" s="19" t="s">
        <v>530</v>
      </c>
      <c r="AW34" s="86"/>
      <c r="AX34" s="16" t="s">
        <v>531</v>
      </c>
      <c r="AY34" s="133" t="s">
        <v>318</v>
      </c>
      <c r="AZ34" s="86">
        <v>9.353369764E9</v>
      </c>
      <c r="BA34" s="86" t="s">
        <v>900</v>
      </c>
      <c r="BB34" s="86" t="s">
        <v>900</v>
      </c>
      <c r="BC34" s="148" t="s">
        <v>1210</v>
      </c>
    </row>
    <row r="35" ht="14.25" customHeight="1">
      <c r="A35" s="14">
        <f t="shared" si="9"/>
        <v>34</v>
      </c>
      <c r="B35" s="16" t="s">
        <v>857</v>
      </c>
      <c r="C35" s="16" t="s">
        <v>858</v>
      </c>
      <c r="D35" s="16" t="s">
        <v>859</v>
      </c>
      <c r="E35" s="17" t="s">
        <v>217</v>
      </c>
      <c r="F35" s="17"/>
      <c r="G35" s="16" t="str">
        <f t="shared" ref="G35:G36" si="25">CONCATENATE(B35," ",F35,", ",C35," ",E35,".")</f>
        <v>More , Shaira M.</v>
      </c>
      <c r="H35" s="16" t="str">
        <f t="shared" ref="H35:H36" si="26">CONCATENATE(C35," ",E35,". ",B35," ",F35)</f>
        <v>Shaira M. More </v>
      </c>
      <c r="I35" s="16" t="str">
        <f t="shared" ref="I35:I36" si="27">CONCATENATE(B35," ",F35,", ",C35," ",D35)</f>
        <v>More , Shaira Mahinay</v>
      </c>
      <c r="J35" s="19" t="s">
        <v>82</v>
      </c>
      <c r="K35" s="19" t="s">
        <v>335</v>
      </c>
      <c r="L35" s="19" t="s">
        <v>57</v>
      </c>
      <c r="M35" s="19" t="s">
        <v>58</v>
      </c>
      <c r="N35" s="19">
        <v>1.05262467E8</v>
      </c>
      <c r="O35" s="20">
        <v>45438.0</v>
      </c>
      <c r="P35" s="110">
        <v>45422.0</v>
      </c>
      <c r="Q35" s="110">
        <v>45437.0</v>
      </c>
      <c r="R35" s="20">
        <v>45438.0</v>
      </c>
      <c r="S35" s="20">
        <f>EDATE(R35-1,6)</f>
        <v>45621</v>
      </c>
      <c r="T35" s="20">
        <f t="shared" ref="T35:T41" si="28">TODAY()</f>
        <v>46132</v>
      </c>
      <c r="U35" s="21">
        <f t="shared" ref="U35:U41" si="29">DATEDIF(O35,T35,"y")</f>
        <v>1</v>
      </c>
      <c r="V35" s="19">
        <f t="shared" ref="V35:V41" si="30">DATEDIF(O35,T35,"ym")</f>
        <v>10</v>
      </c>
      <c r="W35" s="19">
        <f t="shared" ref="W35:W41" si="31">DATEDIF(O35,T35,"MD")</f>
        <v>25</v>
      </c>
      <c r="X35" s="74">
        <f t="shared" ref="X35:X36" si="32">EDATE(R35,6)</f>
        <v>45622</v>
      </c>
      <c r="Y35" s="16" t="s">
        <v>82</v>
      </c>
      <c r="Z35" s="16"/>
      <c r="AA35" s="16"/>
      <c r="AB35" s="16"/>
      <c r="AC35" s="22">
        <f>16823.75+1304.18</f>
        <v>18127.93</v>
      </c>
      <c r="AD35" s="23"/>
      <c r="AE35" s="22">
        <f t="shared" ref="AE35:AE39" si="33">SUM(AC35:AD35)</f>
        <v>18127.93</v>
      </c>
      <c r="AF35" s="22">
        <f>AE35*12/313</f>
        <v>695.0005112</v>
      </c>
      <c r="AG35" s="19" t="s">
        <v>178</v>
      </c>
      <c r="AH35" s="24"/>
      <c r="AI35" s="24" t="s">
        <v>135</v>
      </c>
      <c r="AJ35" s="19" t="s">
        <v>860</v>
      </c>
      <c r="AK35" s="20">
        <v>35483.0</v>
      </c>
      <c r="AL35" s="25">
        <f t="shared" ref="AL35:AL41" si="34">((TODAY()-AK35)/365)</f>
        <v>29.17534247</v>
      </c>
      <c r="AM35" s="142" t="s">
        <v>1211</v>
      </c>
      <c r="AN35" s="142" t="s">
        <v>861</v>
      </c>
      <c r="AO35" s="108">
        <v>9.269384006E9</v>
      </c>
      <c r="AP35" s="75" t="s">
        <v>862</v>
      </c>
      <c r="AQ35" s="26" t="s">
        <v>863</v>
      </c>
      <c r="AR35" s="26" t="s">
        <v>863</v>
      </c>
      <c r="AS35" s="19" t="s">
        <v>864</v>
      </c>
      <c r="AT35" s="115" t="s">
        <v>865</v>
      </c>
      <c r="AU35" s="19" t="s">
        <v>866</v>
      </c>
      <c r="AV35" s="19" t="s">
        <v>867</v>
      </c>
      <c r="AW35" s="16"/>
      <c r="AX35" s="16" t="s">
        <v>868</v>
      </c>
      <c r="AY35" s="19" t="s">
        <v>213</v>
      </c>
      <c r="AZ35" s="16"/>
      <c r="BA35" s="86" t="s">
        <v>870</v>
      </c>
      <c r="BB35" s="86" t="s">
        <v>1212</v>
      </c>
      <c r="BC35" s="148" t="s">
        <v>1213</v>
      </c>
      <c r="BD35" s="29"/>
    </row>
    <row r="36" ht="14.25" customHeight="1">
      <c r="A36" s="14">
        <f t="shared" si="9"/>
        <v>35</v>
      </c>
      <c r="B36" s="16" t="s">
        <v>1214</v>
      </c>
      <c r="C36" s="16" t="s">
        <v>1215</v>
      </c>
      <c r="D36" s="16" t="s">
        <v>1216</v>
      </c>
      <c r="E36" s="17" t="s">
        <v>379</v>
      </c>
      <c r="F36" s="17"/>
      <c r="G36" s="16" t="str">
        <f t="shared" si="25"/>
        <v>Regalado , Roderick G.</v>
      </c>
      <c r="H36" s="16" t="str">
        <f t="shared" si="26"/>
        <v>Roderick G. Regalado </v>
      </c>
      <c r="I36" s="16" t="str">
        <f t="shared" si="27"/>
        <v>Regalado , Roderick Gaite</v>
      </c>
      <c r="J36" s="19" t="s">
        <v>1059</v>
      </c>
      <c r="K36" s="19" t="s">
        <v>177</v>
      </c>
      <c r="L36" s="19" t="s">
        <v>16</v>
      </c>
      <c r="M36" s="19" t="s">
        <v>58</v>
      </c>
      <c r="N36" s="19">
        <v>1.050825316E9</v>
      </c>
      <c r="O36" s="20">
        <v>45420.0</v>
      </c>
      <c r="P36" s="20" t="s">
        <v>1217</v>
      </c>
      <c r="Q36" s="110">
        <v>45784.0</v>
      </c>
      <c r="R36" s="17">
        <v>45874.0</v>
      </c>
      <c r="S36" s="17">
        <v>45849.0</v>
      </c>
      <c r="T36" s="20">
        <f t="shared" si="28"/>
        <v>46132</v>
      </c>
      <c r="U36" s="21">
        <f t="shared" si="29"/>
        <v>1</v>
      </c>
      <c r="V36" s="19">
        <f t="shared" si="30"/>
        <v>11</v>
      </c>
      <c r="W36" s="19">
        <f t="shared" si="31"/>
        <v>12</v>
      </c>
      <c r="X36" s="74">
        <f t="shared" si="32"/>
        <v>46058</v>
      </c>
      <c r="Y36" s="16" t="s">
        <v>1195</v>
      </c>
      <c r="Z36" s="16"/>
      <c r="AA36" s="16"/>
      <c r="AB36" s="16"/>
      <c r="AC36" s="22">
        <f>19618.75+1520.84</f>
        <v>21139.59</v>
      </c>
      <c r="AD36" s="19"/>
      <c r="AE36" s="22">
        <f t="shared" si="33"/>
        <v>21139.59</v>
      </c>
      <c r="AF36" s="22">
        <f>AE36*12/365</f>
        <v>695.0002192</v>
      </c>
      <c r="AG36" s="19" t="s">
        <v>59</v>
      </c>
      <c r="AH36" s="24"/>
      <c r="AI36" s="24" t="s">
        <v>61</v>
      </c>
      <c r="AJ36" s="19" t="s">
        <v>62</v>
      </c>
      <c r="AK36" s="19">
        <v>29559.0</v>
      </c>
      <c r="AL36" s="25">
        <f t="shared" si="34"/>
        <v>45.40547945</v>
      </c>
      <c r="AM36" s="142" t="s">
        <v>1218</v>
      </c>
      <c r="AN36" s="142"/>
      <c r="AO36" s="108">
        <v>9.203644862E9</v>
      </c>
      <c r="AP36" s="75" t="s">
        <v>1219</v>
      </c>
      <c r="AQ36" s="16" t="s">
        <v>223</v>
      </c>
      <c r="AR36" s="16"/>
      <c r="AS36" s="19" t="s">
        <v>1220</v>
      </c>
      <c r="AT36" s="19" t="s">
        <v>1221</v>
      </c>
      <c r="AU36" s="21" t="s">
        <v>1222</v>
      </c>
      <c r="AV36" s="19" t="s">
        <v>1223</v>
      </c>
      <c r="AW36" s="16"/>
      <c r="AX36" s="16"/>
      <c r="AY36" s="16"/>
      <c r="AZ36" s="16"/>
      <c r="BA36" s="86"/>
      <c r="BB36" s="86"/>
      <c r="BC36" s="148" t="s">
        <v>1224</v>
      </c>
      <c r="BD36" s="29"/>
    </row>
    <row r="37" ht="14.25" customHeight="1">
      <c r="A37" s="14">
        <f t="shared" si="9"/>
        <v>36</v>
      </c>
      <c r="B37" s="15" t="s">
        <v>714</v>
      </c>
      <c r="C37" s="16" t="s">
        <v>715</v>
      </c>
      <c r="D37" s="16" t="s">
        <v>716</v>
      </c>
      <c r="E37" s="19" t="s">
        <v>132</v>
      </c>
      <c r="F37" s="19"/>
      <c r="G37" s="16" t="str">
        <f>CONCATENATE(B37,", ",C37," ",E37,".")</f>
        <v>Calantoc, Lymar King C.</v>
      </c>
      <c r="H37" s="16" t="str">
        <f>CONCATENATE(C37," ",E37,". ",B37)</f>
        <v>Lymar King C. Calantoc</v>
      </c>
      <c r="I37" s="16" t="str">
        <f>CONCATENATE(B37,", ",C37," ",D37)</f>
        <v>Calantoc, Lymar King Cariaga</v>
      </c>
      <c r="J37" s="19" t="s">
        <v>1225</v>
      </c>
      <c r="K37" s="19" t="s">
        <v>652</v>
      </c>
      <c r="L37" s="19" t="s">
        <v>57</v>
      </c>
      <c r="M37" s="19" t="s">
        <v>1226</v>
      </c>
      <c r="N37" s="19">
        <v>1.062622254E9</v>
      </c>
      <c r="O37" s="19">
        <v>44738.0</v>
      </c>
      <c r="P37" s="19">
        <v>44722.0</v>
      </c>
      <c r="Q37" s="19">
        <v>44737.0</v>
      </c>
      <c r="R37" s="19">
        <v>44738.0</v>
      </c>
      <c r="S37" s="20">
        <f>EDATE(R37-1,6)</f>
        <v>44920</v>
      </c>
      <c r="T37" s="61">
        <f t="shared" si="28"/>
        <v>46132</v>
      </c>
      <c r="U37" s="21">
        <f t="shared" si="29"/>
        <v>3</v>
      </c>
      <c r="V37" s="19">
        <f t="shared" si="30"/>
        <v>9</v>
      </c>
      <c r="W37" s="19">
        <f t="shared" si="31"/>
        <v>25</v>
      </c>
      <c r="X37" s="19">
        <v>44920.0</v>
      </c>
      <c r="Y37" s="16" t="s">
        <v>82</v>
      </c>
      <c r="Z37" s="19" t="s">
        <v>718</v>
      </c>
      <c r="AA37" s="19" t="s">
        <v>719</v>
      </c>
      <c r="AB37" s="26" t="s">
        <v>720</v>
      </c>
      <c r="AC37" s="22">
        <f t="shared" ref="AC37:AC38" si="35">16823.75+1304.18</f>
        <v>18127.93</v>
      </c>
      <c r="AD37" s="19"/>
      <c r="AE37" s="22">
        <f t="shared" si="33"/>
        <v>18127.93</v>
      </c>
      <c r="AF37" s="62">
        <f>AE37*12/313</f>
        <v>695.0005112</v>
      </c>
      <c r="AG37" s="19" t="s">
        <v>178</v>
      </c>
      <c r="AH37" s="19" t="s">
        <v>178</v>
      </c>
      <c r="AI37" s="19" t="s">
        <v>61</v>
      </c>
      <c r="AJ37" s="19" t="s">
        <v>62</v>
      </c>
      <c r="AK37" s="20">
        <v>34607.0</v>
      </c>
      <c r="AL37" s="25">
        <f t="shared" si="34"/>
        <v>31.57534247</v>
      </c>
      <c r="AM37" s="26" t="s">
        <v>722</v>
      </c>
      <c r="AN37" s="26"/>
      <c r="AO37" s="71">
        <v>9.702825778E9</v>
      </c>
      <c r="AP37" s="67" t="s">
        <v>724</v>
      </c>
      <c r="AQ37" s="16" t="s">
        <v>110</v>
      </c>
      <c r="AR37" s="16" t="s">
        <v>139</v>
      </c>
      <c r="AS37" s="64" t="s">
        <v>725</v>
      </c>
      <c r="AT37" s="64" t="s">
        <v>726</v>
      </c>
      <c r="AU37" s="66" t="s">
        <v>727</v>
      </c>
      <c r="AV37" s="64" t="s">
        <v>728</v>
      </c>
      <c r="AW37" s="16"/>
      <c r="AX37" s="16" t="s">
        <v>729</v>
      </c>
      <c r="AY37" s="26" t="s">
        <v>213</v>
      </c>
      <c r="AZ37" s="107">
        <v>9.094466036E9</v>
      </c>
      <c r="BA37" s="16"/>
      <c r="BB37" s="86" t="s">
        <v>1227</v>
      </c>
      <c r="BC37" s="148" t="s">
        <v>1228</v>
      </c>
      <c r="BD37" s="29"/>
    </row>
    <row r="38" ht="14.25" customHeight="1">
      <c r="A38" s="14">
        <f t="shared" si="9"/>
        <v>37</v>
      </c>
      <c r="B38" s="16" t="s">
        <v>1229</v>
      </c>
      <c r="C38" s="16" t="s">
        <v>1230</v>
      </c>
      <c r="D38" s="16" t="s">
        <v>1231</v>
      </c>
      <c r="E38" s="17" t="s">
        <v>54</v>
      </c>
      <c r="F38" s="17"/>
      <c r="G38" s="16" t="str">
        <f>CONCATENATE(B38," ",F38,", ",C38," ",E38,".")</f>
        <v>Bayon-on , Ma. Rechelle D.</v>
      </c>
      <c r="H38" s="16" t="str">
        <f>CONCATENATE(C38," ",E38,". ",B38," ",F38)</f>
        <v>Ma. Rechelle D. Bayon-on </v>
      </c>
      <c r="I38" s="16" t="str">
        <f>CONCATENATE(B38," ",F38,", ",C38," ",D38)</f>
        <v>Bayon-on , Ma. Rechelle Dejac</v>
      </c>
      <c r="J38" s="19" t="s">
        <v>133</v>
      </c>
      <c r="K38" s="19" t="s">
        <v>104</v>
      </c>
      <c r="L38" s="19" t="s">
        <v>16</v>
      </c>
      <c r="M38" s="19" t="s">
        <v>58</v>
      </c>
      <c r="N38" s="19">
        <v>1.052325318E9</v>
      </c>
      <c r="O38" s="20">
        <v>45800.0</v>
      </c>
      <c r="P38" s="20">
        <v>45843.0</v>
      </c>
      <c r="Q38" s="156" t="s">
        <v>1232</v>
      </c>
      <c r="R38" s="17">
        <v>45800.0</v>
      </c>
      <c r="S38" s="17" t="s">
        <v>1233</v>
      </c>
      <c r="T38" s="20">
        <f t="shared" si="28"/>
        <v>46132</v>
      </c>
      <c r="U38" s="21">
        <f t="shared" si="29"/>
        <v>0</v>
      </c>
      <c r="V38" s="19">
        <f t="shared" si="30"/>
        <v>10</v>
      </c>
      <c r="W38" s="19">
        <f t="shared" si="31"/>
        <v>28</v>
      </c>
      <c r="X38" s="74">
        <f>EDATE(R38,6)</f>
        <v>45984</v>
      </c>
      <c r="Y38" s="16" t="s">
        <v>133</v>
      </c>
      <c r="Z38" s="16"/>
      <c r="AA38" s="16"/>
      <c r="AB38" s="16"/>
      <c r="AC38" s="22">
        <f t="shared" si="35"/>
        <v>18127.93</v>
      </c>
      <c r="AD38" s="19"/>
      <c r="AE38" s="22">
        <f t="shared" si="33"/>
        <v>18127.93</v>
      </c>
      <c r="AF38" s="22">
        <f t="shared" ref="AF38:AF39" si="36">AE38*12/365</f>
        <v>595.9867397</v>
      </c>
      <c r="AG38" s="19" t="s">
        <v>178</v>
      </c>
      <c r="AH38" s="19" t="s">
        <v>178</v>
      </c>
      <c r="AI38" s="24" t="s">
        <v>135</v>
      </c>
      <c r="AJ38" s="19" t="s">
        <v>62</v>
      </c>
      <c r="AK38" s="19">
        <v>34698.0</v>
      </c>
      <c r="AL38" s="25">
        <f t="shared" si="34"/>
        <v>31.3260274</v>
      </c>
      <c r="AM38" s="142" t="s">
        <v>1234</v>
      </c>
      <c r="AN38" s="142"/>
      <c r="AO38" s="108">
        <v>9.162471548E9</v>
      </c>
      <c r="AP38" s="75" t="s">
        <v>1235</v>
      </c>
      <c r="AQ38" s="16" t="s">
        <v>110</v>
      </c>
      <c r="AR38" s="26" t="s">
        <v>139</v>
      </c>
      <c r="AS38" s="19" t="s">
        <v>1236</v>
      </c>
      <c r="AT38" s="19" t="s">
        <v>1237</v>
      </c>
      <c r="AU38" s="21" t="s">
        <v>1238</v>
      </c>
      <c r="AV38" s="19" t="s">
        <v>1239</v>
      </c>
      <c r="AW38" s="16"/>
      <c r="AX38" s="16" t="s">
        <v>1240</v>
      </c>
      <c r="AY38" s="16" t="s">
        <v>73</v>
      </c>
      <c r="AZ38" s="16">
        <v>9.628258169E9</v>
      </c>
      <c r="BA38" s="86"/>
      <c r="BB38" s="154" t="s">
        <v>1241</v>
      </c>
      <c r="BC38" s="148" t="s">
        <v>1242</v>
      </c>
      <c r="BD38" s="29"/>
    </row>
    <row r="39" ht="14.25" customHeight="1">
      <c r="A39" s="14">
        <f t="shared" si="9"/>
        <v>38</v>
      </c>
      <c r="B39" s="15" t="s">
        <v>649</v>
      </c>
      <c r="C39" s="16" t="s">
        <v>650</v>
      </c>
      <c r="D39" s="16" t="s">
        <v>359</v>
      </c>
      <c r="E39" s="17" t="s">
        <v>54</v>
      </c>
      <c r="F39" s="17"/>
      <c r="G39" s="16" t="str">
        <f>CONCATENATE(B39,", ",C39," ",E39,".")</f>
        <v>Taupo, Luis Leonard  D.</v>
      </c>
      <c r="H39" s="16" t="str">
        <f>CONCATENATE(C39," ",E39,". ",B39)</f>
        <v>Luis Leonard  D. Taupo</v>
      </c>
      <c r="I39" s="16" t="str">
        <f>CONCATENATE(B39,", ",C39," ",D39)</f>
        <v>Taupo, Luis Leonard  Dela Peña</v>
      </c>
      <c r="J39" s="19" t="s">
        <v>1225</v>
      </c>
      <c r="K39" s="19" t="s">
        <v>652</v>
      </c>
      <c r="L39" s="19" t="s">
        <v>57</v>
      </c>
      <c r="M39" s="19" t="s">
        <v>58</v>
      </c>
      <c r="N39" s="19">
        <v>1.051622363E9</v>
      </c>
      <c r="O39" s="20">
        <v>44697.0</v>
      </c>
      <c r="P39" s="20"/>
      <c r="Q39" s="20"/>
      <c r="R39" s="20"/>
      <c r="S39" s="20"/>
      <c r="T39" s="20">
        <f t="shared" si="28"/>
        <v>46132</v>
      </c>
      <c r="U39" s="21">
        <f t="shared" si="29"/>
        <v>3</v>
      </c>
      <c r="V39" s="19">
        <f t="shared" si="30"/>
        <v>11</v>
      </c>
      <c r="W39" s="19">
        <f t="shared" si="31"/>
        <v>4</v>
      </c>
      <c r="X39" s="74">
        <v>44697.0</v>
      </c>
      <c r="Y39" s="16" t="s">
        <v>82</v>
      </c>
      <c r="Z39" s="16" t="s">
        <v>653</v>
      </c>
      <c r="AA39" s="16" t="s">
        <v>563</v>
      </c>
      <c r="AB39" s="16" t="s">
        <v>654</v>
      </c>
      <c r="AC39" s="22">
        <f>19618.75+1520.84</f>
        <v>21139.59</v>
      </c>
      <c r="AD39" s="23"/>
      <c r="AE39" s="22">
        <f t="shared" si="33"/>
        <v>21139.59</v>
      </c>
      <c r="AF39" s="22">
        <f t="shared" si="36"/>
        <v>695.0002192</v>
      </c>
      <c r="AG39" s="19" t="s">
        <v>59</v>
      </c>
      <c r="AH39" s="24" t="s">
        <v>655</v>
      </c>
      <c r="AI39" s="24" t="s">
        <v>61</v>
      </c>
      <c r="AJ39" s="19" t="s">
        <v>62</v>
      </c>
      <c r="AK39" s="20">
        <v>34873.0</v>
      </c>
      <c r="AL39" s="25">
        <f t="shared" si="34"/>
        <v>30.84657534</v>
      </c>
      <c r="AM39" s="26" t="s">
        <v>656</v>
      </c>
      <c r="AN39" s="26"/>
      <c r="AO39" s="71">
        <v>9.16545539E9</v>
      </c>
      <c r="AP39" s="89" t="s">
        <v>657</v>
      </c>
      <c r="AQ39" s="16" t="s">
        <v>512</v>
      </c>
      <c r="AR39" s="103" t="s">
        <v>658</v>
      </c>
      <c r="AS39" s="19" t="s">
        <v>659</v>
      </c>
      <c r="AT39" s="19" t="s">
        <v>660</v>
      </c>
      <c r="AU39" s="19" t="s">
        <v>661</v>
      </c>
      <c r="AV39" s="19" t="s">
        <v>662</v>
      </c>
      <c r="AW39" s="16"/>
      <c r="AX39" s="16" t="s">
        <v>663</v>
      </c>
      <c r="AY39" s="16" t="s">
        <v>213</v>
      </c>
      <c r="AZ39" s="16">
        <v>9.054216274E9</v>
      </c>
      <c r="BA39" s="86"/>
      <c r="BB39" s="86"/>
      <c r="BC39" s="148" t="s">
        <v>1243</v>
      </c>
      <c r="BD39" s="29"/>
    </row>
    <row r="40" ht="14.25" customHeight="1">
      <c r="A40" s="14">
        <f t="shared" si="9"/>
        <v>39</v>
      </c>
      <c r="B40" s="15" t="s">
        <v>1244</v>
      </c>
      <c r="C40" s="16" t="s">
        <v>1245</v>
      </c>
      <c r="D40" s="16" t="s">
        <v>1246</v>
      </c>
      <c r="E40" s="17" t="s">
        <v>308</v>
      </c>
      <c r="F40" s="17"/>
      <c r="G40" s="16" t="str">
        <f t="shared" ref="G40:G41" si="37">CONCATENATE(B40," ",F40,", ",C40," ",E40,".")</f>
        <v>Rosales , Romilyn B.</v>
      </c>
      <c r="H40" s="16" t="str">
        <f t="shared" ref="H40:H41" si="38">CONCATENATE(C40," ",E40,". ",B40," ",F40)</f>
        <v>Romilyn B. Rosales </v>
      </c>
      <c r="I40" s="16" t="str">
        <f t="shared" ref="I40:I41" si="39">CONCATENATE(B40," ",F40,", ",C40," ",D40)</f>
        <v>Rosales , Romilyn Benosa</v>
      </c>
      <c r="J40" s="19" t="s">
        <v>82</v>
      </c>
      <c r="K40" s="19" t="s">
        <v>335</v>
      </c>
      <c r="L40" s="19" t="s">
        <v>57</v>
      </c>
      <c r="M40" s="19" t="s">
        <v>58</v>
      </c>
      <c r="N40" s="19">
        <v>1.122524308E9</v>
      </c>
      <c r="O40" s="20">
        <v>45651.0</v>
      </c>
      <c r="P40" s="110">
        <v>45635.0</v>
      </c>
      <c r="Q40" s="110">
        <v>45650.0</v>
      </c>
      <c r="R40" s="19">
        <v>45651.0</v>
      </c>
      <c r="S40" s="77">
        <f>EDATE(R40-1,6)</f>
        <v>45832</v>
      </c>
      <c r="T40" s="20">
        <f t="shared" si="28"/>
        <v>46132</v>
      </c>
      <c r="U40" s="21">
        <f t="shared" si="29"/>
        <v>1</v>
      </c>
      <c r="V40" s="19">
        <f t="shared" si="30"/>
        <v>3</v>
      </c>
      <c r="W40" s="19">
        <f t="shared" si="31"/>
        <v>26</v>
      </c>
      <c r="X40" s="74">
        <f t="shared" ref="X40:X41" si="40">EDATE(R40,6)</f>
        <v>45833</v>
      </c>
      <c r="Y40" s="16" t="s">
        <v>82</v>
      </c>
      <c r="Z40" s="16"/>
      <c r="AA40" s="16"/>
      <c r="AB40" s="16"/>
      <c r="AC40" s="16"/>
      <c r="AD40" s="22">
        <f>16823.75+1304.18</f>
        <v>18127.93</v>
      </c>
      <c r="AE40" s="23"/>
      <c r="AF40" s="22">
        <f t="shared" ref="AF40:AF41" si="41">SUM(AD40:AE40)</f>
        <v>18127.93</v>
      </c>
      <c r="AG40" s="22">
        <f t="shared" ref="AG40:AG41" si="42">AF40*12/313</f>
        <v>695.0005112</v>
      </c>
      <c r="AH40" s="19" t="s">
        <v>178</v>
      </c>
      <c r="AI40" s="24" t="s">
        <v>135</v>
      </c>
      <c r="AJ40" s="19" t="s">
        <v>62</v>
      </c>
      <c r="AK40" s="20">
        <v>37125.0</v>
      </c>
      <c r="AL40" s="25">
        <f t="shared" si="34"/>
        <v>24.67671233</v>
      </c>
      <c r="AM40" s="142" t="s">
        <v>1247</v>
      </c>
      <c r="AN40" s="142" t="s">
        <v>1248</v>
      </c>
      <c r="AO40" s="108">
        <v>9.452383574E9</v>
      </c>
      <c r="AP40" s="75" t="s">
        <v>1249</v>
      </c>
      <c r="AQ40" s="16" t="s">
        <v>512</v>
      </c>
      <c r="AR40" s="26" t="s">
        <v>1250</v>
      </c>
      <c r="AS40" s="19" t="s">
        <v>1251</v>
      </c>
      <c r="AT40" s="19" t="s">
        <v>1252</v>
      </c>
      <c r="AU40" s="21" t="s">
        <v>1253</v>
      </c>
      <c r="AV40" s="19" t="s">
        <v>1254</v>
      </c>
      <c r="AW40" s="16"/>
      <c r="AX40" s="16" t="s">
        <v>1255</v>
      </c>
      <c r="AY40" s="16" t="s">
        <v>213</v>
      </c>
      <c r="AZ40" s="16">
        <v>9.563579766E9</v>
      </c>
      <c r="BA40" s="86"/>
      <c r="BB40" s="86"/>
      <c r="BC40" s="86">
        <v>46099.0</v>
      </c>
      <c r="BD40" s="29"/>
    </row>
    <row r="41" ht="14.25" customHeight="1">
      <c r="A41" s="14">
        <f t="shared" si="9"/>
        <v>40</v>
      </c>
      <c r="B41" s="15" t="s">
        <v>1134</v>
      </c>
      <c r="C41" s="16" t="s">
        <v>1256</v>
      </c>
      <c r="D41" s="16" t="s">
        <v>1257</v>
      </c>
      <c r="E41" s="19" t="s">
        <v>257</v>
      </c>
      <c r="F41" s="19"/>
      <c r="G41" s="16" t="str">
        <f t="shared" si="37"/>
        <v>Marquez , Gerol Nelle J.</v>
      </c>
      <c r="H41" s="16" t="str">
        <f t="shared" si="38"/>
        <v>Gerol Nelle J. Marquez </v>
      </c>
      <c r="I41" s="16" t="str">
        <f t="shared" si="39"/>
        <v>Marquez , Gerol Nelle Jetajobe</v>
      </c>
      <c r="J41" s="19" t="s">
        <v>1225</v>
      </c>
      <c r="K41" s="19" t="s">
        <v>191</v>
      </c>
      <c r="L41" s="19" t="s">
        <v>16</v>
      </c>
      <c r="M41" s="19" t="s">
        <v>105</v>
      </c>
      <c r="N41" s="19">
        <v>1.101725329E9</v>
      </c>
      <c r="O41" s="19">
        <v>45947.0</v>
      </c>
      <c r="P41" s="19">
        <v>45931.0</v>
      </c>
      <c r="Q41" s="17">
        <v>45946.0</v>
      </c>
      <c r="R41" s="17" t="s">
        <v>1258</v>
      </c>
      <c r="S41" s="17" t="s">
        <v>1259</v>
      </c>
      <c r="T41" s="61">
        <f t="shared" si="28"/>
        <v>46132</v>
      </c>
      <c r="U41" s="19">
        <f t="shared" si="29"/>
        <v>0</v>
      </c>
      <c r="V41" s="19">
        <f t="shared" si="30"/>
        <v>6</v>
      </c>
      <c r="W41" s="19">
        <f t="shared" si="31"/>
        <v>3</v>
      </c>
      <c r="X41" s="61">
        <f t="shared" si="40"/>
        <v>46129</v>
      </c>
      <c r="Y41" s="26" t="s">
        <v>82</v>
      </c>
      <c r="Z41" s="19"/>
      <c r="AA41" s="19" t="s">
        <v>1225</v>
      </c>
      <c r="AB41" s="19"/>
      <c r="AC41" s="22"/>
      <c r="AD41" s="22">
        <f>14867.5+1043.33+912.92+1304.18</f>
        <v>18127.93</v>
      </c>
      <c r="AE41" s="19"/>
      <c r="AF41" s="22">
        <f t="shared" si="41"/>
        <v>18127.93</v>
      </c>
      <c r="AG41" s="62">
        <f t="shared" si="42"/>
        <v>695.0005112</v>
      </c>
      <c r="AH41" s="19" t="s">
        <v>178</v>
      </c>
      <c r="AI41" s="19" t="s">
        <v>61</v>
      </c>
      <c r="AJ41" s="19" t="s">
        <v>62</v>
      </c>
      <c r="AK41" s="19">
        <v>37673.0</v>
      </c>
      <c r="AL41" s="62">
        <f t="shared" si="34"/>
        <v>23.17534247</v>
      </c>
      <c r="AM41" s="26" t="s">
        <v>1260</v>
      </c>
      <c r="AN41" s="26" t="s">
        <v>1261</v>
      </c>
      <c r="AO41" s="19">
        <v>9.629270223E9</v>
      </c>
      <c r="AP41" s="67" t="s">
        <v>1262</v>
      </c>
      <c r="AQ41" s="16" t="s">
        <v>247</v>
      </c>
      <c r="AR41" s="26" t="s">
        <v>286</v>
      </c>
      <c r="AS41" s="64" t="s">
        <v>1263</v>
      </c>
      <c r="AT41" s="64" t="s">
        <v>1264</v>
      </c>
      <c r="AU41" s="64" t="s">
        <v>1265</v>
      </c>
      <c r="AV41" s="64" t="s">
        <v>1266</v>
      </c>
      <c r="AW41" s="16"/>
      <c r="AX41" s="16" t="s">
        <v>1267</v>
      </c>
      <c r="AY41" s="19"/>
      <c r="AZ41" s="107">
        <v>9.701197925E9</v>
      </c>
      <c r="BA41" s="16"/>
      <c r="BB41" s="154" t="s">
        <v>1241</v>
      </c>
      <c r="BC41" s="86">
        <v>46127.0</v>
      </c>
    </row>
    <row r="42" ht="14.25" customHeight="1">
      <c r="A42" s="14">
        <f t="shared" si="9"/>
        <v>41</v>
      </c>
      <c r="B42" s="15"/>
      <c r="C42" s="16"/>
      <c r="D42" s="16"/>
      <c r="E42" s="17"/>
      <c r="F42" s="17"/>
      <c r="G42" s="16"/>
      <c r="H42" s="16"/>
      <c r="I42" s="16"/>
      <c r="J42" s="19"/>
      <c r="K42" s="19"/>
      <c r="L42" s="19"/>
      <c r="M42" s="19"/>
      <c r="N42" s="19"/>
      <c r="O42" s="20"/>
      <c r="P42" s="110"/>
      <c r="Q42" s="110"/>
      <c r="R42" s="19"/>
      <c r="S42" s="77"/>
      <c r="T42" s="20"/>
      <c r="U42" s="21"/>
      <c r="V42" s="19"/>
      <c r="W42" s="19"/>
      <c r="X42" s="74"/>
      <c r="Y42" s="16"/>
      <c r="Z42" s="16"/>
      <c r="AA42" s="16"/>
      <c r="AB42" s="16"/>
      <c r="AC42" s="16"/>
      <c r="AD42" s="22"/>
      <c r="AE42" s="23"/>
      <c r="AF42" s="22"/>
      <c r="AG42" s="22"/>
      <c r="AH42" s="19"/>
      <c r="AI42" s="24"/>
      <c r="AJ42" s="24"/>
      <c r="AK42" s="19"/>
      <c r="AL42" s="20"/>
      <c r="AM42" s="25"/>
      <c r="AN42" s="142"/>
      <c r="AO42" s="142"/>
      <c r="AP42" s="108"/>
      <c r="AQ42" s="75"/>
      <c r="AR42" s="16"/>
      <c r="AS42" s="26"/>
      <c r="AT42" s="19"/>
      <c r="AU42" s="19"/>
      <c r="AV42" s="21"/>
      <c r="AW42" s="19"/>
      <c r="AX42" s="16"/>
      <c r="AY42" s="16"/>
      <c r="AZ42" s="16"/>
      <c r="BA42" s="16"/>
      <c r="BB42" s="86"/>
      <c r="BC42" s="86"/>
      <c r="BD42" s="29"/>
    </row>
    <row r="43" ht="14.25" customHeight="1">
      <c r="A43" s="14">
        <f t="shared" si="9"/>
        <v>42</v>
      </c>
      <c r="B43" s="15"/>
      <c r="C43" s="16"/>
      <c r="D43" s="16"/>
      <c r="E43" s="17"/>
      <c r="F43" s="17"/>
      <c r="G43" s="16"/>
      <c r="H43" s="16"/>
      <c r="I43" s="16"/>
      <c r="J43" s="19"/>
      <c r="K43" s="19"/>
      <c r="L43" s="19"/>
      <c r="M43" s="19"/>
      <c r="N43" s="19"/>
      <c r="O43" s="20"/>
      <c r="P43" s="110"/>
      <c r="Q43" s="110"/>
      <c r="R43" s="19"/>
      <c r="S43" s="77"/>
      <c r="T43" s="20"/>
      <c r="U43" s="21"/>
      <c r="V43" s="19"/>
      <c r="W43" s="19"/>
      <c r="X43" s="74"/>
      <c r="Y43" s="16"/>
      <c r="Z43" s="16"/>
      <c r="AA43" s="16"/>
      <c r="AB43" s="16"/>
      <c r="AC43" s="16"/>
      <c r="AD43" s="22"/>
      <c r="AE43" s="23"/>
      <c r="AF43" s="22"/>
      <c r="AG43" s="22"/>
      <c r="AH43" s="19"/>
      <c r="AI43" s="24"/>
      <c r="AJ43" s="24"/>
      <c r="AK43" s="19"/>
      <c r="AL43" s="20"/>
      <c r="AM43" s="25"/>
      <c r="AN43" s="142"/>
      <c r="AO43" s="142"/>
      <c r="AP43" s="108"/>
      <c r="AQ43" s="75"/>
      <c r="AR43" s="16"/>
      <c r="AS43" s="26"/>
      <c r="AT43" s="19"/>
      <c r="AU43" s="19"/>
      <c r="AV43" s="21"/>
      <c r="AW43" s="19"/>
      <c r="AX43" s="16"/>
      <c r="AY43" s="16"/>
      <c r="AZ43" s="16"/>
      <c r="BA43" s="16"/>
      <c r="BB43" s="86"/>
      <c r="BC43" s="86"/>
      <c r="BD43" s="29"/>
    </row>
    <row r="44" ht="15.0" customHeight="1">
      <c r="A44" s="14">
        <f t="shared" si="9"/>
        <v>43</v>
      </c>
      <c r="B44" s="65"/>
      <c r="C44" s="16"/>
      <c r="D44" s="16"/>
      <c r="E44" s="19"/>
      <c r="F44" s="17"/>
      <c r="G44" s="65"/>
      <c r="H44" s="16"/>
      <c r="I44" s="16"/>
      <c r="J44" s="19"/>
      <c r="K44" s="19"/>
      <c r="L44" s="19"/>
      <c r="M44" s="19"/>
      <c r="N44" s="19"/>
      <c r="O44" s="20"/>
      <c r="P44" s="20"/>
      <c r="Q44" s="110"/>
      <c r="R44" s="110"/>
      <c r="S44" s="20"/>
      <c r="T44" s="20"/>
      <c r="U44" s="21"/>
      <c r="V44" s="21"/>
      <c r="W44" s="19"/>
      <c r="X44" s="74"/>
      <c r="Y44" s="74"/>
      <c r="Z44" s="16"/>
      <c r="AA44" s="16"/>
      <c r="AB44" s="16"/>
      <c r="AC44" s="22"/>
      <c r="AD44" s="22"/>
      <c r="AE44" s="22"/>
      <c r="AF44" s="22"/>
      <c r="AG44" s="19"/>
      <c r="AH44" s="19"/>
      <c r="AI44" s="25"/>
      <c r="AJ44" s="109"/>
      <c r="AK44" s="108"/>
      <c r="AL44" s="108"/>
      <c r="AM44" s="108"/>
      <c r="AN44" s="108"/>
      <c r="AO44" s="19"/>
      <c r="AP44" s="26"/>
      <c r="AQ44" s="155"/>
      <c r="AR44" s="26"/>
      <c r="AS44" s="19"/>
      <c r="AT44" s="16"/>
      <c r="AU44" s="19"/>
      <c r="AV44" s="19"/>
      <c r="AW44" s="86"/>
      <c r="AX44" s="16"/>
      <c r="AY44" s="133"/>
      <c r="AZ44" s="86"/>
      <c r="BA44" s="86"/>
      <c r="BB44" s="86"/>
      <c r="BC44" s="86"/>
    </row>
    <row r="45" ht="14.25" customHeight="1">
      <c r="AQ45" s="54"/>
    </row>
    <row r="46" ht="14.25" customHeight="1">
      <c r="AQ46" s="54"/>
    </row>
    <row r="47" ht="14.25" customHeight="1">
      <c r="AQ47" s="54"/>
    </row>
    <row r="48" ht="14.25" customHeight="1">
      <c r="AQ48" s="54"/>
    </row>
    <row r="49" ht="14.25" customHeight="1">
      <c r="AQ49" s="54"/>
    </row>
    <row r="50" ht="14.25" customHeight="1">
      <c r="AQ50" s="54"/>
    </row>
    <row r="51" ht="14.25" customHeight="1">
      <c r="AQ51" s="54"/>
    </row>
    <row r="52" ht="14.25" customHeight="1">
      <c r="AQ52" s="54"/>
    </row>
    <row r="53" ht="14.25" customHeight="1">
      <c r="AQ53" s="54"/>
    </row>
    <row r="54" ht="14.25" customHeight="1">
      <c r="AQ54" s="54"/>
    </row>
    <row r="55" ht="14.25" customHeight="1">
      <c r="AQ55" s="54"/>
    </row>
    <row r="56" ht="14.25" customHeight="1">
      <c r="AQ56" s="54"/>
    </row>
    <row r="57" ht="14.25" customHeight="1">
      <c r="AQ57" s="54"/>
    </row>
    <row r="58" ht="14.25" customHeight="1">
      <c r="AQ58" s="54"/>
    </row>
    <row r="59" ht="14.25" customHeight="1">
      <c r="AQ59" s="54"/>
    </row>
    <row r="60" ht="14.25" customHeight="1">
      <c r="AQ60" s="54"/>
    </row>
    <row r="61" ht="14.25" customHeight="1">
      <c r="AQ61" s="54"/>
    </row>
    <row r="62" ht="14.25" customHeight="1">
      <c r="AQ62" s="54"/>
    </row>
    <row r="63" ht="14.25" customHeight="1">
      <c r="AQ63" s="54"/>
    </row>
    <row r="64" ht="14.25" customHeight="1">
      <c r="AQ64" s="54"/>
    </row>
    <row r="65" ht="14.25" customHeight="1">
      <c r="AQ65" s="54"/>
    </row>
    <row r="66" ht="14.25" customHeight="1">
      <c r="AQ66" s="54"/>
    </row>
    <row r="67" ht="14.25" customHeight="1">
      <c r="AQ67" s="54"/>
    </row>
    <row r="68" ht="14.25" customHeight="1">
      <c r="AQ68" s="54"/>
    </row>
    <row r="69" ht="14.25" customHeight="1">
      <c r="AQ69" s="54"/>
    </row>
    <row r="70" ht="14.25" customHeight="1">
      <c r="AQ70" s="54"/>
    </row>
    <row r="71" ht="14.25" customHeight="1">
      <c r="AQ71" s="54"/>
    </row>
    <row r="72" ht="14.25" customHeight="1">
      <c r="AQ72" s="54"/>
    </row>
    <row r="73" ht="14.25" customHeight="1">
      <c r="AQ73" s="54"/>
    </row>
    <row r="74" ht="14.25" customHeight="1">
      <c r="AQ74" s="54"/>
    </row>
    <row r="75" ht="14.25" customHeight="1">
      <c r="AQ75" s="54"/>
    </row>
    <row r="76" ht="14.25" customHeight="1">
      <c r="AQ76" s="54"/>
    </row>
    <row r="77" ht="14.25" customHeight="1">
      <c r="AQ77" s="54"/>
    </row>
    <row r="78" ht="14.25" customHeight="1">
      <c r="AQ78" s="54"/>
    </row>
    <row r="79" ht="14.25" customHeight="1">
      <c r="AQ79" s="54"/>
    </row>
    <row r="80" ht="14.25" customHeight="1">
      <c r="AQ80" s="54"/>
    </row>
    <row r="81" ht="14.25" customHeight="1">
      <c r="AQ81" s="54"/>
    </row>
    <row r="82" ht="14.25" customHeight="1">
      <c r="AQ82" s="54"/>
    </row>
    <row r="83" ht="14.25" customHeight="1">
      <c r="AQ83" s="54"/>
    </row>
    <row r="84" ht="14.25" customHeight="1">
      <c r="AQ84" s="54"/>
    </row>
    <row r="85" ht="14.25" customHeight="1">
      <c r="AQ85" s="54"/>
    </row>
    <row r="86" ht="14.25" customHeight="1">
      <c r="AQ86" s="54"/>
    </row>
    <row r="87" ht="14.25" customHeight="1">
      <c r="AQ87" s="54"/>
    </row>
    <row r="88" ht="14.25" customHeight="1">
      <c r="AQ88" s="54"/>
    </row>
    <row r="89" ht="14.25" customHeight="1">
      <c r="AQ89" s="54"/>
    </row>
    <row r="90" ht="14.25" customHeight="1">
      <c r="AQ90" s="54"/>
    </row>
    <row r="91" ht="14.25" customHeight="1">
      <c r="AQ91" s="54"/>
    </row>
    <row r="92" ht="14.25" customHeight="1">
      <c r="AQ92" s="54"/>
    </row>
    <row r="93" ht="14.25" customHeight="1">
      <c r="AQ93" s="54"/>
    </row>
    <row r="94" ht="14.25" customHeight="1">
      <c r="AQ94" s="54"/>
    </row>
    <row r="95" ht="14.25" customHeight="1">
      <c r="AQ95" s="54"/>
    </row>
    <row r="96" ht="14.25" customHeight="1">
      <c r="AQ96" s="54"/>
    </row>
    <row r="97" ht="14.25" customHeight="1">
      <c r="AQ97" s="54"/>
    </row>
    <row r="98" ht="14.25" customHeight="1">
      <c r="AQ98" s="54"/>
    </row>
    <row r="99" ht="14.25" customHeight="1">
      <c r="AQ99" s="54"/>
    </row>
    <row r="100" ht="14.25" customHeight="1">
      <c r="AQ100" s="54"/>
    </row>
    <row r="101" ht="14.25" customHeight="1">
      <c r="AQ101" s="54"/>
    </row>
    <row r="102" ht="14.25" customHeight="1">
      <c r="AQ102" s="54"/>
    </row>
    <row r="103" ht="14.25" customHeight="1">
      <c r="AQ103" s="54"/>
    </row>
    <row r="104" ht="14.25" customHeight="1">
      <c r="AQ104" s="54"/>
    </row>
    <row r="105" ht="14.25" customHeight="1">
      <c r="AQ105" s="54"/>
    </row>
    <row r="106" ht="14.25" customHeight="1">
      <c r="AQ106" s="54"/>
    </row>
    <row r="107" ht="14.25" customHeight="1">
      <c r="AQ107" s="54"/>
    </row>
    <row r="108" ht="14.25" customHeight="1">
      <c r="AQ108" s="54"/>
    </row>
    <row r="109" ht="14.25" customHeight="1">
      <c r="AQ109" s="54"/>
    </row>
    <row r="110" ht="14.25" customHeight="1">
      <c r="AQ110" s="54"/>
    </row>
    <row r="111" ht="14.25" customHeight="1">
      <c r="AQ111" s="54"/>
    </row>
    <row r="112" ht="14.25" customHeight="1">
      <c r="AQ112" s="54"/>
    </row>
    <row r="113" ht="14.25" customHeight="1">
      <c r="AQ113" s="54"/>
    </row>
    <row r="114" ht="14.25" customHeight="1">
      <c r="AQ114" s="54"/>
    </row>
    <row r="115" ht="14.25" customHeight="1">
      <c r="AQ115" s="54"/>
    </row>
    <row r="116" ht="14.25" customHeight="1">
      <c r="AQ116" s="54"/>
    </row>
    <row r="117" ht="14.25" customHeight="1">
      <c r="AQ117" s="54"/>
    </row>
    <row r="118" ht="14.25" customHeight="1">
      <c r="AQ118" s="54"/>
    </row>
    <row r="119" ht="14.25" customHeight="1">
      <c r="AQ119" s="54"/>
    </row>
    <row r="120" ht="14.25" customHeight="1">
      <c r="AQ120" s="54"/>
    </row>
    <row r="121" ht="14.25" customHeight="1">
      <c r="AQ121" s="54"/>
    </row>
    <row r="122" ht="14.25" customHeight="1">
      <c r="AQ122" s="54"/>
    </row>
    <row r="123" ht="14.25" customHeight="1">
      <c r="AQ123" s="54"/>
    </row>
    <row r="124" ht="14.25" customHeight="1">
      <c r="AQ124" s="54"/>
    </row>
    <row r="125" ht="14.25" customHeight="1">
      <c r="AQ125" s="54"/>
    </row>
    <row r="126" ht="14.25" customHeight="1">
      <c r="AQ126" s="54"/>
    </row>
    <row r="127" ht="14.25" customHeight="1">
      <c r="AQ127" s="54"/>
    </row>
    <row r="128" ht="14.25" customHeight="1">
      <c r="AQ128" s="54"/>
    </row>
    <row r="129" ht="14.25" customHeight="1">
      <c r="AQ129" s="54"/>
    </row>
    <row r="130" ht="14.25" customHeight="1">
      <c r="AQ130" s="54"/>
    </row>
    <row r="131" ht="14.25" customHeight="1">
      <c r="AQ131" s="54"/>
    </row>
    <row r="132" ht="14.25" customHeight="1">
      <c r="AQ132" s="54"/>
    </row>
    <row r="133" ht="14.25" customHeight="1">
      <c r="AQ133" s="54"/>
    </row>
    <row r="134" ht="14.25" customHeight="1">
      <c r="AQ134" s="54"/>
    </row>
    <row r="135" ht="14.25" customHeight="1">
      <c r="AQ135" s="54"/>
    </row>
    <row r="136" ht="14.25" customHeight="1">
      <c r="AQ136" s="54"/>
    </row>
    <row r="137" ht="14.25" customHeight="1">
      <c r="AQ137" s="54"/>
    </row>
    <row r="138" ht="14.25" customHeight="1">
      <c r="AQ138" s="54"/>
    </row>
    <row r="139" ht="14.25" customHeight="1">
      <c r="AQ139" s="54"/>
    </row>
    <row r="140" ht="14.25" customHeight="1">
      <c r="AQ140" s="54"/>
    </row>
    <row r="141" ht="14.25" customHeight="1">
      <c r="AQ141" s="54"/>
    </row>
    <row r="142" ht="14.25" customHeight="1">
      <c r="AQ142" s="54"/>
    </row>
    <row r="143" ht="14.25" customHeight="1">
      <c r="AQ143" s="54"/>
    </row>
    <row r="144" ht="14.25" customHeight="1">
      <c r="AQ144" s="54"/>
    </row>
    <row r="145" ht="14.25" customHeight="1">
      <c r="AQ145" s="54"/>
    </row>
    <row r="146" ht="14.25" customHeight="1">
      <c r="AQ146" s="54"/>
    </row>
    <row r="147" ht="14.25" customHeight="1">
      <c r="AQ147" s="54"/>
    </row>
    <row r="148" ht="14.25" customHeight="1">
      <c r="AQ148" s="54"/>
    </row>
    <row r="149" ht="14.25" customHeight="1">
      <c r="AQ149" s="54"/>
    </row>
    <row r="150" ht="14.25" customHeight="1">
      <c r="AQ150" s="54"/>
    </row>
    <row r="151" ht="14.25" customHeight="1">
      <c r="AQ151" s="54"/>
    </row>
    <row r="152" ht="14.25" customHeight="1">
      <c r="AQ152" s="54"/>
    </row>
    <row r="153" ht="14.25" customHeight="1">
      <c r="AQ153" s="54"/>
    </row>
    <row r="154" ht="14.25" customHeight="1">
      <c r="AQ154" s="54"/>
    </row>
    <row r="155" ht="14.25" customHeight="1">
      <c r="AQ155" s="54"/>
    </row>
    <row r="156" ht="14.25" customHeight="1">
      <c r="AQ156" s="54"/>
    </row>
    <row r="157" ht="14.25" customHeight="1">
      <c r="AQ157" s="54"/>
    </row>
    <row r="158" ht="14.25" customHeight="1">
      <c r="AQ158" s="54"/>
    </row>
    <row r="159" ht="14.25" customHeight="1">
      <c r="AQ159" s="54"/>
    </row>
    <row r="160" ht="14.25" customHeight="1">
      <c r="AQ160" s="54"/>
    </row>
    <row r="161" ht="14.25" customHeight="1">
      <c r="AQ161" s="54"/>
    </row>
    <row r="162" ht="14.25" customHeight="1">
      <c r="AQ162" s="54"/>
    </row>
    <row r="163" ht="14.25" customHeight="1">
      <c r="AQ163" s="54"/>
    </row>
    <row r="164" ht="14.25" customHeight="1">
      <c r="AQ164" s="54"/>
    </row>
    <row r="165" ht="14.25" customHeight="1">
      <c r="AQ165" s="54"/>
    </row>
    <row r="166" ht="14.25" customHeight="1">
      <c r="AQ166" s="54"/>
    </row>
    <row r="167" ht="14.25" customHeight="1">
      <c r="AQ167" s="54"/>
    </row>
    <row r="168" ht="14.25" customHeight="1">
      <c r="AQ168" s="54"/>
    </row>
    <row r="169" ht="14.25" customHeight="1">
      <c r="AQ169" s="54"/>
    </row>
    <row r="170" ht="14.25" customHeight="1">
      <c r="AQ170" s="54"/>
    </row>
    <row r="171" ht="14.25" customHeight="1">
      <c r="AQ171" s="54"/>
    </row>
    <row r="172" ht="14.25" customHeight="1">
      <c r="AQ172" s="54"/>
    </row>
    <row r="173" ht="14.25" customHeight="1">
      <c r="AQ173" s="54"/>
    </row>
    <row r="174" ht="14.25" customHeight="1">
      <c r="AQ174" s="54"/>
    </row>
    <row r="175" ht="14.25" customHeight="1">
      <c r="AQ175" s="54"/>
    </row>
    <row r="176" ht="14.25" customHeight="1">
      <c r="AQ176" s="54"/>
    </row>
    <row r="177" ht="14.25" customHeight="1">
      <c r="AQ177" s="54"/>
    </row>
    <row r="178" ht="14.25" customHeight="1">
      <c r="AQ178" s="54"/>
    </row>
    <row r="179" ht="14.25" customHeight="1">
      <c r="AQ179" s="54"/>
    </row>
    <row r="180" ht="14.25" customHeight="1">
      <c r="AQ180" s="54"/>
    </row>
    <row r="181" ht="14.25" customHeight="1">
      <c r="AQ181" s="54"/>
    </row>
    <row r="182" ht="14.25" customHeight="1">
      <c r="AQ182" s="54"/>
    </row>
    <row r="183" ht="14.25" customHeight="1">
      <c r="AQ183" s="54"/>
    </row>
    <row r="184" ht="14.25" customHeight="1">
      <c r="AQ184" s="54"/>
    </row>
    <row r="185" ht="14.25" customHeight="1">
      <c r="AQ185" s="54"/>
    </row>
    <row r="186" ht="14.25" customHeight="1">
      <c r="AQ186" s="54"/>
    </row>
    <row r="187" ht="14.25" customHeight="1">
      <c r="AQ187" s="54"/>
    </row>
    <row r="188" ht="14.25" customHeight="1">
      <c r="AQ188" s="54"/>
    </row>
    <row r="189" ht="14.25" customHeight="1">
      <c r="AQ189" s="54"/>
    </row>
    <row r="190" ht="14.25" customHeight="1">
      <c r="AQ190" s="54"/>
    </row>
    <row r="191" ht="14.25" customHeight="1">
      <c r="AQ191" s="54"/>
    </row>
    <row r="192" ht="14.25" customHeight="1">
      <c r="AQ192" s="54"/>
    </row>
    <row r="193" ht="14.25" customHeight="1">
      <c r="AQ193" s="54"/>
    </row>
    <row r="194" ht="14.25" customHeight="1">
      <c r="AQ194" s="54"/>
    </row>
    <row r="195" ht="14.25" customHeight="1">
      <c r="AQ195" s="54"/>
    </row>
    <row r="196" ht="14.25" customHeight="1">
      <c r="AQ196" s="54"/>
    </row>
    <row r="197" ht="14.25" customHeight="1">
      <c r="AQ197" s="54"/>
    </row>
    <row r="198" ht="14.25" customHeight="1">
      <c r="AQ198" s="54"/>
    </row>
    <row r="199" ht="14.25" customHeight="1">
      <c r="AQ199" s="54"/>
    </row>
    <row r="200" ht="14.25" customHeight="1">
      <c r="AQ200" s="54"/>
    </row>
    <row r="201" ht="14.25" customHeight="1">
      <c r="AQ201" s="54"/>
    </row>
    <row r="202" ht="14.25" customHeight="1">
      <c r="AQ202" s="54"/>
    </row>
    <row r="203" ht="14.25" customHeight="1">
      <c r="AQ203" s="54"/>
    </row>
    <row r="204" ht="14.25" customHeight="1">
      <c r="AQ204" s="54"/>
    </row>
    <row r="205" ht="14.25" customHeight="1">
      <c r="AQ205" s="54"/>
    </row>
    <row r="206" ht="14.25" customHeight="1">
      <c r="AQ206" s="54"/>
    </row>
    <row r="207" ht="14.25" customHeight="1">
      <c r="AQ207" s="54"/>
    </row>
    <row r="208" ht="14.25" customHeight="1">
      <c r="AQ208" s="54"/>
    </row>
    <row r="209" ht="14.25" customHeight="1">
      <c r="AQ209" s="54"/>
    </row>
    <row r="210" ht="14.25" customHeight="1">
      <c r="AQ210" s="54"/>
    </row>
    <row r="211" ht="14.25" customHeight="1">
      <c r="AQ211" s="54"/>
    </row>
    <row r="212" ht="14.25" customHeight="1">
      <c r="AQ212" s="54"/>
    </row>
    <row r="213" ht="14.25" customHeight="1">
      <c r="AQ213" s="54"/>
    </row>
    <row r="214" ht="14.25" customHeight="1">
      <c r="AQ214" s="54"/>
    </row>
    <row r="215" ht="14.25" customHeight="1">
      <c r="AQ215" s="54"/>
    </row>
    <row r="216" ht="14.25" customHeight="1">
      <c r="AQ216" s="54"/>
    </row>
    <row r="217" ht="14.25" customHeight="1">
      <c r="AQ217" s="54"/>
    </row>
    <row r="218" ht="14.25" customHeight="1">
      <c r="AQ218" s="54"/>
    </row>
    <row r="219" ht="14.25" customHeight="1">
      <c r="AQ219" s="54"/>
    </row>
    <row r="220" ht="14.25" customHeight="1">
      <c r="AQ220" s="54"/>
    </row>
    <row r="221" ht="14.25" customHeight="1">
      <c r="AQ221" s="54"/>
    </row>
    <row r="222" ht="14.25" customHeight="1">
      <c r="AQ222" s="54"/>
    </row>
    <row r="223" ht="14.25" customHeight="1">
      <c r="AQ223" s="54"/>
    </row>
    <row r="224" ht="14.25" customHeight="1">
      <c r="AQ224" s="54"/>
    </row>
    <row r="225" ht="14.25" customHeight="1">
      <c r="AQ225" s="54"/>
    </row>
    <row r="226" ht="14.25" customHeight="1">
      <c r="AQ226" s="54"/>
    </row>
    <row r="227" ht="14.25" customHeight="1">
      <c r="AQ227" s="54"/>
    </row>
    <row r="228" ht="14.25" customHeight="1">
      <c r="AQ228" s="54"/>
    </row>
    <row r="229" ht="14.25" customHeight="1">
      <c r="AQ229" s="54"/>
    </row>
    <row r="230" ht="14.25" customHeight="1">
      <c r="AQ230" s="54"/>
    </row>
    <row r="231" ht="14.25" customHeight="1">
      <c r="AQ231" s="54"/>
    </row>
    <row r="232" ht="14.25" customHeight="1">
      <c r="AQ232" s="54"/>
    </row>
    <row r="233" ht="14.25" customHeight="1">
      <c r="AQ233" s="54"/>
    </row>
    <row r="234" ht="14.25" customHeight="1">
      <c r="AQ234" s="54"/>
    </row>
    <row r="235" ht="14.25" customHeight="1">
      <c r="AQ235" s="54"/>
    </row>
    <row r="236" ht="14.25" customHeight="1">
      <c r="AQ236" s="54"/>
    </row>
    <row r="237" ht="14.25" customHeight="1">
      <c r="AQ237" s="54"/>
    </row>
    <row r="238" ht="14.25" customHeight="1">
      <c r="AQ238" s="54"/>
    </row>
    <row r="239" ht="14.25" customHeight="1">
      <c r="AQ239" s="54"/>
    </row>
    <row r="240" ht="14.25" customHeight="1">
      <c r="AQ240" s="54"/>
    </row>
    <row r="241" ht="14.25" customHeight="1">
      <c r="AQ241" s="54"/>
    </row>
    <row r="242" ht="14.25" customHeight="1">
      <c r="AQ242" s="54"/>
    </row>
    <row r="243" ht="14.25" customHeight="1">
      <c r="AQ243" s="54"/>
    </row>
    <row r="244" ht="14.25" customHeight="1">
      <c r="AQ244" s="54"/>
    </row>
    <row r="245" ht="14.25" customHeight="1">
      <c r="AQ245" s="54"/>
    </row>
    <row r="246" ht="14.25" customHeight="1">
      <c r="AQ246" s="54"/>
    </row>
    <row r="247" ht="14.25" customHeight="1">
      <c r="AQ247" s="54"/>
    </row>
    <row r="248" ht="14.25" customHeight="1">
      <c r="AQ248" s="54"/>
    </row>
    <row r="249" ht="14.25" customHeight="1">
      <c r="AQ249" s="54"/>
    </row>
    <row r="250" ht="14.25" customHeight="1">
      <c r="AQ250" s="54"/>
    </row>
    <row r="251" ht="14.25" customHeight="1">
      <c r="AQ251" s="54"/>
    </row>
    <row r="252" ht="14.25" customHeight="1">
      <c r="AQ252" s="54"/>
    </row>
    <row r="253" ht="14.25" customHeight="1">
      <c r="AQ253" s="54"/>
    </row>
    <row r="254" ht="14.25" customHeight="1">
      <c r="AQ254" s="54"/>
    </row>
    <row r="255" ht="14.25" customHeight="1">
      <c r="AQ255" s="54"/>
    </row>
    <row r="256" ht="14.25" customHeight="1">
      <c r="AQ256" s="54"/>
    </row>
    <row r="257" ht="14.25" customHeight="1">
      <c r="AQ257" s="54"/>
    </row>
    <row r="258" ht="14.25" customHeight="1">
      <c r="AQ258" s="54"/>
    </row>
    <row r="259" ht="14.25" customHeight="1">
      <c r="AQ259" s="54"/>
    </row>
    <row r="260" ht="14.25" customHeight="1">
      <c r="AQ260" s="54"/>
    </row>
    <row r="261" ht="14.25" customHeight="1">
      <c r="AQ261" s="54"/>
    </row>
    <row r="262" ht="14.25" customHeight="1">
      <c r="AQ262" s="54"/>
    </row>
    <row r="263" ht="14.25" customHeight="1">
      <c r="AQ263" s="54"/>
    </row>
    <row r="264" ht="14.25" customHeight="1">
      <c r="AQ264" s="54"/>
    </row>
    <row r="265" ht="14.25" customHeight="1">
      <c r="AQ265" s="54"/>
    </row>
    <row r="266" ht="14.25" customHeight="1">
      <c r="AQ266" s="54"/>
    </row>
    <row r="267" ht="14.25" customHeight="1">
      <c r="AQ267" s="54"/>
    </row>
    <row r="268" ht="14.25" customHeight="1">
      <c r="AQ268" s="54"/>
    </row>
    <row r="269" ht="14.25" customHeight="1">
      <c r="AQ269" s="54"/>
    </row>
    <row r="270" ht="14.25" customHeight="1">
      <c r="AQ270" s="54"/>
    </row>
    <row r="271" ht="14.25" customHeight="1">
      <c r="AQ271" s="54"/>
    </row>
    <row r="272" ht="14.25" customHeight="1">
      <c r="AQ272" s="54"/>
    </row>
    <row r="273" ht="14.25" customHeight="1">
      <c r="AQ273" s="54"/>
    </row>
    <row r="274" ht="14.25" customHeight="1">
      <c r="AQ274" s="54"/>
    </row>
    <row r="275" ht="14.25" customHeight="1">
      <c r="AQ275" s="54"/>
    </row>
    <row r="276" ht="14.25" customHeight="1">
      <c r="AQ276" s="54"/>
    </row>
    <row r="277" ht="14.25" customHeight="1">
      <c r="AQ277" s="54"/>
    </row>
    <row r="278" ht="14.25" customHeight="1">
      <c r="AQ278" s="54"/>
    </row>
    <row r="279" ht="14.25" customHeight="1">
      <c r="AQ279" s="54"/>
    </row>
    <row r="280" ht="14.25" customHeight="1">
      <c r="AQ280" s="54"/>
    </row>
    <row r="281" ht="14.25" customHeight="1">
      <c r="AQ281" s="54"/>
    </row>
    <row r="282" ht="14.25" customHeight="1">
      <c r="AQ282" s="54"/>
    </row>
    <row r="283" ht="14.25" customHeight="1">
      <c r="AQ283" s="54"/>
    </row>
    <row r="284" ht="14.25" customHeight="1">
      <c r="AQ284" s="54"/>
    </row>
    <row r="285" ht="14.25" customHeight="1">
      <c r="AQ285" s="54"/>
    </row>
    <row r="286" ht="14.25" customHeight="1">
      <c r="AQ286" s="54"/>
    </row>
    <row r="287" ht="14.25" customHeight="1">
      <c r="AQ287" s="54"/>
    </row>
    <row r="288" ht="14.25" customHeight="1">
      <c r="AQ288" s="54"/>
    </row>
    <row r="289" ht="14.25" customHeight="1">
      <c r="AQ289" s="54"/>
    </row>
    <row r="290" ht="14.25" customHeight="1">
      <c r="AQ290" s="54"/>
    </row>
    <row r="291" ht="14.25" customHeight="1">
      <c r="AQ291" s="54"/>
    </row>
    <row r="292" ht="14.25" customHeight="1">
      <c r="AQ292" s="54"/>
    </row>
    <row r="293" ht="14.25" customHeight="1">
      <c r="AQ293" s="54"/>
    </row>
    <row r="294" ht="14.25" customHeight="1">
      <c r="AQ294" s="54"/>
    </row>
    <row r="295" ht="14.25" customHeight="1">
      <c r="AQ295" s="54"/>
    </row>
    <row r="296" ht="14.25" customHeight="1">
      <c r="AQ296" s="54"/>
    </row>
    <row r="297" ht="14.25" customHeight="1">
      <c r="AQ297" s="54"/>
    </row>
    <row r="298" ht="14.25" customHeight="1">
      <c r="AQ298" s="54"/>
    </row>
    <row r="299" ht="14.25" customHeight="1">
      <c r="AQ299" s="54"/>
    </row>
    <row r="300" ht="14.25" customHeight="1">
      <c r="AQ300" s="54"/>
    </row>
    <row r="301" ht="14.25" customHeight="1">
      <c r="AQ301" s="54"/>
    </row>
    <row r="302" ht="14.25" customHeight="1">
      <c r="AQ302" s="54"/>
    </row>
    <row r="303" ht="14.25" customHeight="1">
      <c r="AQ303" s="54"/>
    </row>
    <row r="304" ht="14.25" customHeight="1">
      <c r="AQ304" s="54"/>
    </row>
    <row r="305" ht="14.25" customHeight="1">
      <c r="AQ305" s="54"/>
    </row>
    <row r="306" ht="14.25" customHeight="1">
      <c r="AQ306" s="54"/>
    </row>
    <row r="307" ht="14.25" customHeight="1">
      <c r="AQ307" s="54"/>
    </row>
    <row r="308" ht="14.25" customHeight="1">
      <c r="AQ308" s="54"/>
    </row>
    <row r="309" ht="14.25" customHeight="1">
      <c r="AQ309" s="54"/>
    </row>
    <row r="310" ht="14.25" customHeight="1">
      <c r="AQ310" s="54"/>
    </row>
    <row r="311" ht="14.25" customHeight="1">
      <c r="AQ311" s="54"/>
    </row>
    <row r="312" ht="14.25" customHeight="1">
      <c r="AQ312" s="54"/>
    </row>
    <row r="313" ht="14.25" customHeight="1">
      <c r="AQ313" s="54"/>
    </row>
    <row r="314" ht="14.25" customHeight="1">
      <c r="AQ314" s="54"/>
    </row>
    <row r="315" ht="14.25" customHeight="1">
      <c r="AQ315" s="54"/>
    </row>
    <row r="316" ht="14.25" customHeight="1">
      <c r="AQ316" s="54"/>
    </row>
    <row r="317" ht="14.25" customHeight="1">
      <c r="AQ317" s="54"/>
    </row>
    <row r="318" ht="14.25" customHeight="1">
      <c r="AQ318" s="54"/>
    </row>
    <row r="319" ht="14.25" customHeight="1">
      <c r="AQ319" s="54"/>
    </row>
    <row r="320" ht="14.25" customHeight="1">
      <c r="AQ320" s="54"/>
    </row>
    <row r="321" ht="14.25" customHeight="1">
      <c r="AQ321" s="54"/>
    </row>
    <row r="322" ht="14.25" customHeight="1">
      <c r="AQ322" s="54"/>
    </row>
    <row r="323" ht="14.25" customHeight="1">
      <c r="AQ323" s="54"/>
    </row>
    <row r="324" ht="14.25" customHeight="1">
      <c r="AQ324" s="54"/>
    </row>
    <row r="325" ht="14.25" customHeight="1">
      <c r="AQ325" s="54"/>
    </row>
    <row r="326" ht="14.25" customHeight="1">
      <c r="AQ326" s="54"/>
    </row>
    <row r="327" ht="14.25" customHeight="1">
      <c r="AQ327" s="54"/>
    </row>
    <row r="328" ht="14.25" customHeight="1">
      <c r="AQ328" s="54"/>
    </row>
    <row r="329" ht="14.25" customHeight="1">
      <c r="AQ329" s="54"/>
    </row>
    <row r="330" ht="14.25" customHeight="1">
      <c r="AQ330" s="54"/>
    </row>
    <row r="331" ht="14.25" customHeight="1">
      <c r="AQ331" s="54"/>
    </row>
    <row r="332" ht="14.25" customHeight="1">
      <c r="AQ332" s="54"/>
    </row>
    <row r="333" ht="14.25" customHeight="1">
      <c r="AQ333" s="54"/>
    </row>
    <row r="334" ht="14.25" customHeight="1">
      <c r="AQ334" s="54"/>
    </row>
    <row r="335" ht="14.25" customHeight="1">
      <c r="AQ335" s="54"/>
    </row>
    <row r="336" ht="14.25" customHeight="1">
      <c r="AQ336" s="54"/>
    </row>
    <row r="337" ht="14.25" customHeight="1">
      <c r="AQ337" s="54"/>
    </row>
    <row r="338" ht="14.25" customHeight="1">
      <c r="AQ338" s="54"/>
    </row>
    <row r="339" ht="14.25" customHeight="1">
      <c r="AQ339" s="54"/>
    </row>
    <row r="340" ht="14.25" customHeight="1">
      <c r="AQ340" s="54"/>
    </row>
    <row r="341" ht="14.25" customHeight="1">
      <c r="AQ341" s="54"/>
    </row>
    <row r="342" ht="14.25" customHeight="1">
      <c r="AQ342" s="54"/>
    </row>
    <row r="343" ht="14.25" customHeight="1">
      <c r="AQ343" s="54"/>
    </row>
    <row r="344" ht="14.25" customHeight="1">
      <c r="AQ344" s="54"/>
    </row>
    <row r="345" ht="14.25" customHeight="1">
      <c r="AQ345" s="54"/>
    </row>
    <row r="346" ht="14.25" customHeight="1">
      <c r="AQ346" s="54"/>
    </row>
    <row r="347" ht="14.25" customHeight="1">
      <c r="AQ347" s="54"/>
    </row>
    <row r="348" ht="14.25" customHeight="1">
      <c r="AQ348" s="54"/>
    </row>
    <row r="349" ht="14.25" customHeight="1">
      <c r="AQ349" s="54"/>
    </row>
    <row r="350" ht="14.25" customHeight="1">
      <c r="AQ350" s="54"/>
    </row>
    <row r="351" ht="14.25" customHeight="1">
      <c r="AQ351" s="54"/>
    </row>
    <row r="352" ht="14.25" customHeight="1">
      <c r="AQ352" s="54"/>
    </row>
    <row r="353" ht="14.25" customHeight="1">
      <c r="AQ353" s="54"/>
    </row>
    <row r="354" ht="14.25" customHeight="1">
      <c r="AQ354" s="54"/>
    </row>
    <row r="355" ht="14.25" customHeight="1">
      <c r="AQ355" s="54"/>
    </row>
    <row r="356" ht="14.25" customHeight="1">
      <c r="AQ356" s="54"/>
    </row>
    <row r="357" ht="14.25" customHeight="1">
      <c r="AQ357" s="54"/>
    </row>
    <row r="358" ht="14.25" customHeight="1">
      <c r="AQ358" s="54"/>
    </row>
    <row r="359" ht="14.25" customHeight="1">
      <c r="AQ359" s="54"/>
    </row>
    <row r="360" ht="14.25" customHeight="1">
      <c r="AQ360" s="54"/>
    </row>
    <row r="361" ht="14.25" customHeight="1">
      <c r="AQ361" s="54"/>
    </row>
    <row r="362" ht="14.25" customHeight="1">
      <c r="AQ362" s="54"/>
    </row>
    <row r="363" ht="14.25" customHeight="1">
      <c r="AQ363" s="54"/>
    </row>
    <row r="364" ht="14.25" customHeight="1">
      <c r="AQ364" s="54"/>
    </row>
    <row r="365" ht="14.25" customHeight="1">
      <c r="AQ365" s="54"/>
    </row>
    <row r="366" ht="14.25" customHeight="1">
      <c r="AQ366" s="54"/>
    </row>
    <row r="367" ht="14.25" customHeight="1">
      <c r="AQ367" s="54"/>
    </row>
    <row r="368" ht="14.25" customHeight="1">
      <c r="AQ368" s="54"/>
    </row>
    <row r="369" ht="14.25" customHeight="1">
      <c r="AQ369" s="54"/>
    </row>
    <row r="370" ht="14.25" customHeight="1">
      <c r="AQ370" s="54"/>
    </row>
    <row r="371" ht="14.25" customHeight="1">
      <c r="AQ371" s="54"/>
    </row>
    <row r="372" ht="14.25" customHeight="1">
      <c r="AQ372" s="54"/>
    </row>
    <row r="373" ht="14.25" customHeight="1">
      <c r="AQ373" s="54"/>
    </row>
    <row r="374" ht="14.25" customHeight="1">
      <c r="AQ374" s="54"/>
    </row>
    <row r="375" ht="14.25" customHeight="1">
      <c r="AQ375" s="54"/>
    </row>
    <row r="376" ht="14.25" customHeight="1">
      <c r="AQ376" s="54"/>
    </row>
    <row r="377" ht="14.25" customHeight="1">
      <c r="AQ377" s="54"/>
    </row>
    <row r="378" ht="14.25" customHeight="1">
      <c r="AQ378" s="54"/>
    </row>
    <row r="379" ht="14.25" customHeight="1">
      <c r="AQ379" s="54"/>
    </row>
    <row r="380" ht="14.25" customHeight="1">
      <c r="AQ380" s="54"/>
    </row>
    <row r="381" ht="14.25" customHeight="1">
      <c r="AQ381" s="54"/>
    </row>
    <row r="382" ht="14.25" customHeight="1">
      <c r="AQ382" s="54"/>
    </row>
    <row r="383" ht="14.25" customHeight="1">
      <c r="AQ383" s="54"/>
    </row>
    <row r="384" ht="14.25" customHeight="1">
      <c r="AQ384" s="54"/>
    </row>
    <row r="385" ht="14.25" customHeight="1">
      <c r="AQ385" s="54"/>
    </row>
    <row r="386" ht="14.25" customHeight="1">
      <c r="AQ386" s="54"/>
    </row>
    <row r="387" ht="14.25" customHeight="1">
      <c r="AQ387" s="54"/>
    </row>
    <row r="388" ht="14.25" customHeight="1">
      <c r="AQ388" s="54"/>
    </row>
    <row r="389" ht="14.25" customHeight="1">
      <c r="AQ389" s="54"/>
    </row>
    <row r="390" ht="14.25" customHeight="1">
      <c r="AQ390" s="54"/>
    </row>
    <row r="391" ht="14.25" customHeight="1">
      <c r="AQ391" s="54"/>
    </row>
    <row r="392" ht="14.25" customHeight="1">
      <c r="AQ392" s="54"/>
    </row>
    <row r="393" ht="14.25" customHeight="1">
      <c r="AQ393" s="54"/>
    </row>
    <row r="394" ht="14.25" customHeight="1">
      <c r="AQ394" s="54"/>
    </row>
    <row r="395" ht="14.25" customHeight="1">
      <c r="AQ395" s="54"/>
    </row>
    <row r="396" ht="14.25" customHeight="1">
      <c r="AQ396" s="54"/>
    </row>
    <row r="397" ht="14.25" customHeight="1">
      <c r="AQ397" s="54"/>
    </row>
    <row r="398" ht="14.25" customHeight="1">
      <c r="AQ398" s="54"/>
    </row>
    <row r="399" ht="14.25" customHeight="1">
      <c r="AQ399" s="54"/>
    </row>
    <row r="400" ht="14.25" customHeight="1">
      <c r="AQ400" s="54"/>
    </row>
    <row r="401" ht="14.25" customHeight="1">
      <c r="AQ401" s="54"/>
    </row>
    <row r="402" ht="14.25" customHeight="1">
      <c r="AQ402" s="54"/>
    </row>
    <row r="403" ht="14.25" customHeight="1">
      <c r="AQ403" s="54"/>
    </row>
    <row r="404" ht="14.25" customHeight="1">
      <c r="AQ404" s="54"/>
    </row>
    <row r="405" ht="14.25" customHeight="1">
      <c r="AQ405" s="54"/>
    </row>
    <row r="406" ht="14.25" customHeight="1">
      <c r="AQ406" s="54"/>
    </row>
    <row r="407" ht="14.25" customHeight="1">
      <c r="AQ407" s="54"/>
    </row>
    <row r="408" ht="14.25" customHeight="1">
      <c r="AQ408" s="54"/>
    </row>
    <row r="409" ht="14.25" customHeight="1">
      <c r="AQ409" s="54"/>
    </row>
    <row r="410" ht="14.25" customHeight="1">
      <c r="AQ410" s="54"/>
    </row>
    <row r="411" ht="14.25" customHeight="1">
      <c r="AQ411" s="54"/>
    </row>
    <row r="412" ht="14.25" customHeight="1">
      <c r="AQ412" s="54"/>
    </row>
    <row r="413" ht="14.25" customHeight="1">
      <c r="AQ413" s="54"/>
    </row>
    <row r="414" ht="14.25" customHeight="1">
      <c r="AQ414" s="54"/>
    </row>
    <row r="415" ht="14.25" customHeight="1">
      <c r="AQ415" s="54"/>
    </row>
    <row r="416" ht="14.25" customHeight="1">
      <c r="AQ416" s="54"/>
    </row>
    <row r="417" ht="14.25" customHeight="1">
      <c r="AQ417" s="54"/>
    </row>
    <row r="418" ht="14.25" customHeight="1">
      <c r="AQ418" s="54"/>
    </row>
    <row r="419" ht="14.25" customHeight="1">
      <c r="AQ419" s="54"/>
    </row>
    <row r="420" ht="14.25" customHeight="1">
      <c r="AQ420" s="54"/>
    </row>
    <row r="421" ht="14.25" customHeight="1">
      <c r="AQ421" s="54"/>
    </row>
    <row r="422" ht="14.25" customHeight="1">
      <c r="AQ422" s="54"/>
    </row>
    <row r="423" ht="14.25" customHeight="1">
      <c r="AQ423" s="54"/>
    </row>
    <row r="424" ht="14.25" customHeight="1">
      <c r="AQ424" s="54"/>
    </row>
    <row r="425" ht="14.25" customHeight="1">
      <c r="AQ425" s="54"/>
    </row>
    <row r="426" ht="14.25" customHeight="1">
      <c r="AQ426" s="54"/>
    </row>
    <row r="427" ht="14.25" customHeight="1">
      <c r="AQ427" s="54"/>
    </row>
    <row r="428" ht="14.25" customHeight="1">
      <c r="AQ428" s="54"/>
    </row>
    <row r="429" ht="14.25" customHeight="1">
      <c r="AQ429" s="54"/>
    </row>
    <row r="430" ht="14.25" customHeight="1">
      <c r="AQ430" s="54"/>
    </row>
    <row r="431" ht="14.25" customHeight="1">
      <c r="AQ431" s="54"/>
    </row>
    <row r="432" ht="14.25" customHeight="1">
      <c r="AQ432" s="54"/>
    </row>
    <row r="433" ht="14.25" customHeight="1">
      <c r="AQ433" s="54"/>
    </row>
    <row r="434" ht="14.25" customHeight="1">
      <c r="AQ434" s="54"/>
    </row>
    <row r="435" ht="14.25" customHeight="1">
      <c r="AQ435" s="54"/>
    </row>
    <row r="436" ht="14.25" customHeight="1">
      <c r="AQ436" s="54"/>
    </row>
    <row r="437" ht="14.25" customHeight="1">
      <c r="AQ437" s="54"/>
    </row>
    <row r="438" ht="14.25" customHeight="1">
      <c r="AQ438" s="54"/>
    </row>
    <row r="439" ht="14.25" customHeight="1">
      <c r="AQ439" s="54"/>
    </row>
    <row r="440" ht="14.25" customHeight="1">
      <c r="AQ440" s="54"/>
    </row>
    <row r="441" ht="14.25" customHeight="1">
      <c r="AQ441" s="54"/>
    </row>
    <row r="442" ht="14.25" customHeight="1">
      <c r="AQ442" s="54"/>
    </row>
    <row r="443" ht="14.25" customHeight="1">
      <c r="AQ443" s="54"/>
    </row>
    <row r="444" ht="14.25" customHeight="1">
      <c r="AQ444" s="54"/>
    </row>
    <row r="445" ht="14.25" customHeight="1">
      <c r="AQ445" s="54"/>
    </row>
    <row r="446" ht="14.25" customHeight="1">
      <c r="AQ446" s="54"/>
    </row>
    <row r="447" ht="14.25" customHeight="1">
      <c r="AQ447" s="54"/>
    </row>
    <row r="448" ht="14.25" customHeight="1">
      <c r="AQ448" s="54"/>
    </row>
    <row r="449" ht="14.25" customHeight="1">
      <c r="AQ449" s="54"/>
    </row>
    <row r="450" ht="14.25" customHeight="1">
      <c r="AQ450" s="54"/>
    </row>
    <row r="451" ht="14.25" customHeight="1">
      <c r="AQ451" s="54"/>
    </row>
    <row r="452" ht="14.25" customHeight="1">
      <c r="AQ452" s="54"/>
    </row>
    <row r="453" ht="14.25" customHeight="1">
      <c r="AQ453" s="54"/>
    </row>
    <row r="454" ht="14.25" customHeight="1">
      <c r="AQ454" s="54"/>
    </row>
    <row r="455" ht="14.25" customHeight="1">
      <c r="AQ455" s="54"/>
    </row>
    <row r="456" ht="14.25" customHeight="1">
      <c r="AQ456" s="54"/>
    </row>
    <row r="457" ht="14.25" customHeight="1">
      <c r="AQ457" s="54"/>
    </row>
    <row r="458" ht="14.25" customHeight="1">
      <c r="AQ458" s="54"/>
    </row>
    <row r="459" ht="14.25" customHeight="1">
      <c r="AQ459" s="54"/>
    </row>
    <row r="460" ht="14.25" customHeight="1">
      <c r="AQ460" s="54"/>
    </row>
    <row r="461" ht="14.25" customHeight="1">
      <c r="AQ461" s="54"/>
    </row>
    <row r="462" ht="14.25" customHeight="1">
      <c r="AQ462" s="54"/>
    </row>
    <row r="463" ht="14.25" customHeight="1">
      <c r="AQ463" s="54"/>
    </row>
    <row r="464" ht="14.25" customHeight="1">
      <c r="AQ464" s="54"/>
    </row>
    <row r="465" ht="14.25" customHeight="1">
      <c r="AQ465" s="54"/>
    </row>
    <row r="466" ht="14.25" customHeight="1">
      <c r="AQ466" s="54"/>
    </row>
    <row r="467" ht="14.25" customHeight="1">
      <c r="AQ467" s="54"/>
    </row>
    <row r="468" ht="14.25" customHeight="1">
      <c r="AQ468" s="54"/>
    </row>
    <row r="469" ht="14.25" customHeight="1">
      <c r="AQ469" s="54"/>
    </row>
    <row r="470" ht="14.25" customHeight="1">
      <c r="AQ470" s="54"/>
    </row>
    <row r="471" ht="14.25" customHeight="1">
      <c r="AQ471" s="54"/>
    </row>
    <row r="472" ht="14.25" customHeight="1">
      <c r="AQ472" s="54"/>
    </row>
    <row r="473" ht="14.25" customHeight="1">
      <c r="AQ473" s="54"/>
    </row>
    <row r="474" ht="14.25" customHeight="1">
      <c r="AQ474" s="54"/>
    </row>
    <row r="475" ht="14.25" customHeight="1">
      <c r="AQ475" s="54"/>
    </row>
    <row r="476" ht="14.25" customHeight="1">
      <c r="AQ476" s="54"/>
    </row>
    <row r="477" ht="14.25" customHeight="1">
      <c r="AQ477" s="54"/>
    </row>
    <row r="478" ht="14.25" customHeight="1">
      <c r="AQ478" s="54"/>
    </row>
    <row r="479" ht="14.25" customHeight="1">
      <c r="AQ479" s="54"/>
    </row>
    <row r="480" ht="14.25" customHeight="1">
      <c r="AQ480" s="54"/>
    </row>
    <row r="481" ht="14.25" customHeight="1">
      <c r="AQ481" s="54"/>
    </row>
    <row r="482" ht="14.25" customHeight="1">
      <c r="AQ482" s="54"/>
    </row>
    <row r="483" ht="14.25" customHeight="1">
      <c r="AQ483" s="54"/>
    </row>
    <row r="484" ht="14.25" customHeight="1">
      <c r="AQ484" s="54"/>
    </row>
    <row r="485" ht="14.25" customHeight="1">
      <c r="AQ485" s="54"/>
    </row>
    <row r="486" ht="14.25" customHeight="1">
      <c r="AQ486" s="54"/>
    </row>
    <row r="487" ht="14.25" customHeight="1">
      <c r="AQ487" s="54"/>
    </row>
    <row r="488" ht="14.25" customHeight="1">
      <c r="AQ488" s="54"/>
    </row>
    <row r="489" ht="14.25" customHeight="1">
      <c r="AQ489" s="54"/>
    </row>
    <row r="490" ht="14.25" customHeight="1">
      <c r="AQ490" s="54"/>
    </row>
    <row r="491" ht="14.25" customHeight="1">
      <c r="AQ491" s="54"/>
    </row>
    <row r="492" ht="14.25" customHeight="1">
      <c r="AQ492" s="54"/>
    </row>
    <row r="493" ht="14.25" customHeight="1">
      <c r="AQ493" s="54"/>
    </row>
    <row r="494" ht="14.25" customHeight="1">
      <c r="AQ494" s="54"/>
    </row>
    <row r="495" ht="14.25" customHeight="1">
      <c r="AQ495" s="54"/>
    </row>
    <row r="496" ht="14.25" customHeight="1">
      <c r="AQ496" s="54"/>
    </row>
    <row r="497" ht="14.25" customHeight="1">
      <c r="AQ497" s="54"/>
    </row>
    <row r="498" ht="14.25" customHeight="1">
      <c r="AQ498" s="54"/>
    </row>
    <row r="499" ht="14.25" customHeight="1">
      <c r="AQ499" s="54"/>
    </row>
    <row r="500" ht="14.25" customHeight="1">
      <c r="AQ500" s="54"/>
    </row>
    <row r="501" ht="14.25" customHeight="1">
      <c r="AQ501" s="54"/>
    </row>
    <row r="502" ht="14.25" customHeight="1">
      <c r="AQ502" s="54"/>
    </row>
    <row r="503" ht="14.25" customHeight="1">
      <c r="AQ503" s="54"/>
    </row>
    <row r="504" ht="14.25" customHeight="1">
      <c r="AQ504" s="54"/>
    </row>
    <row r="505" ht="14.25" customHeight="1">
      <c r="AQ505" s="54"/>
    </row>
    <row r="506" ht="14.25" customHeight="1">
      <c r="AQ506" s="54"/>
    </row>
    <row r="507" ht="14.25" customHeight="1">
      <c r="AQ507" s="54"/>
    </row>
    <row r="508" ht="14.25" customHeight="1">
      <c r="AQ508" s="54"/>
    </row>
    <row r="509" ht="14.25" customHeight="1">
      <c r="AQ509" s="54"/>
    </row>
    <row r="510" ht="14.25" customHeight="1">
      <c r="AQ510" s="54"/>
    </row>
    <row r="511" ht="14.25" customHeight="1">
      <c r="AQ511" s="54"/>
    </row>
    <row r="512" ht="14.25" customHeight="1">
      <c r="AQ512" s="54"/>
    </row>
    <row r="513" ht="14.25" customHeight="1">
      <c r="AQ513" s="54"/>
    </row>
    <row r="514" ht="14.25" customHeight="1">
      <c r="AQ514" s="54"/>
    </row>
    <row r="515" ht="14.25" customHeight="1">
      <c r="AQ515" s="54"/>
    </row>
    <row r="516" ht="14.25" customHeight="1">
      <c r="AQ516" s="54"/>
    </row>
    <row r="517" ht="14.25" customHeight="1">
      <c r="AQ517" s="54"/>
    </row>
    <row r="518" ht="14.25" customHeight="1">
      <c r="AQ518" s="54"/>
    </row>
    <row r="519" ht="14.25" customHeight="1">
      <c r="AQ519" s="54"/>
    </row>
    <row r="520" ht="14.25" customHeight="1">
      <c r="AQ520" s="54"/>
    </row>
    <row r="521" ht="14.25" customHeight="1">
      <c r="AQ521" s="54"/>
    </row>
    <row r="522" ht="14.25" customHeight="1">
      <c r="AQ522" s="54"/>
    </row>
    <row r="523" ht="14.25" customHeight="1">
      <c r="AQ523" s="54"/>
    </row>
    <row r="524" ht="14.25" customHeight="1">
      <c r="AQ524" s="54"/>
    </row>
    <row r="525" ht="14.25" customHeight="1">
      <c r="AQ525" s="54"/>
    </row>
    <row r="526" ht="14.25" customHeight="1">
      <c r="AQ526" s="54"/>
    </row>
    <row r="527" ht="14.25" customHeight="1">
      <c r="AQ527" s="54"/>
    </row>
    <row r="528" ht="14.25" customHeight="1">
      <c r="AQ528" s="54"/>
    </row>
    <row r="529" ht="14.25" customHeight="1">
      <c r="AQ529" s="54"/>
    </row>
    <row r="530" ht="14.25" customHeight="1">
      <c r="AQ530" s="54"/>
    </row>
    <row r="531" ht="14.25" customHeight="1">
      <c r="AQ531" s="54"/>
    </row>
    <row r="532" ht="14.25" customHeight="1">
      <c r="AQ532" s="54"/>
    </row>
    <row r="533" ht="14.25" customHeight="1">
      <c r="AQ533" s="54"/>
    </row>
    <row r="534" ht="14.25" customHeight="1">
      <c r="AQ534" s="54"/>
    </row>
    <row r="535" ht="14.25" customHeight="1">
      <c r="AQ535" s="54"/>
    </row>
    <row r="536" ht="14.25" customHeight="1">
      <c r="AQ536" s="54"/>
    </row>
    <row r="537" ht="14.25" customHeight="1">
      <c r="AQ537" s="54"/>
    </row>
    <row r="538" ht="14.25" customHeight="1">
      <c r="AQ538" s="54"/>
    </row>
    <row r="539" ht="14.25" customHeight="1">
      <c r="AQ539" s="54"/>
    </row>
    <row r="540" ht="14.25" customHeight="1">
      <c r="AQ540" s="54"/>
    </row>
    <row r="541" ht="14.25" customHeight="1">
      <c r="AQ541" s="54"/>
    </row>
    <row r="542" ht="14.25" customHeight="1">
      <c r="AQ542" s="54"/>
    </row>
    <row r="543" ht="14.25" customHeight="1">
      <c r="AQ543" s="54"/>
    </row>
    <row r="544" ht="14.25" customHeight="1">
      <c r="AQ544" s="54"/>
    </row>
    <row r="545" ht="14.25" customHeight="1">
      <c r="AQ545" s="54"/>
    </row>
    <row r="546" ht="14.25" customHeight="1">
      <c r="AQ546" s="54"/>
    </row>
    <row r="547" ht="14.25" customHeight="1">
      <c r="AQ547" s="54"/>
    </row>
    <row r="548" ht="14.25" customHeight="1">
      <c r="AQ548" s="54"/>
    </row>
    <row r="549" ht="14.25" customHeight="1">
      <c r="AQ549" s="54"/>
    </row>
    <row r="550" ht="14.25" customHeight="1">
      <c r="AQ550" s="54"/>
    </row>
    <row r="551" ht="14.25" customHeight="1">
      <c r="AQ551" s="54"/>
    </row>
    <row r="552" ht="14.25" customHeight="1">
      <c r="AQ552" s="54"/>
    </row>
    <row r="553" ht="14.25" customHeight="1">
      <c r="AQ553" s="54"/>
    </row>
    <row r="554" ht="14.25" customHeight="1">
      <c r="AQ554" s="54"/>
    </row>
    <row r="555" ht="14.25" customHeight="1">
      <c r="AQ555" s="54"/>
    </row>
    <row r="556" ht="14.25" customHeight="1">
      <c r="AQ556" s="54"/>
    </row>
    <row r="557" ht="14.25" customHeight="1">
      <c r="AQ557" s="54"/>
    </row>
    <row r="558" ht="14.25" customHeight="1">
      <c r="AQ558" s="54"/>
    </row>
    <row r="559" ht="14.25" customHeight="1">
      <c r="AQ559" s="54"/>
    </row>
    <row r="560" ht="14.25" customHeight="1">
      <c r="AQ560" s="54"/>
    </row>
    <row r="561" ht="14.25" customHeight="1">
      <c r="AQ561" s="54"/>
    </row>
    <row r="562" ht="14.25" customHeight="1">
      <c r="AQ562" s="54"/>
    </row>
    <row r="563" ht="14.25" customHeight="1">
      <c r="AQ563" s="54"/>
    </row>
    <row r="564" ht="14.25" customHeight="1">
      <c r="AQ564" s="54"/>
    </row>
    <row r="565" ht="14.25" customHeight="1">
      <c r="AQ565" s="54"/>
    </row>
    <row r="566" ht="14.25" customHeight="1">
      <c r="AQ566" s="54"/>
    </row>
    <row r="567" ht="14.25" customHeight="1">
      <c r="AQ567" s="54"/>
    </row>
    <row r="568" ht="14.25" customHeight="1">
      <c r="AQ568" s="54"/>
    </row>
    <row r="569" ht="14.25" customHeight="1">
      <c r="AQ569" s="54"/>
    </row>
    <row r="570" ht="14.25" customHeight="1">
      <c r="AQ570" s="54"/>
    </row>
    <row r="571" ht="14.25" customHeight="1">
      <c r="AQ571" s="54"/>
    </row>
    <row r="572" ht="14.25" customHeight="1">
      <c r="AQ572" s="54"/>
    </row>
    <row r="573" ht="14.25" customHeight="1">
      <c r="AQ573" s="54"/>
    </row>
    <row r="574" ht="14.25" customHeight="1">
      <c r="AQ574" s="54"/>
    </row>
    <row r="575" ht="14.25" customHeight="1">
      <c r="AQ575" s="54"/>
    </row>
    <row r="576" ht="14.25" customHeight="1">
      <c r="AQ576" s="54"/>
    </row>
    <row r="577" ht="14.25" customHeight="1">
      <c r="AQ577" s="54"/>
    </row>
    <row r="578" ht="14.25" customHeight="1">
      <c r="AQ578" s="54"/>
    </row>
    <row r="579" ht="14.25" customHeight="1">
      <c r="AQ579" s="54"/>
    </row>
    <row r="580" ht="14.25" customHeight="1">
      <c r="AQ580" s="54"/>
    </row>
    <row r="581" ht="14.25" customHeight="1">
      <c r="AQ581" s="54"/>
    </row>
    <row r="582" ht="14.25" customHeight="1">
      <c r="AQ582" s="54"/>
    </row>
    <row r="583" ht="14.25" customHeight="1">
      <c r="AQ583" s="54"/>
    </row>
    <row r="584" ht="14.25" customHeight="1">
      <c r="AQ584" s="54"/>
    </row>
    <row r="585" ht="14.25" customHeight="1">
      <c r="AQ585" s="54"/>
    </row>
    <row r="586" ht="14.25" customHeight="1">
      <c r="AQ586" s="54"/>
    </row>
    <row r="587" ht="14.25" customHeight="1">
      <c r="AQ587" s="54"/>
    </row>
    <row r="588" ht="14.25" customHeight="1">
      <c r="AQ588" s="54"/>
    </row>
    <row r="589" ht="14.25" customHeight="1">
      <c r="AQ589" s="54"/>
    </row>
    <row r="590" ht="14.25" customHeight="1">
      <c r="AQ590" s="54"/>
    </row>
    <row r="591" ht="14.25" customHeight="1">
      <c r="AQ591" s="54"/>
    </row>
    <row r="592" ht="14.25" customHeight="1">
      <c r="AQ592" s="54"/>
    </row>
    <row r="593" ht="14.25" customHeight="1">
      <c r="AQ593" s="54"/>
    </row>
    <row r="594" ht="14.25" customHeight="1">
      <c r="AQ594" s="54"/>
    </row>
    <row r="595" ht="14.25" customHeight="1">
      <c r="AQ595" s="54"/>
    </row>
    <row r="596" ht="14.25" customHeight="1">
      <c r="AQ596" s="54"/>
    </row>
    <row r="597" ht="14.25" customHeight="1">
      <c r="AQ597" s="54"/>
    </row>
    <row r="598" ht="14.25" customHeight="1">
      <c r="AQ598" s="54"/>
    </row>
    <row r="599" ht="14.25" customHeight="1">
      <c r="AQ599" s="54"/>
    </row>
    <row r="600" ht="14.25" customHeight="1">
      <c r="AQ600" s="54"/>
    </row>
    <row r="601" ht="14.25" customHeight="1">
      <c r="AQ601" s="54"/>
    </row>
    <row r="602" ht="14.25" customHeight="1">
      <c r="AQ602" s="54"/>
    </row>
    <row r="603" ht="14.25" customHeight="1">
      <c r="AQ603" s="54"/>
    </row>
    <row r="604" ht="14.25" customHeight="1">
      <c r="AQ604" s="54"/>
    </row>
    <row r="605" ht="14.25" customHeight="1">
      <c r="AQ605" s="54"/>
    </row>
    <row r="606" ht="14.25" customHeight="1">
      <c r="AQ606" s="54"/>
    </row>
    <row r="607" ht="14.25" customHeight="1">
      <c r="AQ607" s="54"/>
    </row>
    <row r="608" ht="14.25" customHeight="1">
      <c r="AQ608" s="54"/>
    </row>
    <row r="609" ht="14.25" customHeight="1">
      <c r="AQ609" s="54"/>
    </row>
    <row r="610" ht="14.25" customHeight="1">
      <c r="AQ610" s="54"/>
    </row>
    <row r="611" ht="14.25" customHeight="1">
      <c r="AQ611" s="54"/>
    </row>
    <row r="612" ht="14.25" customHeight="1">
      <c r="AQ612" s="54"/>
    </row>
    <row r="613" ht="14.25" customHeight="1">
      <c r="AQ613" s="54"/>
    </row>
    <row r="614" ht="14.25" customHeight="1">
      <c r="AQ614" s="54"/>
    </row>
    <row r="615" ht="14.25" customHeight="1">
      <c r="AQ615" s="54"/>
    </row>
    <row r="616" ht="14.25" customHeight="1">
      <c r="AQ616" s="54"/>
    </row>
    <row r="617" ht="14.25" customHeight="1">
      <c r="AQ617" s="54"/>
    </row>
    <row r="618" ht="14.25" customHeight="1">
      <c r="AQ618" s="54"/>
    </row>
    <row r="619" ht="14.25" customHeight="1">
      <c r="AQ619" s="54"/>
    </row>
    <row r="620" ht="14.25" customHeight="1">
      <c r="AQ620" s="54"/>
    </row>
    <row r="621" ht="14.25" customHeight="1">
      <c r="AQ621" s="54"/>
    </row>
    <row r="622" ht="14.25" customHeight="1">
      <c r="AQ622" s="54"/>
    </row>
    <row r="623" ht="14.25" customHeight="1">
      <c r="AQ623" s="54"/>
    </row>
    <row r="624" ht="14.25" customHeight="1">
      <c r="AQ624" s="54"/>
    </row>
    <row r="625" ht="14.25" customHeight="1">
      <c r="AQ625" s="54"/>
    </row>
    <row r="626" ht="14.25" customHeight="1">
      <c r="AQ626" s="54"/>
    </row>
    <row r="627" ht="14.25" customHeight="1">
      <c r="AQ627" s="54"/>
    </row>
    <row r="628" ht="14.25" customHeight="1">
      <c r="AQ628" s="54"/>
    </row>
    <row r="629" ht="14.25" customHeight="1">
      <c r="AQ629" s="54"/>
    </row>
    <row r="630" ht="14.25" customHeight="1">
      <c r="AQ630" s="54"/>
    </row>
    <row r="631" ht="14.25" customHeight="1">
      <c r="AQ631" s="54"/>
    </row>
    <row r="632" ht="14.25" customHeight="1">
      <c r="AQ632" s="54"/>
    </row>
    <row r="633" ht="14.25" customHeight="1">
      <c r="AQ633" s="54"/>
    </row>
    <row r="634" ht="14.25" customHeight="1">
      <c r="AQ634" s="54"/>
    </row>
    <row r="635" ht="14.25" customHeight="1">
      <c r="AQ635" s="54"/>
    </row>
    <row r="636" ht="14.25" customHeight="1">
      <c r="AQ636" s="54"/>
    </row>
    <row r="637" ht="14.25" customHeight="1">
      <c r="AQ637" s="54"/>
    </row>
    <row r="638" ht="14.25" customHeight="1">
      <c r="AQ638" s="54"/>
    </row>
    <row r="639" ht="14.25" customHeight="1">
      <c r="AQ639" s="54"/>
    </row>
    <row r="640" ht="14.25" customHeight="1">
      <c r="AQ640" s="54"/>
    </row>
    <row r="641" ht="14.25" customHeight="1">
      <c r="AQ641" s="54"/>
    </row>
    <row r="642" ht="14.25" customHeight="1">
      <c r="AQ642" s="54"/>
    </row>
    <row r="643" ht="14.25" customHeight="1">
      <c r="AQ643" s="54"/>
    </row>
    <row r="644" ht="14.25" customHeight="1">
      <c r="AQ644" s="54"/>
    </row>
    <row r="645" ht="14.25" customHeight="1">
      <c r="AQ645" s="54"/>
    </row>
    <row r="646" ht="14.25" customHeight="1">
      <c r="AQ646" s="54"/>
    </row>
    <row r="647" ht="14.25" customHeight="1">
      <c r="AQ647" s="54"/>
    </row>
    <row r="648" ht="14.25" customHeight="1">
      <c r="AQ648" s="54"/>
    </row>
    <row r="649" ht="14.25" customHeight="1">
      <c r="AQ649" s="54"/>
    </row>
    <row r="650" ht="14.25" customHeight="1">
      <c r="AQ650" s="54"/>
    </row>
    <row r="651" ht="14.25" customHeight="1">
      <c r="AQ651" s="54"/>
    </row>
    <row r="652" ht="14.25" customHeight="1">
      <c r="AQ652" s="54"/>
    </row>
    <row r="653" ht="14.25" customHeight="1">
      <c r="AQ653" s="54"/>
    </row>
    <row r="654" ht="14.25" customHeight="1">
      <c r="AQ654" s="54"/>
    </row>
    <row r="655" ht="14.25" customHeight="1">
      <c r="AQ655" s="54"/>
    </row>
    <row r="656" ht="14.25" customHeight="1">
      <c r="AQ656" s="54"/>
    </row>
    <row r="657" ht="14.25" customHeight="1">
      <c r="AQ657" s="54"/>
    </row>
    <row r="658" ht="14.25" customHeight="1">
      <c r="AQ658" s="54"/>
    </row>
    <row r="659" ht="14.25" customHeight="1">
      <c r="AQ659" s="54"/>
    </row>
    <row r="660" ht="14.25" customHeight="1">
      <c r="AQ660" s="54"/>
    </row>
    <row r="661" ht="14.25" customHeight="1">
      <c r="AQ661" s="54"/>
    </row>
    <row r="662" ht="14.25" customHeight="1">
      <c r="AQ662" s="54"/>
    </row>
    <row r="663" ht="14.25" customHeight="1">
      <c r="AQ663" s="54"/>
    </row>
    <row r="664" ht="14.25" customHeight="1">
      <c r="AQ664" s="54"/>
    </row>
    <row r="665" ht="14.25" customHeight="1">
      <c r="AQ665" s="54"/>
    </row>
    <row r="666" ht="14.25" customHeight="1">
      <c r="AQ666" s="54"/>
    </row>
    <row r="667" ht="14.25" customHeight="1">
      <c r="AQ667" s="54"/>
    </row>
    <row r="668" ht="14.25" customHeight="1">
      <c r="AQ668" s="54"/>
    </row>
    <row r="669" ht="14.25" customHeight="1">
      <c r="AQ669" s="54"/>
    </row>
    <row r="670" ht="14.25" customHeight="1">
      <c r="AQ670" s="54"/>
    </row>
    <row r="671" ht="14.25" customHeight="1">
      <c r="AQ671" s="54"/>
    </row>
    <row r="672" ht="14.25" customHeight="1">
      <c r="AQ672" s="54"/>
    </row>
    <row r="673" ht="14.25" customHeight="1">
      <c r="AQ673" s="54"/>
    </row>
    <row r="674" ht="14.25" customHeight="1">
      <c r="AQ674" s="54"/>
    </row>
    <row r="675" ht="14.25" customHeight="1">
      <c r="AQ675" s="54"/>
    </row>
    <row r="676" ht="14.25" customHeight="1">
      <c r="AQ676" s="54"/>
    </row>
    <row r="677" ht="14.25" customHeight="1">
      <c r="AQ677" s="54"/>
    </row>
    <row r="678" ht="14.25" customHeight="1">
      <c r="AQ678" s="54"/>
    </row>
    <row r="679" ht="14.25" customHeight="1">
      <c r="AQ679" s="54"/>
    </row>
    <row r="680" ht="14.25" customHeight="1">
      <c r="AQ680" s="54"/>
    </row>
    <row r="681" ht="14.25" customHeight="1">
      <c r="AQ681" s="54"/>
    </row>
    <row r="682" ht="14.25" customHeight="1">
      <c r="AQ682" s="54"/>
    </row>
    <row r="683" ht="14.25" customHeight="1">
      <c r="AQ683" s="54"/>
    </row>
    <row r="684" ht="14.25" customHeight="1">
      <c r="AQ684" s="54"/>
    </row>
    <row r="685" ht="14.25" customHeight="1">
      <c r="AQ685" s="54"/>
    </row>
    <row r="686" ht="14.25" customHeight="1">
      <c r="AQ686" s="54"/>
    </row>
    <row r="687" ht="14.25" customHeight="1">
      <c r="AQ687" s="54"/>
    </row>
    <row r="688" ht="14.25" customHeight="1">
      <c r="AQ688" s="54"/>
    </row>
    <row r="689" ht="14.25" customHeight="1">
      <c r="AQ689" s="54"/>
    </row>
    <row r="690" ht="14.25" customHeight="1">
      <c r="AQ690" s="54"/>
    </row>
    <row r="691" ht="14.25" customHeight="1">
      <c r="AQ691" s="54"/>
    </row>
    <row r="692" ht="14.25" customHeight="1">
      <c r="AQ692" s="54"/>
    </row>
    <row r="693" ht="14.25" customHeight="1">
      <c r="AQ693" s="54"/>
    </row>
    <row r="694" ht="14.25" customHeight="1">
      <c r="AQ694" s="54"/>
    </row>
    <row r="695" ht="14.25" customHeight="1">
      <c r="AQ695" s="54"/>
    </row>
    <row r="696" ht="14.25" customHeight="1">
      <c r="AQ696" s="54"/>
    </row>
    <row r="697" ht="14.25" customHeight="1">
      <c r="AQ697" s="54"/>
    </row>
    <row r="698" ht="14.25" customHeight="1">
      <c r="AQ698" s="54"/>
    </row>
    <row r="699" ht="14.25" customHeight="1">
      <c r="AQ699" s="54"/>
    </row>
    <row r="700" ht="14.25" customHeight="1">
      <c r="AQ700" s="54"/>
    </row>
    <row r="701" ht="14.25" customHeight="1">
      <c r="AQ701" s="54"/>
    </row>
    <row r="702" ht="14.25" customHeight="1">
      <c r="AQ702" s="54"/>
    </row>
    <row r="703" ht="14.25" customHeight="1">
      <c r="AQ703" s="54"/>
    </row>
    <row r="704" ht="14.25" customHeight="1">
      <c r="AQ704" s="54"/>
    </row>
    <row r="705" ht="14.25" customHeight="1">
      <c r="AQ705" s="54"/>
    </row>
    <row r="706" ht="14.25" customHeight="1">
      <c r="AQ706" s="54"/>
    </row>
    <row r="707" ht="14.25" customHeight="1">
      <c r="AQ707" s="54"/>
    </row>
    <row r="708" ht="14.25" customHeight="1">
      <c r="AQ708" s="54"/>
    </row>
    <row r="709" ht="14.25" customHeight="1">
      <c r="AQ709" s="54"/>
    </row>
    <row r="710" ht="14.25" customHeight="1">
      <c r="AQ710" s="54"/>
    </row>
    <row r="711" ht="14.25" customHeight="1">
      <c r="AQ711" s="54"/>
    </row>
    <row r="712" ht="14.25" customHeight="1">
      <c r="AQ712" s="54"/>
    </row>
    <row r="713" ht="14.25" customHeight="1">
      <c r="AQ713" s="54"/>
    </row>
    <row r="714" ht="14.25" customHeight="1">
      <c r="AQ714" s="54"/>
    </row>
    <row r="715" ht="14.25" customHeight="1">
      <c r="AQ715" s="54"/>
    </row>
    <row r="716" ht="14.25" customHeight="1">
      <c r="AQ716" s="54"/>
    </row>
    <row r="717" ht="14.25" customHeight="1">
      <c r="AQ717" s="54"/>
    </row>
    <row r="718" ht="14.25" customHeight="1">
      <c r="AQ718" s="54"/>
    </row>
    <row r="719" ht="14.25" customHeight="1">
      <c r="AQ719" s="54"/>
    </row>
    <row r="720" ht="14.25" customHeight="1">
      <c r="AQ720" s="54"/>
    </row>
    <row r="721" ht="14.25" customHeight="1">
      <c r="AQ721" s="54"/>
    </row>
    <row r="722" ht="14.25" customHeight="1">
      <c r="AQ722" s="54"/>
    </row>
    <row r="723" ht="14.25" customHeight="1">
      <c r="AQ723" s="54"/>
    </row>
    <row r="724" ht="14.25" customHeight="1">
      <c r="AQ724" s="54"/>
    </row>
    <row r="725" ht="14.25" customHeight="1">
      <c r="AQ725" s="54"/>
    </row>
    <row r="726" ht="14.25" customHeight="1">
      <c r="AQ726" s="54"/>
    </row>
    <row r="727" ht="14.25" customHeight="1">
      <c r="AQ727" s="54"/>
    </row>
    <row r="728" ht="14.25" customHeight="1">
      <c r="AQ728" s="54"/>
    </row>
    <row r="729" ht="14.25" customHeight="1">
      <c r="AQ729" s="54"/>
    </row>
    <row r="730" ht="14.25" customHeight="1">
      <c r="AQ730" s="54"/>
    </row>
    <row r="731" ht="14.25" customHeight="1">
      <c r="AQ731" s="54"/>
    </row>
    <row r="732" ht="14.25" customHeight="1">
      <c r="AQ732" s="54"/>
    </row>
    <row r="733" ht="14.25" customHeight="1">
      <c r="AQ733" s="54"/>
    </row>
    <row r="734" ht="14.25" customHeight="1">
      <c r="AQ734" s="54"/>
    </row>
    <row r="735" ht="14.25" customHeight="1">
      <c r="AQ735" s="54"/>
    </row>
    <row r="736" ht="14.25" customHeight="1">
      <c r="AQ736" s="54"/>
    </row>
    <row r="737" ht="14.25" customHeight="1">
      <c r="AQ737" s="54"/>
    </row>
    <row r="738" ht="14.25" customHeight="1">
      <c r="AQ738" s="54"/>
    </row>
    <row r="739" ht="14.25" customHeight="1">
      <c r="AQ739" s="54"/>
    </row>
    <row r="740" ht="14.25" customHeight="1">
      <c r="AQ740" s="54"/>
    </row>
    <row r="741" ht="14.25" customHeight="1">
      <c r="AQ741" s="54"/>
    </row>
    <row r="742" ht="14.25" customHeight="1">
      <c r="AQ742" s="54"/>
    </row>
    <row r="743" ht="14.25" customHeight="1">
      <c r="AQ743" s="54"/>
    </row>
    <row r="744" ht="14.25" customHeight="1">
      <c r="AQ744" s="54"/>
    </row>
    <row r="745" ht="14.25" customHeight="1">
      <c r="AQ745" s="54"/>
    </row>
    <row r="746" ht="14.25" customHeight="1">
      <c r="AQ746" s="54"/>
    </row>
    <row r="747" ht="14.25" customHeight="1">
      <c r="AQ747" s="54"/>
    </row>
    <row r="748" ht="14.25" customHeight="1">
      <c r="AQ748" s="54"/>
    </row>
    <row r="749" ht="14.25" customHeight="1">
      <c r="AQ749" s="54"/>
    </row>
    <row r="750" ht="14.25" customHeight="1">
      <c r="AQ750" s="54"/>
    </row>
    <row r="751" ht="14.25" customHeight="1">
      <c r="AQ751" s="54"/>
    </row>
    <row r="752" ht="14.25" customHeight="1">
      <c r="AQ752" s="54"/>
    </row>
    <row r="753" ht="14.25" customHeight="1">
      <c r="AQ753" s="54"/>
    </row>
    <row r="754" ht="14.25" customHeight="1">
      <c r="AQ754" s="54"/>
    </row>
    <row r="755" ht="14.25" customHeight="1">
      <c r="AQ755" s="54"/>
    </row>
    <row r="756" ht="14.25" customHeight="1">
      <c r="AQ756" s="54"/>
    </row>
    <row r="757" ht="14.25" customHeight="1">
      <c r="AQ757" s="54"/>
    </row>
    <row r="758" ht="14.25" customHeight="1">
      <c r="AQ758" s="54"/>
    </row>
    <row r="759" ht="14.25" customHeight="1">
      <c r="AQ759" s="54"/>
    </row>
    <row r="760" ht="14.25" customHeight="1">
      <c r="AQ760" s="54"/>
    </row>
    <row r="761" ht="14.25" customHeight="1">
      <c r="AQ761" s="54"/>
    </row>
    <row r="762" ht="14.25" customHeight="1">
      <c r="AQ762" s="54"/>
    </row>
    <row r="763" ht="14.25" customHeight="1">
      <c r="AQ763" s="54"/>
    </row>
    <row r="764" ht="14.25" customHeight="1">
      <c r="AQ764" s="54"/>
    </row>
    <row r="765" ht="14.25" customHeight="1">
      <c r="AQ765" s="54"/>
    </row>
    <row r="766" ht="14.25" customHeight="1">
      <c r="AQ766" s="54"/>
    </row>
    <row r="767" ht="14.25" customHeight="1">
      <c r="AQ767" s="54"/>
    </row>
    <row r="768" ht="14.25" customHeight="1">
      <c r="AQ768" s="54"/>
    </row>
    <row r="769" ht="14.25" customHeight="1">
      <c r="AQ769" s="54"/>
    </row>
    <row r="770" ht="14.25" customHeight="1">
      <c r="AQ770" s="54"/>
    </row>
    <row r="771" ht="14.25" customHeight="1">
      <c r="AQ771" s="54"/>
    </row>
    <row r="772" ht="14.25" customHeight="1">
      <c r="AQ772" s="54"/>
    </row>
    <row r="773" ht="14.25" customHeight="1">
      <c r="AQ773" s="54"/>
    </row>
    <row r="774" ht="14.25" customHeight="1">
      <c r="AQ774" s="54"/>
    </row>
    <row r="775" ht="14.25" customHeight="1">
      <c r="AQ775" s="54"/>
    </row>
    <row r="776" ht="14.25" customHeight="1">
      <c r="AQ776" s="54"/>
    </row>
    <row r="777" ht="14.25" customHeight="1">
      <c r="AQ777" s="54"/>
    </row>
    <row r="778" ht="14.25" customHeight="1">
      <c r="AQ778" s="54"/>
    </row>
    <row r="779" ht="14.25" customHeight="1">
      <c r="AQ779" s="54"/>
    </row>
    <row r="780" ht="14.25" customHeight="1">
      <c r="AQ780" s="54"/>
    </row>
    <row r="781" ht="14.25" customHeight="1">
      <c r="AQ781" s="54"/>
    </row>
    <row r="782" ht="14.25" customHeight="1">
      <c r="AQ782" s="54"/>
    </row>
    <row r="783" ht="14.25" customHeight="1">
      <c r="AQ783" s="54"/>
    </row>
    <row r="784" ht="14.25" customHeight="1">
      <c r="AQ784" s="54"/>
    </row>
    <row r="785" ht="14.25" customHeight="1">
      <c r="AQ785" s="54"/>
    </row>
    <row r="786" ht="14.25" customHeight="1">
      <c r="AQ786" s="54"/>
    </row>
    <row r="787" ht="14.25" customHeight="1">
      <c r="AQ787" s="54"/>
    </row>
    <row r="788" ht="14.25" customHeight="1">
      <c r="AQ788" s="54"/>
    </row>
    <row r="789" ht="14.25" customHeight="1">
      <c r="AQ789" s="54"/>
    </row>
    <row r="790" ht="14.25" customHeight="1">
      <c r="AQ790" s="54"/>
    </row>
    <row r="791" ht="14.25" customHeight="1">
      <c r="AQ791" s="54"/>
    </row>
    <row r="792" ht="14.25" customHeight="1">
      <c r="AQ792" s="54"/>
    </row>
    <row r="793" ht="14.25" customHeight="1">
      <c r="AQ793" s="54"/>
    </row>
    <row r="794" ht="14.25" customHeight="1">
      <c r="AQ794" s="54"/>
    </row>
    <row r="795" ht="14.25" customHeight="1">
      <c r="AQ795" s="54"/>
    </row>
    <row r="796" ht="14.25" customHeight="1">
      <c r="AQ796" s="54"/>
    </row>
    <row r="797" ht="14.25" customHeight="1">
      <c r="AQ797" s="54"/>
    </row>
    <row r="798" ht="14.25" customHeight="1">
      <c r="AQ798" s="54"/>
    </row>
    <row r="799" ht="14.25" customHeight="1">
      <c r="AQ799" s="54"/>
    </row>
    <row r="800" ht="14.25" customHeight="1">
      <c r="AQ800" s="54"/>
    </row>
    <row r="801" ht="14.25" customHeight="1">
      <c r="AQ801" s="54"/>
    </row>
    <row r="802" ht="14.25" customHeight="1">
      <c r="AQ802" s="54"/>
    </row>
    <row r="803" ht="14.25" customHeight="1">
      <c r="AQ803" s="54"/>
    </row>
    <row r="804" ht="14.25" customHeight="1">
      <c r="AQ804" s="54"/>
    </row>
    <row r="805" ht="14.25" customHeight="1">
      <c r="AQ805" s="54"/>
    </row>
    <row r="806" ht="14.25" customHeight="1">
      <c r="AQ806" s="54"/>
    </row>
    <row r="807" ht="14.25" customHeight="1">
      <c r="AQ807" s="54"/>
    </row>
    <row r="808" ht="14.25" customHeight="1">
      <c r="AQ808" s="54"/>
    </row>
    <row r="809" ht="14.25" customHeight="1">
      <c r="AQ809" s="54"/>
    </row>
    <row r="810" ht="14.25" customHeight="1">
      <c r="AQ810" s="54"/>
    </row>
    <row r="811" ht="14.25" customHeight="1">
      <c r="AQ811" s="54"/>
    </row>
    <row r="812" ht="14.25" customHeight="1">
      <c r="AQ812" s="54"/>
    </row>
    <row r="813" ht="14.25" customHeight="1">
      <c r="AQ813" s="54"/>
    </row>
    <row r="814" ht="14.25" customHeight="1">
      <c r="AQ814" s="54"/>
    </row>
    <row r="815" ht="14.25" customHeight="1">
      <c r="AQ815" s="54"/>
    </row>
    <row r="816" ht="14.25" customHeight="1">
      <c r="AQ816" s="54"/>
    </row>
    <row r="817" ht="14.25" customHeight="1">
      <c r="AQ817" s="54"/>
    </row>
    <row r="818" ht="14.25" customHeight="1">
      <c r="AQ818" s="54"/>
    </row>
    <row r="819" ht="14.25" customHeight="1">
      <c r="AQ819" s="54"/>
    </row>
    <row r="820" ht="14.25" customHeight="1">
      <c r="AQ820" s="54"/>
    </row>
    <row r="821" ht="14.25" customHeight="1">
      <c r="AQ821" s="54"/>
    </row>
    <row r="822" ht="14.25" customHeight="1">
      <c r="AQ822" s="54"/>
    </row>
    <row r="823" ht="14.25" customHeight="1">
      <c r="AQ823" s="54"/>
    </row>
    <row r="824" ht="14.25" customHeight="1">
      <c r="AQ824" s="54"/>
    </row>
    <row r="825" ht="14.25" customHeight="1">
      <c r="AQ825" s="54"/>
    </row>
    <row r="826" ht="14.25" customHeight="1">
      <c r="AQ826" s="54"/>
    </row>
    <row r="827" ht="14.25" customHeight="1">
      <c r="AQ827" s="54"/>
    </row>
    <row r="828" ht="14.25" customHeight="1">
      <c r="AQ828" s="54"/>
    </row>
    <row r="829" ht="14.25" customHeight="1">
      <c r="AQ829" s="54"/>
    </row>
    <row r="830" ht="14.25" customHeight="1">
      <c r="AQ830" s="54"/>
    </row>
    <row r="831" ht="14.25" customHeight="1">
      <c r="AQ831" s="54"/>
    </row>
    <row r="832" ht="14.25" customHeight="1">
      <c r="AQ832" s="54"/>
    </row>
    <row r="833" ht="14.25" customHeight="1">
      <c r="AQ833" s="54"/>
    </row>
    <row r="834" ht="14.25" customHeight="1">
      <c r="AQ834" s="54"/>
    </row>
    <row r="835" ht="14.25" customHeight="1">
      <c r="AQ835" s="54"/>
    </row>
    <row r="836" ht="14.25" customHeight="1">
      <c r="AQ836" s="54"/>
    </row>
    <row r="837" ht="14.25" customHeight="1">
      <c r="AQ837" s="54"/>
    </row>
    <row r="838" ht="14.25" customHeight="1">
      <c r="AQ838" s="54"/>
    </row>
    <row r="839" ht="14.25" customHeight="1">
      <c r="AQ839" s="54"/>
    </row>
    <row r="840" ht="14.25" customHeight="1">
      <c r="AQ840" s="54"/>
    </row>
    <row r="841" ht="14.25" customHeight="1">
      <c r="AQ841" s="54"/>
    </row>
    <row r="842" ht="14.25" customHeight="1">
      <c r="AQ842" s="54"/>
    </row>
    <row r="843" ht="14.25" customHeight="1">
      <c r="AQ843" s="54"/>
    </row>
    <row r="844" ht="14.25" customHeight="1">
      <c r="AQ844" s="54"/>
    </row>
    <row r="845" ht="14.25" customHeight="1">
      <c r="AQ845" s="54"/>
    </row>
    <row r="846" ht="14.25" customHeight="1">
      <c r="AQ846" s="54"/>
    </row>
    <row r="847" ht="14.25" customHeight="1">
      <c r="AQ847" s="54"/>
    </row>
    <row r="848" ht="14.25" customHeight="1">
      <c r="AQ848" s="54"/>
    </row>
    <row r="849" ht="14.25" customHeight="1">
      <c r="AQ849" s="54"/>
    </row>
    <row r="850" ht="14.25" customHeight="1">
      <c r="AQ850" s="54"/>
    </row>
    <row r="851" ht="14.25" customHeight="1">
      <c r="AQ851" s="54"/>
    </row>
    <row r="852" ht="14.25" customHeight="1">
      <c r="AQ852" s="54"/>
    </row>
    <row r="853" ht="14.25" customHeight="1">
      <c r="AQ853" s="54"/>
    </row>
    <row r="854" ht="14.25" customHeight="1">
      <c r="AQ854" s="54"/>
    </row>
    <row r="855" ht="14.25" customHeight="1">
      <c r="AQ855" s="54"/>
    </row>
    <row r="856" ht="14.25" customHeight="1">
      <c r="AQ856" s="54"/>
    </row>
    <row r="857" ht="14.25" customHeight="1">
      <c r="AQ857" s="54"/>
    </row>
    <row r="858" ht="14.25" customHeight="1">
      <c r="AQ858" s="54"/>
    </row>
    <row r="859" ht="14.25" customHeight="1">
      <c r="AQ859" s="54"/>
    </row>
    <row r="860" ht="14.25" customHeight="1">
      <c r="AQ860" s="54"/>
    </row>
    <row r="861" ht="14.25" customHeight="1">
      <c r="AQ861" s="54"/>
    </row>
    <row r="862" ht="14.25" customHeight="1">
      <c r="AQ862" s="54"/>
    </row>
    <row r="863" ht="14.25" customHeight="1">
      <c r="AQ863" s="54"/>
    </row>
    <row r="864" ht="14.25" customHeight="1">
      <c r="AQ864" s="54"/>
    </row>
    <row r="865" ht="14.25" customHeight="1">
      <c r="AQ865" s="54"/>
    </row>
    <row r="866" ht="14.25" customHeight="1">
      <c r="AQ866" s="54"/>
    </row>
    <row r="867" ht="14.25" customHeight="1">
      <c r="AQ867" s="54"/>
    </row>
    <row r="868" ht="14.25" customHeight="1">
      <c r="AQ868" s="54"/>
    </row>
    <row r="869" ht="14.25" customHeight="1">
      <c r="AQ869" s="54"/>
    </row>
    <row r="870" ht="14.25" customHeight="1">
      <c r="AQ870" s="54"/>
    </row>
    <row r="871" ht="14.25" customHeight="1">
      <c r="AQ871" s="54"/>
    </row>
    <row r="872" ht="14.25" customHeight="1">
      <c r="AQ872" s="54"/>
    </row>
    <row r="873" ht="14.25" customHeight="1">
      <c r="AQ873" s="54"/>
    </row>
    <row r="874" ht="14.25" customHeight="1">
      <c r="AQ874" s="54"/>
    </row>
    <row r="875" ht="14.25" customHeight="1">
      <c r="AQ875" s="54"/>
    </row>
    <row r="876" ht="14.25" customHeight="1">
      <c r="AQ876" s="54"/>
    </row>
    <row r="877" ht="14.25" customHeight="1">
      <c r="AQ877" s="54"/>
    </row>
    <row r="878" ht="14.25" customHeight="1">
      <c r="AQ878" s="54"/>
    </row>
    <row r="879" ht="14.25" customHeight="1">
      <c r="AQ879" s="54"/>
    </row>
    <row r="880" ht="14.25" customHeight="1">
      <c r="AQ880" s="54"/>
    </row>
    <row r="881" ht="14.25" customHeight="1">
      <c r="AQ881" s="54"/>
    </row>
    <row r="882" ht="14.25" customHeight="1">
      <c r="AQ882" s="54"/>
    </row>
    <row r="883" ht="14.25" customHeight="1">
      <c r="AQ883" s="54"/>
    </row>
    <row r="884" ht="14.25" customHeight="1">
      <c r="AQ884" s="54"/>
    </row>
    <row r="885" ht="14.25" customHeight="1">
      <c r="AQ885" s="54"/>
    </row>
    <row r="886" ht="14.25" customHeight="1">
      <c r="AQ886" s="54"/>
    </row>
    <row r="887" ht="14.25" customHeight="1">
      <c r="AQ887" s="54"/>
    </row>
    <row r="888" ht="14.25" customHeight="1">
      <c r="AQ888" s="54"/>
    </row>
    <row r="889" ht="14.25" customHeight="1">
      <c r="AQ889" s="54"/>
    </row>
    <row r="890" ht="14.25" customHeight="1">
      <c r="AQ890" s="54"/>
    </row>
    <row r="891" ht="14.25" customHeight="1">
      <c r="AQ891" s="54"/>
    </row>
    <row r="892" ht="14.25" customHeight="1">
      <c r="AQ892" s="54"/>
    </row>
    <row r="893" ht="14.25" customHeight="1">
      <c r="AQ893" s="54"/>
    </row>
    <row r="894" ht="14.25" customHeight="1">
      <c r="AQ894" s="54"/>
    </row>
    <row r="895" ht="14.25" customHeight="1">
      <c r="AQ895" s="54"/>
    </row>
    <row r="896" ht="14.25" customHeight="1">
      <c r="AQ896" s="54"/>
    </row>
    <row r="897" ht="14.25" customHeight="1">
      <c r="AQ897" s="54"/>
    </row>
    <row r="898" ht="14.25" customHeight="1">
      <c r="AQ898" s="54"/>
    </row>
    <row r="899" ht="14.25" customHeight="1">
      <c r="AQ899" s="54"/>
    </row>
    <row r="900" ht="14.25" customHeight="1">
      <c r="AQ900" s="54"/>
    </row>
    <row r="901" ht="14.25" customHeight="1">
      <c r="AQ901" s="54"/>
    </row>
    <row r="902" ht="14.25" customHeight="1">
      <c r="AQ902" s="54"/>
    </row>
    <row r="903" ht="14.25" customHeight="1">
      <c r="AQ903" s="54"/>
    </row>
    <row r="904" ht="14.25" customHeight="1">
      <c r="AQ904" s="54"/>
    </row>
    <row r="905" ht="14.25" customHeight="1">
      <c r="AQ905" s="54"/>
    </row>
    <row r="906" ht="14.25" customHeight="1">
      <c r="AQ906" s="54"/>
    </row>
    <row r="907" ht="14.25" customHeight="1">
      <c r="AQ907" s="54"/>
    </row>
    <row r="908" ht="14.25" customHeight="1">
      <c r="AQ908" s="54"/>
    </row>
    <row r="909" ht="14.25" customHeight="1">
      <c r="AQ909" s="54"/>
    </row>
    <row r="910" ht="14.25" customHeight="1">
      <c r="AQ910" s="54"/>
    </row>
    <row r="911" ht="14.25" customHeight="1">
      <c r="AQ911" s="54"/>
    </row>
    <row r="912" ht="14.25" customHeight="1">
      <c r="AQ912" s="54"/>
    </row>
    <row r="913" ht="14.25" customHeight="1">
      <c r="AQ913" s="54"/>
    </row>
    <row r="914" ht="14.25" customHeight="1">
      <c r="AQ914" s="54"/>
    </row>
    <row r="915" ht="14.25" customHeight="1">
      <c r="AQ915" s="54"/>
    </row>
    <row r="916" ht="14.25" customHeight="1">
      <c r="AQ916" s="54"/>
    </row>
    <row r="917" ht="14.25" customHeight="1">
      <c r="AQ917" s="54"/>
    </row>
    <row r="918" ht="14.25" customHeight="1">
      <c r="AQ918" s="54"/>
    </row>
    <row r="919" ht="14.25" customHeight="1">
      <c r="AQ919" s="54"/>
    </row>
    <row r="920" ht="14.25" customHeight="1">
      <c r="AQ920" s="54"/>
    </row>
    <row r="921" ht="14.25" customHeight="1">
      <c r="AQ921" s="54"/>
    </row>
    <row r="922" ht="14.25" customHeight="1">
      <c r="AQ922" s="54"/>
    </row>
    <row r="923" ht="14.25" customHeight="1">
      <c r="AQ923" s="54"/>
    </row>
    <row r="924" ht="14.25" customHeight="1">
      <c r="AQ924" s="54"/>
    </row>
    <row r="925" ht="14.25" customHeight="1">
      <c r="AQ925" s="54"/>
    </row>
    <row r="926" ht="14.25" customHeight="1">
      <c r="AQ926" s="54"/>
    </row>
    <row r="927" ht="14.25" customHeight="1">
      <c r="AQ927" s="54"/>
    </row>
    <row r="928" ht="14.25" customHeight="1">
      <c r="AQ928" s="54"/>
    </row>
    <row r="929" ht="14.25" customHeight="1">
      <c r="AQ929" s="54"/>
    </row>
    <row r="930" ht="14.25" customHeight="1">
      <c r="AQ930" s="54"/>
    </row>
    <row r="931" ht="14.25" customHeight="1">
      <c r="AQ931" s="54"/>
    </row>
    <row r="932" ht="14.25" customHeight="1">
      <c r="AQ932" s="54"/>
    </row>
    <row r="933" ht="14.25" customHeight="1">
      <c r="AQ933" s="54"/>
    </row>
    <row r="934" ht="14.25" customHeight="1">
      <c r="AQ934" s="54"/>
    </row>
    <row r="935" ht="14.25" customHeight="1">
      <c r="AQ935" s="54"/>
    </row>
    <row r="936" ht="14.25" customHeight="1">
      <c r="AQ936" s="54"/>
    </row>
    <row r="937" ht="14.25" customHeight="1">
      <c r="AQ937" s="54"/>
    </row>
    <row r="938" ht="14.25" customHeight="1">
      <c r="AQ938" s="54"/>
    </row>
    <row r="939" ht="14.25" customHeight="1">
      <c r="AQ939" s="54"/>
    </row>
    <row r="940" ht="14.25" customHeight="1">
      <c r="AQ940" s="54"/>
    </row>
    <row r="941" ht="14.25" customHeight="1">
      <c r="AQ941" s="54"/>
    </row>
    <row r="942" ht="14.25" customHeight="1">
      <c r="AQ942" s="54"/>
    </row>
    <row r="943" ht="14.25" customHeight="1">
      <c r="AQ943" s="54"/>
    </row>
    <row r="944" ht="14.25" customHeight="1">
      <c r="AQ944" s="54"/>
    </row>
    <row r="945" ht="14.25" customHeight="1">
      <c r="AQ945" s="54"/>
    </row>
    <row r="946" ht="14.25" customHeight="1">
      <c r="AQ946" s="54"/>
    </row>
    <row r="947" ht="14.25" customHeight="1">
      <c r="AQ947" s="54"/>
    </row>
    <row r="948" ht="14.25" customHeight="1">
      <c r="AQ948" s="54"/>
    </row>
    <row r="949" ht="14.25" customHeight="1">
      <c r="AQ949" s="54"/>
    </row>
    <row r="950" ht="14.25" customHeight="1">
      <c r="AQ950" s="54"/>
    </row>
    <row r="951" ht="14.25" customHeight="1">
      <c r="AQ951" s="54"/>
    </row>
    <row r="952" ht="14.25" customHeight="1">
      <c r="AQ952" s="54"/>
    </row>
    <row r="953" ht="14.25" customHeight="1">
      <c r="AQ953" s="54"/>
    </row>
    <row r="954" ht="14.25" customHeight="1">
      <c r="AQ954" s="54"/>
    </row>
    <row r="955" ht="14.25" customHeight="1">
      <c r="AQ955" s="54"/>
    </row>
    <row r="956" ht="14.25" customHeight="1">
      <c r="AQ956" s="54"/>
    </row>
    <row r="957" ht="14.25" customHeight="1">
      <c r="AQ957" s="54"/>
    </row>
    <row r="958" ht="14.25" customHeight="1">
      <c r="AQ958" s="54"/>
    </row>
    <row r="959" ht="14.25" customHeight="1">
      <c r="AQ959" s="54"/>
    </row>
    <row r="960" ht="14.25" customHeight="1">
      <c r="AQ960" s="54"/>
    </row>
    <row r="961" ht="14.25" customHeight="1">
      <c r="AQ961" s="54"/>
    </row>
    <row r="962" ht="14.25" customHeight="1">
      <c r="AQ962" s="54"/>
    </row>
    <row r="963" ht="14.25" customHeight="1">
      <c r="AQ963" s="54"/>
    </row>
    <row r="964" ht="14.25" customHeight="1">
      <c r="AQ964" s="54"/>
    </row>
    <row r="965" ht="14.25" customHeight="1">
      <c r="AQ965" s="54"/>
    </row>
    <row r="966" ht="14.25" customHeight="1">
      <c r="AQ966" s="54"/>
    </row>
    <row r="967" ht="14.25" customHeight="1">
      <c r="AQ967" s="54"/>
    </row>
    <row r="968" ht="14.25" customHeight="1">
      <c r="AQ968" s="54"/>
    </row>
    <row r="969" ht="14.25" customHeight="1">
      <c r="AQ969" s="54"/>
    </row>
    <row r="970" ht="14.25" customHeight="1">
      <c r="AQ970" s="54"/>
    </row>
    <row r="971" ht="14.25" customHeight="1">
      <c r="AQ971" s="54"/>
    </row>
    <row r="972" ht="14.25" customHeight="1">
      <c r="AQ972" s="54"/>
    </row>
    <row r="973" ht="14.25" customHeight="1">
      <c r="AQ973" s="54"/>
    </row>
    <row r="974" ht="14.25" customHeight="1">
      <c r="AQ974" s="54"/>
    </row>
    <row r="975" ht="14.25" customHeight="1">
      <c r="AQ975" s="54"/>
    </row>
    <row r="976" ht="14.25" customHeight="1">
      <c r="AQ976" s="54"/>
    </row>
    <row r="977" ht="14.25" customHeight="1">
      <c r="AQ977" s="54"/>
    </row>
    <row r="978" ht="14.25" customHeight="1">
      <c r="AQ978" s="54"/>
    </row>
    <row r="979" ht="14.25" customHeight="1">
      <c r="AQ979" s="54"/>
    </row>
    <row r="980" ht="14.25" customHeight="1">
      <c r="AQ980" s="54"/>
    </row>
    <row r="981" ht="14.25" customHeight="1">
      <c r="AQ981" s="54"/>
    </row>
    <row r="982" ht="14.25" customHeight="1">
      <c r="AQ982" s="54"/>
    </row>
    <row r="983" ht="14.25" customHeight="1">
      <c r="AQ983" s="54"/>
    </row>
    <row r="984" ht="14.25" customHeight="1">
      <c r="AQ984" s="54"/>
    </row>
    <row r="985" ht="14.25" customHeight="1">
      <c r="AQ985" s="54"/>
    </row>
    <row r="986" ht="14.25" customHeight="1">
      <c r="AQ986" s="54"/>
    </row>
    <row r="987" ht="14.25" customHeight="1">
      <c r="AQ987" s="54"/>
    </row>
    <row r="988" ht="14.25" customHeight="1">
      <c r="AQ988" s="54"/>
    </row>
    <row r="989" ht="14.25" customHeight="1">
      <c r="AQ989" s="54"/>
    </row>
    <row r="990" ht="14.25" customHeight="1">
      <c r="AQ990" s="54"/>
    </row>
    <row r="991" ht="14.25" customHeight="1">
      <c r="AQ991" s="54"/>
    </row>
    <row r="992" ht="14.25" customHeight="1">
      <c r="AQ992" s="54"/>
    </row>
    <row r="993" ht="14.25" customHeight="1">
      <c r="AQ993" s="54"/>
    </row>
    <row r="994" ht="14.25" customHeight="1">
      <c r="AQ994" s="54"/>
    </row>
    <row r="995" ht="14.25" customHeight="1">
      <c r="AQ995" s="54"/>
    </row>
    <row r="996" ht="14.25" customHeight="1">
      <c r="AQ996" s="54"/>
    </row>
    <row r="997" ht="14.25" customHeight="1">
      <c r="AQ997" s="54"/>
    </row>
    <row r="998" ht="14.25" customHeight="1">
      <c r="AQ998" s="54"/>
    </row>
    <row r="999" ht="14.25" customHeight="1">
      <c r="AQ999" s="54"/>
    </row>
    <row r="1000" ht="14.25" customHeight="1">
      <c r="AQ1000" s="54"/>
    </row>
  </sheetData>
  <mergeCells count="2">
    <mergeCell ref="P1:Q1"/>
    <mergeCell ref="R1:S1"/>
  </mergeCells>
  <hyperlinks>
    <hyperlink r:id="rId1" ref="AP3"/>
    <hyperlink r:id="rId2" ref="AP4"/>
    <hyperlink r:id="rId3" ref="AP5"/>
    <hyperlink r:id="rId4" ref="AP6"/>
    <hyperlink r:id="rId5" ref="AP7"/>
    <hyperlink r:id="rId6" ref="AP8"/>
    <hyperlink r:id="rId7" ref="AP9"/>
    <hyperlink r:id="rId8" ref="AP11"/>
    <hyperlink r:id="rId9" ref="AP14"/>
    <hyperlink r:id="rId10" ref="AP15"/>
    <hyperlink r:id="rId11" ref="AP16"/>
    <hyperlink r:id="rId12" ref="AP17"/>
    <hyperlink r:id="rId13" ref="AP18"/>
    <hyperlink r:id="rId14" ref="AP19"/>
    <hyperlink r:id="rId15" ref="AP20"/>
    <hyperlink r:id="rId16" ref="AP21"/>
    <hyperlink r:id="rId17" ref="AP22"/>
    <hyperlink r:id="rId18" ref="AP23"/>
    <hyperlink r:id="rId19" ref="AP24"/>
    <hyperlink r:id="rId20" ref="AP25"/>
    <hyperlink r:id="rId21" ref="AP26"/>
    <hyperlink r:id="rId22" ref="AP27"/>
    <hyperlink r:id="rId23" ref="AP28"/>
    <hyperlink r:id="rId24" ref="AP29"/>
  </hyperlinks>
  <printOptions/>
  <pageMargins bottom="0.75" footer="0.0" header="0.0" left="0.7" right="0.7" top="0.75"/>
  <pageSetup orientation="landscape"/>
  <drawing r:id="rId2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11.14"/>
    <col customWidth="1" min="3" max="3" width="12.14"/>
    <col customWidth="1" min="4" max="4" width="14.29"/>
    <col customWidth="1" min="5" max="6" width="14.14"/>
    <col customWidth="1" min="7" max="7" width="19.71"/>
    <col customWidth="1" min="8" max="8" width="19.29"/>
    <col customWidth="1" min="9" max="9" width="25.0"/>
    <col customWidth="1" min="10" max="10" width="23.57"/>
    <col customWidth="1" min="11" max="11" width="25.29"/>
    <col customWidth="1" min="12" max="12" width="20.43"/>
    <col customWidth="1" min="13" max="13" width="10.14"/>
    <col customWidth="1" min="14" max="14" width="19.43"/>
    <col customWidth="1" min="15" max="15" width="11.43"/>
    <col customWidth="1" min="16" max="16" width="11.86"/>
    <col customWidth="1" min="17" max="17" width="11.57"/>
    <col customWidth="1" min="18" max="18" width="10.43"/>
    <col customWidth="1" min="19" max="19" width="11.43"/>
    <col customWidth="1" min="20" max="20" width="12.14"/>
    <col customWidth="1" min="21" max="21" width="5.29"/>
    <col customWidth="1" min="22" max="22" width="7.71"/>
    <col customWidth="1" min="23" max="23" width="4.71"/>
    <col customWidth="1" min="24" max="24" width="15.14"/>
    <col customWidth="1" min="25" max="25" width="12.43"/>
    <col customWidth="1" min="26" max="26" width="15.29"/>
    <col customWidth="1" min="27" max="27" width="13.43"/>
    <col customWidth="1" min="28" max="28" width="15.29"/>
    <col customWidth="1" min="29" max="29" width="12.43"/>
    <col customWidth="1" min="30" max="30" width="11.14"/>
    <col customWidth="1" min="31" max="31" width="19.71"/>
    <col customWidth="1" min="32" max="32" width="10.43"/>
    <col customWidth="1" min="33" max="33" width="15.86"/>
    <col customWidth="1" min="34" max="35" width="20.86"/>
    <col customWidth="1" min="36" max="36" width="11.71"/>
    <col customWidth="1" min="37" max="37" width="12.43"/>
    <col customWidth="1" min="38" max="38" width="9.86"/>
    <col customWidth="1" min="39" max="39" width="53.14"/>
    <col customWidth="1" min="40" max="40" width="35.86"/>
    <col customWidth="1" min="41" max="41" width="35.57"/>
    <col customWidth="1" min="42" max="42" width="26.71"/>
    <col customWidth="1" min="43" max="43" width="25.0"/>
    <col customWidth="1" min="44" max="44" width="33.71"/>
    <col customWidth="1" min="45" max="45" width="23.14"/>
    <col customWidth="1" min="46" max="48" width="14.29"/>
    <col customWidth="1" min="49" max="49" width="19.57"/>
    <col customWidth="1" min="50" max="51" width="19.14"/>
    <col customWidth="1" min="52" max="52" width="16.29"/>
    <col customWidth="1" min="53" max="53" width="19.14"/>
    <col customWidth="1" min="54" max="54" width="23.0"/>
    <col customWidth="1" min="55" max="55" width="12.0"/>
    <col customWidth="1" min="56" max="56" width="9.0"/>
  </cols>
  <sheetData>
    <row r="1" ht="45.75" customHeight="1">
      <c r="A1" s="127" t="s">
        <v>1</v>
      </c>
      <c r="B1" s="127" t="s">
        <v>2</v>
      </c>
      <c r="C1" s="127" t="s">
        <v>3</v>
      </c>
      <c r="D1" s="127" t="s">
        <v>4</v>
      </c>
      <c r="E1" s="128" t="s">
        <v>5</v>
      </c>
      <c r="F1" s="128" t="s">
        <v>6</v>
      </c>
      <c r="G1" s="127" t="s">
        <v>7</v>
      </c>
      <c r="H1" s="127" t="s">
        <v>7</v>
      </c>
      <c r="I1" s="127"/>
      <c r="J1" s="127" t="s">
        <v>8</v>
      </c>
      <c r="K1" s="127" t="s">
        <v>10</v>
      </c>
      <c r="L1" s="127" t="s">
        <v>11</v>
      </c>
      <c r="M1" s="127" t="s">
        <v>12</v>
      </c>
      <c r="N1" s="127" t="s">
        <v>13</v>
      </c>
      <c r="O1" s="127" t="s">
        <v>14</v>
      </c>
      <c r="P1" s="129" t="s">
        <v>15</v>
      </c>
      <c r="Q1" s="9"/>
      <c r="R1" s="129" t="s">
        <v>16</v>
      </c>
      <c r="S1" s="9"/>
      <c r="T1" s="127" t="s">
        <v>17</v>
      </c>
      <c r="U1" s="127" t="s">
        <v>18</v>
      </c>
      <c r="V1" s="127" t="s">
        <v>19</v>
      </c>
      <c r="W1" s="127" t="s">
        <v>20</v>
      </c>
      <c r="X1" s="127" t="s">
        <v>21</v>
      </c>
      <c r="Y1" s="127" t="s">
        <v>22</v>
      </c>
      <c r="Z1" s="127" t="s">
        <v>23</v>
      </c>
      <c r="AA1" s="127" t="s">
        <v>24</v>
      </c>
      <c r="AB1" s="127" t="s">
        <v>23</v>
      </c>
      <c r="AC1" s="127" t="s">
        <v>26</v>
      </c>
      <c r="AD1" s="127" t="s">
        <v>27</v>
      </c>
      <c r="AE1" s="128" t="s">
        <v>28</v>
      </c>
      <c r="AF1" s="127" t="s">
        <v>29</v>
      </c>
      <c r="AG1" s="127" t="s">
        <v>30</v>
      </c>
      <c r="AH1" s="130" t="s">
        <v>31</v>
      </c>
      <c r="AI1" s="130" t="s">
        <v>32</v>
      </c>
      <c r="AJ1" s="127" t="s">
        <v>33</v>
      </c>
      <c r="AK1" s="127" t="s">
        <v>34</v>
      </c>
      <c r="AL1" s="127" t="s">
        <v>35</v>
      </c>
      <c r="AM1" s="127" t="s">
        <v>36</v>
      </c>
      <c r="AN1" s="127" t="s">
        <v>37</v>
      </c>
      <c r="AO1" s="127" t="s">
        <v>38</v>
      </c>
      <c r="AP1" s="127" t="s">
        <v>39</v>
      </c>
      <c r="AQ1" s="128" t="s">
        <v>40</v>
      </c>
      <c r="AR1" s="127" t="s">
        <v>41</v>
      </c>
      <c r="AS1" s="127" t="s">
        <v>42</v>
      </c>
      <c r="AT1" s="127" t="s">
        <v>43</v>
      </c>
      <c r="AU1" s="127" t="s">
        <v>44</v>
      </c>
      <c r="AV1" s="127" t="s">
        <v>45</v>
      </c>
      <c r="AW1" s="128" t="s">
        <v>46</v>
      </c>
      <c r="AX1" s="127" t="s">
        <v>47</v>
      </c>
      <c r="AY1" s="127" t="s">
        <v>48</v>
      </c>
      <c r="AZ1" s="127" t="s">
        <v>49</v>
      </c>
      <c r="BA1" s="127" t="s">
        <v>50</v>
      </c>
      <c r="BB1" s="127" t="s">
        <v>886</v>
      </c>
      <c r="BC1" s="127" t="s">
        <v>887</v>
      </c>
      <c r="BD1" s="131"/>
    </row>
    <row r="2" ht="15.75" customHeight="1">
      <c r="A2" s="14">
        <v>1.0</v>
      </c>
      <c r="B2" s="157" t="s">
        <v>1268</v>
      </c>
      <c r="C2" s="158" t="s">
        <v>1269</v>
      </c>
      <c r="D2" s="158" t="s">
        <v>1270</v>
      </c>
      <c r="E2" s="133" t="s">
        <v>87</v>
      </c>
      <c r="F2" s="133"/>
      <c r="G2" s="132" t="str">
        <f t="shared" ref="G2:G13" si="1">CONCATENATE(B2,", ",C2," ",E2,".")</f>
        <v>Bandibas, Jesrel L.</v>
      </c>
      <c r="H2" s="132" t="str">
        <f t="shared" ref="H2:H3" si="2">CONCATENATE(C2," ",E2,". ",B2)</f>
        <v>Jesrel L. Bandibas</v>
      </c>
      <c r="I2" s="132" t="str">
        <f t="shared" ref="I2:I13" si="3">CONCATENATE(B2,", ",C2," ",D2)</f>
        <v>Bandibas, Jesrel Llemit</v>
      </c>
      <c r="J2" s="133" t="s">
        <v>82</v>
      </c>
      <c r="K2" s="133" t="s">
        <v>191</v>
      </c>
      <c r="L2" s="133" t="s">
        <v>16</v>
      </c>
      <c r="M2" s="133" t="s">
        <v>105</v>
      </c>
      <c r="N2" s="133">
        <v>1.051122143E9</v>
      </c>
      <c r="O2" s="133">
        <v>44692.0</v>
      </c>
      <c r="P2" s="133"/>
      <c r="Q2" s="133"/>
      <c r="R2" s="133">
        <v>44692.0</v>
      </c>
      <c r="S2" s="133">
        <v>44875.0</v>
      </c>
      <c r="T2" s="159">
        <f t="shared" ref="T2:T22" si="4">TODAY()</f>
        <v>46132</v>
      </c>
      <c r="U2" s="133">
        <f t="shared" ref="U2:U22" si="5">DATEDIF(O2,T2,"y")</f>
        <v>3</v>
      </c>
      <c r="V2" s="133">
        <f t="shared" ref="V2:V22" si="6">DATEDIF(O2,T2,"ym")</f>
        <v>11</v>
      </c>
      <c r="W2" s="133">
        <f t="shared" ref="W2:W22" si="7">DATEDIF(O2,T2,"MD")</f>
        <v>9</v>
      </c>
      <c r="X2" s="133"/>
      <c r="Y2" s="133"/>
      <c r="Z2" s="133"/>
      <c r="AA2" s="133"/>
      <c r="AB2" s="133"/>
      <c r="AC2" s="133">
        <v>14006.75</v>
      </c>
      <c r="AD2" s="133"/>
      <c r="AE2" s="133">
        <v>14006.75</v>
      </c>
      <c r="AF2" s="160">
        <v>537.0</v>
      </c>
      <c r="AG2" s="133" t="s">
        <v>178</v>
      </c>
      <c r="AH2" s="140"/>
      <c r="AI2" s="140"/>
      <c r="AJ2" s="133" t="s">
        <v>62</v>
      </c>
      <c r="AK2" s="133">
        <v>32827.0</v>
      </c>
      <c r="AL2" s="160">
        <f t="shared" ref="AL2:AL22" si="8">((TODAY()-AK2)/365)</f>
        <v>36.45205479</v>
      </c>
      <c r="AM2" s="142" t="s">
        <v>1271</v>
      </c>
      <c r="AN2" s="142" t="s">
        <v>1272</v>
      </c>
      <c r="AO2" s="143">
        <v>9.27588203E9</v>
      </c>
      <c r="AP2" s="161" t="s">
        <v>1273</v>
      </c>
      <c r="AQ2" s="26" t="s">
        <v>110</v>
      </c>
      <c r="AR2" s="26" t="s">
        <v>298</v>
      </c>
      <c r="AS2" s="162" t="s">
        <v>1274</v>
      </c>
      <c r="AT2" s="162" t="s">
        <v>1275</v>
      </c>
      <c r="AU2" s="163" t="s">
        <v>1276</v>
      </c>
      <c r="AV2" s="162" t="s">
        <v>1277</v>
      </c>
      <c r="AW2" s="133"/>
      <c r="AX2" s="19" t="s">
        <v>1278</v>
      </c>
      <c r="AY2" s="19" t="s">
        <v>623</v>
      </c>
      <c r="AZ2" s="64">
        <v>9.166205455E9</v>
      </c>
      <c r="BA2" s="132" t="s">
        <v>900</v>
      </c>
      <c r="BB2" s="86"/>
      <c r="BC2" s="86">
        <v>44734.0</v>
      </c>
    </row>
    <row r="3" ht="14.25" customHeight="1">
      <c r="A3" s="14">
        <f t="shared" ref="A3:A47" si="9">+A2+1</f>
        <v>2</v>
      </c>
      <c r="B3" s="16" t="s">
        <v>1279</v>
      </c>
      <c r="C3" s="16" t="s">
        <v>1280</v>
      </c>
      <c r="D3" s="16" t="s">
        <v>1281</v>
      </c>
      <c r="E3" s="19" t="s">
        <v>132</v>
      </c>
      <c r="F3" s="19"/>
      <c r="G3" s="16" t="str">
        <f t="shared" si="1"/>
        <v>Dipad, Roi John  C.</v>
      </c>
      <c r="H3" s="16" t="str">
        <f t="shared" si="2"/>
        <v>Roi John  C. Dipad</v>
      </c>
      <c r="I3" s="26" t="str">
        <f t="shared" si="3"/>
        <v>Dipad, Roi John  Ciriaco</v>
      </c>
      <c r="J3" s="19" t="s">
        <v>82</v>
      </c>
      <c r="K3" s="19" t="s">
        <v>191</v>
      </c>
      <c r="L3" s="19" t="s">
        <v>16</v>
      </c>
      <c r="M3" s="19" t="s">
        <v>105</v>
      </c>
      <c r="N3" s="19">
        <v>1.051322242E9</v>
      </c>
      <c r="O3" s="19">
        <v>44694.0</v>
      </c>
      <c r="P3" s="19">
        <v>44678.0</v>
      </c>
      <c r="Q3" s="19">
        <v>44693.0</v>
      </c>
      <c r="R3" s="19">
        <v>44694.0</v>
      </c>
      <c r="S3" s="19">
        <v>44877.0</v>
      </c>
      <c r="T3" s="61">
        <f t="shared" si="4"/>
        <v>46132</v>
      </c>
      <c r="U3" s="19">
        <f t="shared" si="5"/>
        <v>3</v>
      </c>
      <c r="V3" s="19">
        <f t="shared" si="6"/>
        <v>11</v>
      </c>
      <c r="W3" s="19">
        <f t="shared" si="7"/>
        <v>7</v>
      </c>
      <c r="X3" s="19"/>
      <c r="Y3" s="19"/>
      <c r="Z3" s="19"/>
      <c r="AA3" s="19"/>
      <c r="AB3" s="19"/>
      <c r="AC3" s="22">
        <v>14867.5</v>
      </c>
      <c r="AD3" s="19"/>
      <c r="AE3" s="22">
        <v>14867.5</v>
      </c>
      <c r="AF3" s="62">
        <v>570.0</v>
      </c>
      <c r="AG3" s="19" t="s">
        <v>178</v>
      </c>
      <c r="AH3" s="24" t="s">
        <v>1282</v>
      </c>
      <c r="AI3" s="19" t="s">
        <v>61</v>
      </c>
      <c r="AJ3" s="19" t="s">
        <v>62</v>
      </c>
      <c r="AK3" s="19">
        <v>35575.0</v>
      </c>
      <c r="AL3" s="62">
        <f t="shared" si="8"/>
        <v>28.92328767</v>
      </c>
      <c r="AM3" s="26" t="s">
        <v>1283</v>
      </c>
      <c r="AN3" s="26" t="s">
        <v>1284</v>
      </c>
      <c r="AO3" s="19">
        <v>9.21583673E9</v>
      </c>
      <c r="AP3" s="28" t="s">
        <v>1285</v>
      </c>
      <c r="AQ3" s="26" t="s">
        <v>110</v>
      </c>
      <c r="AR3" s="16" t="s">
        <v>139</v>
      </c>
      <c r="AS3" s="64" t="s">
        <v>1286</v>
      </c>
      <c r="AT3" s="64" t="s">
        <v>1287</v>
      </c>
      <c r="AU3" s="64" t="s">
        <v>1288</v>
      </c>
      <c r="AV3" s="64" t="s">
        <v>1289</v>
      </c>
      <c r="AW3" s="19"/>
      <c r="AX3" s="26" t="s">
        <v>1290</v>
      </c>
      <c r="AY3" s="19" t="s">
        <v>1291</v>
      </c>
      <c r="AZ3" s="64">
        <v>9.168956374E9</v>
      </c>
      <c r="BA3" s="86" t="s">
        <v>914</v>
      </c>
      <c r="BB3" s="16" t="s">
        <v>914</v>
      </c>
      <c r="BC3" s="86">
        <v>44859.0</v>
      </c>
    </row>
    <row r="4" ht="14.25" customHeight="1">
      <c r="A4" s="14">
        <f t="shared" si="9"/>
        <v>3</v>
      </c>
      <c r="B4" s="16" t="s">
        <v>1292</v>
      </c>
      <c r="C4" s="26" t="s">
        <v>1293</v>
      </c>
      <c r="D4" s="16"/>
      <c r="E4" s="19"/>
      <c r="F4" s="19"/>
      <c r="G4" s="16" t="str">
        <f t="shared" si="1"/>
        <v>Zamora, Jedrec .</v>
      </c>
      <c r="H4" s="16" t="str">
        <f>CONCATENATE(C4," ",E4,,B4)</f>
        <v>Jedrec Zamora</v>
      </c>
      <c r="I4" s="26" t="str">
        <f t="shared" si="3"/>
        <v>Zamora, Jedrec </v>
      </c>
      <c r="J4" s="19" t="s">
        <v>82</v>
      </c>
      <c r="K4" s="19" t="s">
        <v>191</v>
      </c>
      <c r="L4" s="19" t="s">
        <v>57</v>
      </c>
      <c r="M4" s="19" t="s">
        <v>105</v>
      </c>
      <c r="N4" s="19">
        <v>1.050422206E9</v>
      </c>
      <c r="O4" s="19">
        <v>44685.0</v>
      </c>
      <c r="P4" s="19"/>
      <c r="Q4" s="19"/>
      <c r="R4" s="19"/>
      <c r="S4" s="19"/>
      <c r="T4" s="61">
        <f t="shared" si="4"/>
        <v>46132</v>
      </c>
      <c r="U4" s="19">
        <f t="shared" si="5"/>
        <v>3</v>
      </c>
      <c r="V4" s="19">
        <f t="shared" si="6"/>
        <v>11</v>
      </c>
      <c r="W4" s="19">
        <f t="shared" si="7"/>
        <v>16</v>
      </c>
      <c r="X4" s="19">
        <v>44685.0</v>
      </c>
      <c r="Y4" s="19"/>
      <c r="Z4" s="19"/>
      <c r="AA4" s="19"/>
      <c r="AB4" s="19"/>
      <c r="AC4" s="22">
        <v>14867.5</v>
      </c>
      <c r="AD4" s="19"/>
      <c r="AE4" s="22">
        <v>14867.5</v>
      </c>
      <c r="AF4" s="62">
        <v>570.0</v>
      </c>
      <c r="AG4" s="19" t="s">
        <v>178</v>
      </c>
      <c r="AH4" s="24"/>
      <c r="AI4" s="19" t="s">
        <v>61</v>
      </c>
      <c r="AJ4" s="19" t="s">
        <v>62</v>
      </c>
      <c r="AK4" s="19">
        <v>34137.0</v>
      </c>
      <c r="AL4" s="62">
        <f t="shared" si="8"/>
        <v>32.8630137</v>
      </c>
      <c r="AM4" s="26" t="s">
        <v>1294</v>
      </c>
      <c r="AN4" s="26" t="s">
        <v>1295</v>
      </c>
      <c r="AO4" s="19">
        <v>9.776746024E9</v>
      </c>
      <c r="AP4" s="28" t="s">
        <v>1296</v>
      </c>
      <c r="AQ4" s="26" t="s">
        <v>66</v>
      </c>
      <c r="AR4" s="16" t="s">
        <v>568</v>
      </c>
      <c r="AS4" s="64" t="s">
        <v>1297</v>
      </c>
      <c r="AT4" s="64" t="s">
        <v>1298</v>
      </c>
      <c r="AU4" s="64" t="s">
        <v>1299</v>
      </c>
      <c r="AV4" s="64" t="s">
        <v>1300</v>
      </c>
      <c r="AW4" s="19"/>
      <c r="AX4" s="26" t="s">
        <v>1301</v>
      </c>
      <c r="AY4" s="19" t="s">
        <v>73</v>
      </c>
      <c r="AZ4" s="19">
        <v>9.273305213E9</v>
      </c>
      <c r="BA4" s="16" t="s">
        <v>900</v>
      </c>
      <c r="BB4" s="16" t="s">
        <v>1302</v>
      </c>
      <c r="BC4" s="86">
        <v>44870.0</v>
      </c>
    </row>
    <row r="5" ht="14.25" customHeight="1">
      <c r="A5" s="14">
        <f t="shared" si="9"/>
        <v>4</v>
      </c>
      <c r="B5" s="16" t="s">
        <v>1303</v>
      </c>
      <c r="C5" s="16" t="s">
        <v>75</v>
      </c>
      <c r="D5" s="16" t="s">
        <v>1304</v>
      </c>
      <c r="E5" s="19" t="s">
        <v>87</v>
      </c>
      <c r="F5" s="19"/>
      <c r="G5" s="16" t="str">
        <f t="shared" si="1"/>
        <v>Tangco, Mark L.</v>
      </c>
      <c r="H5" s="16" t="str">
        <f t="shared" ref="H5:H10" si="10">CONCATENATE(C5," ",E5,". ",B5)</f>
        <v>Mark L. Tangco</v>
      </c>
      <c r="I5" s="26" t="str">
        <f t="shared" si="3"/>
        <v>Tangco, Mark Lara</v>
      </c>
      <c r="J5" s="19" t="s">
        <v>1305</v>
      </c>
      <c r="K5" s="19" t="s">
        <v>161</v>
      </c>
      <c r="L5" s="19" t="s">
        <v>16</v>
      </c>
      <c r="M5" s="19" t="s">
        <v>105</v>
      </c>
      <c r="N5" s="19">
        <v>1.061122251E9</v>
      </c>
      <c r="O5" s="19">
        <v>44723.0</v>
      </c>
      <c r="P5" s="19">
        <v>44707.0</v>
      </c>
      <c r="Q5" s="19">
        <v>44722.0</v>
      </c>
      <c r="R5" s="19">
        <v>44723.0</v>
      </c>
      <c r="S5" s="19">
        <v>44905.0</v>
      </c>
      <c r="T5" s="61">
        <f t="shared" si="4"/>
        <v>46132</v>
      </c>
      <c r="U5" s="19">
        <f t="shared" si="5"/>
        <v>3</v>
      </c>
      <c r="V5" s="19">
        <f t="shared" si="6"/>
        <v>10</v>
      </c>
      <c r="W5" s="19">
        <f t="shared" si="7"/>
        <v>9</v>
      </c>
      <c r="X5" s="19"/>
      <c r="Y5" s="19"/>
      <c r="Z5" s="19"/>
      <c r="AA5" s="19"/>
      <c r="AB5" s="19"/>
      <c r="AC5" s="22">
        <v>14867.5</v>
      </c>
      <c r="AD5" s="19"/>
      <c r="AE5" s="22">
        <v>14867.5</v>
      </c>
      <c r="AF5" s="62">
        <v>570.0</v>
      </c>
      <c r="AG5" s="19" t="s">
        <v>178</v>
      </c>
      <c r="AH5" s="24"/>
      <c r="AI5" s="19" t="s">
        <v>61</v>
      </c>
      <c r="AJ5" s="19" t="s">
        <v>62</v>
      </c>
      <c r="AK5" s="19">
        <v>35334.0</v>
      </c>
      <c r="AL5" s="62">
        <f t="shared" si="8"/>
        <v>29.58356164</v>
      </c>
      <c r="AM5" s="26" t="s">
        <v>1306</v>
      </c>
      <c r="AN5" s="26" t="s">
        <v>1307</v>
      </c>
      <c r="AO5" s="19">
        <v>9.362149679E9</v>
      </c>
      <c r="AP5" s="28" t="s">
        <v>1308</v>
      </c>
      <c r="AQ5" s="16" t="s">
        <v>110</v>
      </c>
      <c r="AR5" s="16" t="s">
        <v>139</v>
      </c>
      <c r="AS5" s="64" t="s">
        <v>1309</v>
      </c>
      <c r="AT5" s="64" t="s">
        <v>1310</v>
      </c>
      <c r="AU5" s="64" t="s">
        <v>1311</v>
      </c>
      <c r="AV5" s="64" t="s">
        <v>1312</v>
      </c>
      <c r="AW5" s="16"/>
      <c r="AX5" s="26" t="s">
        <v>1313</v>
      </c>
      <c r="AY5" s="19" t="s">
        <v>318</v>
      </c>
      <c r="AZ5" s="19">
        <v>9.977820272E9</v>
      </c>
      <c r="BA5" s="16" t="s">
        <v>914</v>
      </c>
      <c r="BB5" s="16" t="s">
        <v>914</v>
      </c>
      <c r="BC5" s="16">
        <v>44905.0</v>
      </c>
    </row>
    <row r="6" ht="14.25" customHeight="1">
      <c r="A6" s="14">
        <f t="shared" si="9"/>
        <v>5</v>
      </c>
      <c r="B6" s="16" t="s">
        <v>1314</v>
      </c>
      <c r="C6" s="16" t="s">
        <v>1315</v>
      </c>
      <c r="D6" s="16" t="s">
        <v>1316</v>
      </c>
      <c r="E6" s="19" t="s">
        <v>295</v>
      </c>
      <c r="F6" s="19"/>
      <c r="G6" s="16" t="str">
        <f t="shared" si="1"/>
        <v>Lirio, Ronan V.</v>
      </c>
      <c r="H6" s="16" t="str">
        <f t="shared" si="10"/>
        <v>Ronan V. Lirio</v>
      </c>
      <c r="I6" s="26" t="str">
        <f t="shared" si="3"/>
        <v>Lirio, Ronan Villanueva</v>
      </c>
      <c r="J6" s="19" t="s">
        <v>563</v>
      </c>
      <c r="K6" s="19" t="s">
        <v>104</v>
      </c>
      <c r="L6" s="19" t="s">
        <v>57</v>
      </c>
      <c r="M6" s="19" t="s">
        <v>105</v>
      </c>
      <c r="N6" s="19">
        <v>1.050422062E9</v>
      </c>
      <c r="O6" s="19">
        <v>44685.0</v>
      </c>
      <c r="P6" s="19"/>
      <c r="Q6" s="19"/>
      <c r="R6" s="19"/>
      <c r="S6" s="19"/>
      <c r="T6" s="61">
        <f t="shared" si="4"/>
        <v>46132</v>
      </c>
      <c r="U6" s="19">
        <f t="shared" si="5"/>
        <v>3</v>
      </c>
      <c r="V6" s="19">
        <f t="shared" si="6"/>
        <v>11</v>
      </c>
      <c r="W6" s="19">
        <f t="shared" si="7"/>
        <v>16</v>
      </c>
      <c r="X6" s="19">
        <v>44685.0</v>
      </c>
      <c r="Y6" s="19"/>
      <c r="Z6" s="19"/>
      <c r="AA6" s="19"/>
      <c r="AB6" s="19"/>
      <c r="AC6" s="22">
        <v>14867.5</v>
      </c>
      <c r="AD6" s="19"/>
      <c r="AE6" s="22">
        <v>14867.5</v>
      </c>
      <c r="AF6" s="62">
        <v>570.0</v>
      </c>
      <c r="AG6" s="19" t="s">
        <v>178</v>
      </c>
      <c r="AH6" s="24"/>
      <c r="AI6" s="19" t="s">
        <v>61</v>
      </c>
      <c r="AJ6" s="19" t="s">
        <v>107</v>
      </c>
      <c r="AK6" s="19">
        <v>34792.0</v>
      </c>
      <c r="AL6" s="62">
        <f t="shared" si="8"/>
        <v>31.06849315</v>
      </c>
      <c r="AM6" s="26" t="s">
        <v>1317</v>
      </c>
      <c r="AN6" s="26" t="s">
        <v>1318</v>
      </c>
      <c r="AO6" s="19">
        <v>9.060424671E9</v>
      </c>
      <c r="AP6" s="28" t="s">
        <v>1319</v>
      </c>
      <c r="AQ6" s="16" t="s">
        <v>110</v>
      </c>
      <c r="AR6" s="16" t="s">
        <v>139</v>
      </c>
      <c r="AS6" s="64" t="s">
        <v>1320</v>
      </c>
      <c r="AT6" s="64" t="s">
        <v>1321</v>
      </c>
      <c r="AU6" s="64" t="s">
        <v>1322</v>
      </c>
      <c r="AV6" s="64" t="s">
        <v>1323</v>
      </c>
      <c r="AW6" s="19"/>
      <c r="AX6" s="26" t="s">
        <v>1324</v>
      </c>
      <c r="AY6" s="19" t="s">
        <v>117</v>
      </c>
      <c r="AZ6" s="19">
        <v>9.098598E9</v>
      </c>
      <c r="BA6" s="16" t="s">
        <v>900</v>
      </c>
      <c r="BB6" s="16" t="s">
        <v>1302</v>
      </c>
      <c r="BC6" s="86">
        <v>44915.0</v>
      </c>
    </row>
    <row r="7" ht="14.25" customHeight="1">
      <c r="A7" s="14">
        <f t="shared" si="9"/>
        <v>6</v>
      </c>
      <c r="B7" s="16" t="s">
        <v>690</v>
      </c>
      <c r="C7" s="16" t="s">
        <v>1325</v>
      </c>
      <c r="D7" s="16" t="s">
        <v>1326</v>
      </c>
      <c r="E7" s="19" t="s">
        <v>132</v>
      </c>
      <c r="F7" s="19"/>
      <c r="G7" s="16" t="str">
        <f t="shared" si="1"/>
        <v>Tolentino, Kelvin C.</v>
      </c>
      <c r="H7" s="16" t="str">
        <f t="shared" si="10"/>
        <v>Kelvin C. Tolentino</v>
      </c>
      <c r="I7" s="26" t="str">
        <f t="shared" si="3"/>
        <v>Tolentino, Kelvin Calimag</v>
      </c>
      <c r="J7" s="19" t="s">
        <v>82</v>
      </c>
      <c r="K7" s="19" t="s">
        <v>191</v>
      </c>
      <c r="L7" s="19" t="s">
        <v>16</v>
      </c>
      <c r="M7" s="19" t="s">
        <v>105</v>
      </c>
      <c r="N7" s="19">
        <v>1.112322267E9</v>
      </c>
      <c r="O7" s="19">
        <v>44888.0</v>
      </c>
      <c r="P7" s="19">
        <v>44872.0</v>
      </c>
      <c r="Q7" s="19">
        <v>44887.0</v>
      </c>
      <c r="R7" s="19">
        <v>44888.0</v>
      </c>
      <c r="S7" s="19">
        <v>45068.0</v>
      </c>
      <c r="T7" s="61">
        <f t="shared" si="4"/>
        <v>46132</v>
      </c>
      <c r="U7" s="19">
        <f t="shared" si="5"/>
        <v>3</v>
      </c>
      <c r="V7" s="19">
        <f t="shared" si="6"/>
        <v>4</v>
      </c>
      <c r="W7" s="19">
        <f t="shared" si="7"/>
        <v>28</v>
      </c>
      <c r="X7" s="19"/>
      <c r="Y7" s="19"/>
      <c r="Z7" s="19"/>
      <c r="AA7" s="19"/>
      <c r="AB7" s="19"/>
      <c r="AC7" s="22">
        <v>14867.5</v>
      </c>
      <c r="AD7" s="19"/>
      <c r="AE7" s="22">
        <v>14867.5</v>
      </c>
      <c r="AF7" s="62">
        <v>570.0</v>
      </c>
      <c r="AG7" s="19" t="s">
        <v>178</v>
      </c>
      <c r="AH7" s="24"/>
      <c r="AI7" s="19" t="s">
        <v>61</v>
      </c>
      <c r="AJ7" s="19" t="s">
        <v>62</v>
      </c>
      <c r="AK7" s="19">
        <v>34891.0</v>
      </c>
      <c r="AL7" s="62">
        <f t="shared" si="8"/>
        <v>30.79726027</v>
      </c>
      <c r="AM7" s="26" t="s">
        <v>1327</v>
      </c>
      <c r="AN7" s="26" t="s">
        <v>1328</v>
      </c>
      <c r="AO7" s="19">
        <v>9.15131823E9</v>
      </c>
      <c r="AP7" s="75" t="s">
        <v>1329</v>
      </c>
      <c r="AQ7" s="16" t="s">
        <v>110</v>
      </c>
      <c r="AR7" s="16" t="s">
        <v>1330</v>
      </c>
      <c r="AS7" s="19" t="s">
        <v>1331</v>
      </c>
      <c r="AT7" s="19" t="s">
        <v>1332</v>
      </c>
      <c r="AU7" s="19" t="s">
        <v>1333</v>
      </c>
      <c r="AV7" s="19" t="s">
        <v>1334</v>
      </c>
      <c r="AW7" s="16"/>
      <c r="AX7" s="16" t="s">
        <v>1335</v>
      </c>
      <c r="AY7" s="19" t="s">
        <v>213</v>
      </c>
      <c r="AZ7" s="19">
        <v>9.567320899E9</v>
      </c>
      <c r="BA7" s="16" t="s">
        <v>1336</v>
      </c>
      <c r="BB7" s="16" t="s">
        <v>983</v>
      </c>
      <c r="BC7" s="16">
        <v>44985.0</v>
      </c>
    </row>
    <row r="8" ht="14.25" customHeight="1">
      <c r="A8" s="14">
        <f t="shared" si="9"/>
        <v>7</v>
      </c>
      <c r="B8" s="16" t="s">
        <v>1337</v>
      </c>
      <c r="C8" s="16" t="s">
        <v>1338</v>
      </c>
      <c r="D8" s="16" t="s">
        <v>1339</v>
      </c>
      <c r="E8" s="19" t="s">
        <v>418</v>
      </c>
      <c r="F8" s="19"/>
      <c r="G8" s="16" t="str">
        <f t="shared" si="1"/>
        <v>Erandio, James P.</v>
      </c>
      <c r="H8" s="16" t="str">
        <f t="shared" si="10"/>
        <v>James P. Erandio</v>
      </c>
      <c r="I8" s="26" t="str">
        <f t="shared" si="3"/>
        <v>Erandio, James Pelayo</v>
      </c>
      <c r="J8" s="19" t="s">
        <v>82</v>
      </c>
      <c r="K8" s="19" t="s">
        <v>191</v>
      </c>
      <c r="L8" s="19" t="s">
        <v>16</v>
      </c>
      <c r="M8" s="19" t="s">
        <v>105</v>
      </c>
      <c r="N8" s="19">
        <v>1.091722265E9</v>
      </c>
      <c r="O8" s="19">
        <v>44821.0</v>
      </c>
      <c r="P8" s="19">
        <v>44805.0</v>
      </c>
      <c r="Q8" s="19">
        <v>44820.0</v>
      </c>
      <c r="R8" s="19">
        <v>44821.0</v>
      </c>
      <c r="S8" s="19">
        <v>45001.0</v>
      </c>
      <c r="T8" s="61">
        <f t="shared" si="4"/>
        <v>46132</v>
      </c>
      <c r="U8" s="19">
        <f t="shared" si="5"/>
        <v>3</v>
      </c>
      <c r="V8" s="19">
        <f t="shared" si="6"/>
        <v>7</v>
      </c>
      <c r="W8" s="19">
        <f t="shared" si="7"/>
        <v>3</v>
      </c>
      <c r="X8" s="19"/>
      <c r="Y8" s="19"/>
      <c r="Z8" s="19"/>
      <c r="AA8" s="19"/>
      <c r="AB8" s="19"/>
      <c r="AC8" s="22">
        <v>14867.5</v>
      </c>
      <c r="AD8" s="19"/>
      <c r="AE8" s="22">
        <v>14867.5</v>
      </c>
      <c r="AF8" s="62">
        <v>570.0</v>
      </c>
      <c r="AG8" s="19" t="s">
        <v>178</v>
      </c>
      <c r="AH8" s="24" t="s">
        <v>1340</v>
      </c>
      <c r="AI8" s="19" t="s">
        <v>61</v>
      </c>
      <c r="AJ8" s="19" t="s">
        <v>62</v>
      </c>
      <c r="AK8" s="19">
        <v>36637.0</v>
      </c>
      <c r="AL8" s="62">
        <f t="shared" si="8"/>
        <v>26.01369863</v>
      </c>
      <c r="AM8" s="26" t="s">
        <v>1341</v>
      </c>
      <c r="AN8" s="26"/>
      <c r="AO8" s="19">
        <v>9.777587089E9</v>
      </c>
      <c r="AP8" s="75" t="s">
        <v>1342</v>
      </c>
      <c r="AQ8" s="16" t="s">
        <v>110</v>
      </c>
      <c r="AR8" s="16" t="s">
        <v>298</v>
      </c>
      <c r="AS8" s="19" t="s">
        <v>1343</v>
      </c>
      <c r="AT8" s="19" t="s">
        <v>1344</v>
      </c>
      <c r="AU8" s="19" t="s">
        <v>1345</v>
      </c>
      <c r="AV8" s="19" t="s">
        <v>1346</v>
      </c>
      <c r="AW8" s="16"/>
      <c r="AX8" s="16" t="s">
        <v>1347</v>
      </c>
      <c r="AY8" s="19" t="s">
        <v>318</v>
      </c>
      <c r="AZ8" s="19">
        <v>9.551895692E9</v>
      </c>
      <c r="BA8" s="16" t="s">
        <v>914</v>
      </c>
      <c r="BB8" s="86" t="s">
        <v>914</v>
      </c>
      <c r="BC8" s="86">
        <v>45001.0</v>
      </c>
    </row>
    <row r="9" ht="14.25" customHeight="1">
      <c r="A9" s="14">
        <f t="shared" si="9"/>
        <v>8</v>
      </c>
      <c r="B9" s="16" t="s">
        <v>1348</v>
      </c>
      <c r="C9" s="16" t="s">
        <v>1349</v>
      </c>
      <c r="D9" s="16" t="s">
        <v>1350</v>
      </c>
      <c r="E9" s="19" t="s">
        <v>943</v>
      </c>
      <c r="F9" s="19"/>
      <c r="G9" s="16" t="str">
        <f t="shared" si="1"/>
        <v>Palazo, Elizabeth O.</v>
      </c>
      <c r="H9" s="16" t="str">
        <f t="shared" si="10"/>
        <v>Elizabeth O. Palazo</v>
      </c>
      <c r="I9" s="16" t="str">
        <f t="shared" si="3"/>
        <v>Palazo, Elizabeth Onia</v>
      </c>
      <c r="J9" s="19" t="s">
        <v>133</v>
      </c>
      <c r="K9" s="19" t="s">
        <v>104</v>
      </c>
      <c r="L9" s="19" t="s">
        <v>57</v>
      </c>
      <c r="M9" s="19" t="s">
        <v>105</v>
      </c>
      <c r="N9" s="19">
        <v>1.052022246E9</v>
      </c>
      <c r="O9" s="19">
        <v>44701.0</v>
      </c>
      <c r="P9" s="19">
        <v>44685.0</v>
      </c>
      <c r="Q9" s="19">
        <v>44700.0</v>
      </c>
      <c r="R9" s="19">
        <v>44701.0</v>
      </c>
      <c r="S9" s="19">
        <v>44884.0</v>
      </c>
      <c r="T9" s="61">
        <f t="shared" si="4"/>
        <v>46132</v>
      </c>
      <c r="U9" s="19">
        <f t="shared" si="5"/>
        <v>3</v>
      </c>
      <c r="V9" s="19">
        <f t="shared" si="6"/>
        <v>11</v>
      </c>
      <c r="W9" s="19">
        <f t="shared" si="7"/>
        <v>0</v>
      </c>
      <c r="X9" s="19">
        <v>44885.0</v>
      </c>
      <c r="Y9" s="19"/>
      <c r="Z9" s="19"/>
      <c r="AA9" s="19"/>
      <c r="AB9" s="19"/>
      <c r="AC9" s="22">
        <f>17337.5+1216.66</f>
        <v>18554.16</v>
      </c>
      <c r="AD9" s="19"/>
      <c r="AE9" s="22">
        <f>SUM(AC9:AD9)</f>
        <v>18554.16</v>
      </c>
      <c r="AF9" s="62">
        <f>AE9*12/365</f>
        <v>609.9997808</v>
      </c>
      <c r="AG9" s="19" t="s">
        <v>59</v>
      </c>
      <c r="AH9" s="24" t="s">
        <v>1351</v>
      </c>
      <c r="AI9" s="19" t="s">
        <v>135</v>
      </c>
      <c r="AJ9" s="19" t="s">
        <v>62</v>
      </c>
      <c r="AK9" s="19">
        <v>34814.0</v>
      </c>
      <c r="AL9" s="62">
        <f t="shared" si="8"/>
        <v>31.00821918</v>
      </c>
      <c r="AM9" s="26" t="s">
        <v>1352</v>
      </c>
      <c r="AN9" s="26" t="s">
        <v>1353</v>
      </c>
      <c r="AO9" s="19">
        <v>9.307900218E9</v>
      </c>
      <c r="AP9" s="63" t="s">
        <v>1354</v>
      </c>
      <c r="AQ9" s="16" t="s">
        <v>110</v>
      </c>
      <c r="AR9" s="16" t="s">
        <v>1355</v>
      </c>
      <c r="AS9" s="64" t="s">
        <v>1356</v>
      </c>
      <c r="AT9" s="64" t="s">
        <v>1357</v>
      </c>
      <c r="AU9" s="64" t="s">
        <v>1358</v>
      </c>
      <c r="AV9" s="64" t="s">
        <v>1359</v>
      </c>
      <c r="AW9" s="19"/>
      <c r="AX9" s="26" t="s">
        <v>1360</v>
      </c>
      <c r="AY9" s="19" t="s">
        <v>318</v>
      </c>
      <c r="AZ9" s="19">
        <v>9.198965808E9</v>
      </c>
      <c r="BA9" s="86" t="s">
        <v>900</v>
      </c>
      <c r="BB9" s="86" t="s">
        <v>939</v>
      </c>
      <c r="BC9" s="86">
        <v>45133.0</v>
      </c>
    </row>
    <row r="10" ht="14.25" customHeight="1">
      <c r="A10" s="14">
        <f t="shared" si="9"/>
        <v>9</v>
      </c>
      <c r="B10" s="16" t="s">
        <v>752</v>
      </c>
      <c r="C10" s="16" t="s">
        <v>753</v>
      </c>
      <c r="D10" s="16" t="s">
        <v>754</v>
      </c>
      <c r="E10" s="19" t="s">
        <v>217</v>
      </c>
      <c r="F10" s="19"/>
      <c r="G10" s="16" t="str">
        <f t="shared" si="1"/>
        <v>Pagurayan, Leander M.</v>
      </c>
      <c r="H10" s="16" t="str">
        <f t="shared" si="10"/>
        <v>Leander M. Pagurayan</v>
      </c>
      <c r="I10" s="16" t="str">
        <f t="shared" si="3"/>
        <v>Pagurayan, Leander Malabayabas</v>
      </c>
      <c r="J10" s="19" t="s">
        <v>82</v>
      </c>
      <c r="K10" s="19" t="s">
        <v>191</v>
      </c>
      <c r="L10" s="19" t="s">
        <v>16</v>
      </c>
      <c r="M10" s="19" t="s">
        <v>105</v>
      </c>
      <c r="N10" s="19">
        <v>1.120122268E9</v>
      </c>
      <c r="O10" s="19">
        <v>44896.0</v>
      </c>
      <c r="P10" s="19">
        <v>44880.0</v>
      </c>
      <c r="Q10" s="19">
        <v>44895.0</v>
      </c>
      <c r="R10" s="19">
        <v>44896.0</v>
      </c>
      <c r="S10" s="19">
        <v>45077.0</v>
      </c>
      <c r="T10" s="61">
        <f t="shared" si="4"/>
        <v>46132</v>
      </c>
      <c r="U10" s="19">
        <f t="shared" si="5"/>
        <v>3</v>
      </c>
      <c r="V10" s="19">
        <f t="shared" si="6"/>
        <v>4</v>
      </c>
      <c r="W10" s="19">
        <f t="shared" si="7"/>
        <v>19</v>
      </c>
      <c r="X10" s="19"/>
      <c r="Y10" s="19"/>
      <c r="Z10" s="19"/>
      <c r="AA10" s="19"/>
      <c r="AB10" s="19"/>
      <c r="AC10" s="22">
        <v>14867.5</v>
      </c>
      <c r="AD10" s="19"/>
      <c r="AE10" s="22">
        <v>14867.5</v>
      </c>
      <c r="AF10" s="62">
        <v>570.0</v>
      </c>
      <c r="AG10" s="19" t="s">
        <v>178</v>
      </c>
      <c r="AH10" s="24"/>
      <c r="AI10" s="19" t="s">
        <v>61</v>
      </c>
      <c r="AJ10" s="19" t="s">
        <v>62</v>
      </c>
      <c r="AK10" s="19">
        <v>35811.0</v>
      </c>
      <c r="AL10" s="62">
        <f t="shared" si="8"/>
        <v>28.27671233</v>
      </c>
      <c r="AM10" s="26" t="s">
        <v>758</v>
      </c>
      <c r="AN10" s="16" t="s">
        <v>759</v>
      </c>
      <c r="AO10" s="19">
        <v>9.703378214E9</v>
      </c>
      <c r="AP10" s="67" t="s">
        <v>760</v>
      </c>
      <c r="AQ10" s="16" t="s">
        <v>110</v>
      </c>
      <c r="AR10" s="16" t="s">
        <v>298</v>
      </c>
      <c r="AS10" s="19" t="s">
        <v>761</v>
      </c>
      <c r="AT10" s="19" t="s">
        <v>762</v>
      </c>
      <c r="AU10" s="19" t="s">
        <v>763</v>
      </c>
      <c r="AV10" s="19" t="s">
        <v>764</v>
      </c>
      <c r="AW10" s="16"/>
      <c r="AX10" s="16" t="s">
        <v>765</v>
      </c>
      <c r="AY10" s="19" t="s">
        <v>213</v>
      </c>
      <c r="AZ10" s="19">
        <v>9.760037568E9</v>
      </c>
      <c r="BA10" s="16"/>
      <c r="BB10" s="86"/>
      <c r="BC10" s="86"/>
    </row>
    <row r="11" ht="14.25" customHeight="1">
      <c r="A11" s="14">
        <f t="shared" si="9"/>
        <v>10</v>
      </c>
      <c r="B11" s="16" t="s">
        <v>1361</v>
      </c>
      <c r="C11" s="26" t="s">
        <v>1362</v>
      </c>
      <c r="D11" s="16" t="s">
        <v>173</v>
      </c>
      <c r="E11" s="19" t="s">
        <v>1363</v>
      </c>
      <c r="F11" s="19"/>
      <c r="G11" s="16" t="str">
        <f t="shared" si="1"/>
        <v>Abriol, Jefferson SJ..</v>
      </c>
      <c r="H11" s="16" t="str">
        <f>CONCATENATE(C11," ",E11," ",B11)</f>
        <v>Jefferson SJ. Abriol</v>
      </c>
      <c r="I11" s="16" t="str">
        <f t="shared" si="3"/>
        <v>Abriol, Jefferson San Juan</v>
      </c>
      <c r="J11" s="19" t="s">
        <v>82</v>
      </c>
      <c r="K11" s="19" t="s">
        <v>191</v>
      </c>
      <c r="L11" s="19" t="s">
        <v>57</v>
      </c>
      <c r="M11" s="19" t="s">
        <v>105</v>
      </c>
      <c r="N11" s="19">
        <v>1.051322243E9</v>
      </c>
      <c r="O11" s="19">
        <v>44694.0</v>
      </c>
      <c r="P11" s="19">
        <v>44678.0</v>
      </c>
      <c r="Q11" s="19">
        <v>44693.0</v>
      </c>
      <c r="R11" s="19">
        <v>44694.0</v>
      </c>
      <c r="S11" s="19">
        <v>44877.0</v>
      </c>
      <c r="T11" s="61">
        <f t="shared" si="4"/>
        <v>46132</v>
      </c>
      <c r="U11" s="19">
        <f t="shared" si="5"/>
        <v>3</v>
      </c>
      <c r="V11" s="19">
        <f t="shared" si="6"/>
        <v>11</v>
      </c>
      <c r="W11" s="19">
        <f t="shared" si="7"/>
        <v>7</v>
      </c>
      <c r="X11" s="19">
        <v>44878.0</v>
      </c>
      <c r="Y11" s="19"/>
      <c r="Z11" s="19"/>
      <c r="AA11" s="19"/>
      <c r="AB11" s="19"/>
      <c r="AC11" s="22">
        <f t="shared" ref="AC11:AC17" si="11">14867.5+1043.33</f>
        <v>15910.83</v>
      </c>
      <c r="AD11" s="19"/>
      <c r="AE11" s="22">
        <f t="shared" ref="AE11:AE22" si="12">SUM(AC11:AD11)</f>
        <v>15910.83</v>
      </c>
      <c r="AF11" s="62">
        <f t="shared" ref="AF11:AF17" si="13">AE11*12/313</f>
        <v>609.9998722</v>
      </c>
      <c r="AG11" s="19" t="s">
        <v>178</v>
      </c>
      <c r="AH11" s="24" t="s">
        <v>1364</v>
      </c>
      <c r="AI11" s="19" t="s">
        <v>61</v>
      </c>
      <c r="AJ11" s="19" t="s">
        <v>107</v>
      </c>
      <c r="AK11" s="19">
        <v>31190.0</v>
      </c>
      <c r="AL11" s="62">
        <f t="shared" si="8"/>
        <v>40.9369863</v>
      </c>
      <c r="AM11" s="26" t="s">
        <v>1365</v>
      </c>
      <c r="AN11" s="26" t="s">
        <v>1366</v>
      </c>
      <c r="AO11" s="19">
        <v>9.772700069E9</v>
      </c>
      <c r="AP11" s="63" t="s">
        <v>1367</v>
      </c>
      <c r="AQ11" s="16" t="s">
        <v>1368</v>
      </c>
      <c r="AR11" s="16" t="s">
        <v>139</v>
      </c>
      <c r="AS11" s="64" t="s">
        <v>1369</v>
      </c>
      <c r="AT11" s="64" t="s">
        <v>1370</v>
      </c>
      <c r="AU11" s="64" t="s">
        <v>1371</v>
      </c>
      <c r="AV11" s="64" t="s">
        <v>1372</v>
      </c>
      <c r="AW11" s="19"/>
      <c r="AX11" s="26" t="s">
        <v>1373</v>
      </c>
      <c r="AY11" s="19" t="s">
        <v>117</v>
      </c>
      <c r="AZ11" s="19">
        <v>9.778361302E9</v>
      </c>
      <c r="BA11" s="86" t="s">
        <v>900</v>
      </c>
      <c r="BB11" s="86" t="s">
        <v>900</v>
      </c>
      <c r="BC11" s="86">
        <v>45275.0</v>
      </c>
    </row>
    <row r="12" ht="14.25" customHeight="1">
      <c r="A12" s="14">
        <f t="shared" si="9"/>
        <v>11</v>
      </c>
      <c r="B12" s="16" t="s">
        <v>1374</v>
      </c>
      <c r="C12" s="16" t="s">
        <v>1375</v>
      </c>
      <c r="D12" s="16" t="s">
        <v>1376</v>
      </c>
      <c r="E12" s="19" t="s">
        <v>257</v>
      </c>
      <c r="F12" s="19"/>
      <c r="G12" s="16" t="str">
        <f t="shared" si="1"/>
        <v>Araman, Harvey J.</v>
      </c>
      <c r="H12" s="16" t="str">
        <f t="shared" ref="H12:H13" si="14">CONCATENATE(C12," ",E12,". ",B12)</f>
        <v>Harvey J. Araman</v>
      </c>
      <c r="I12" s="16" t="str">
        <f t="shared" si="3"/>
        <v>Araman, Harvey Juanson</v>
      </c>
      <c r="J12" s="19" t="s">
        <v>82</v>
      </c>
      <c r="K12" s="19" t="s">
        <v>191</v>
      </c>
      <c r="L12" s="19" t="s">
        <v>16</v>
      </c>
      <c r="M12" s="19" t="s">
        <v>105</v>
      </c>
      <c r="N12" s="19"/>
      <c r="O12" s="19">
        <v>45255.0</v>
      </c>
      <c r="P12" s="19">
        <v>45239.0</v>
      </c>
      <c r="Q12" s="19">
        <v>45254.0</v>
      </c>
      <c r="R12" s="19">
        <v>45255.0</v>
      </c>
      <c r="S12" s="61">
        <f>EDATE(O12-1,6)</f>
        <v>45436</v>
      </c>
      <c r="T12" s="61">
        <f t="shared" si="4"/>
        <v>46132</v>
      </c>
      <c r="U12" s="19">
        <f t="shared" si="5"/>
        <v>2</v>
      </c>
      <c r="V12" s="19">
        <f t="shared" si="6"/>
        <v>4</v>
      </c>
      <c r="W12" s="19">
        <f t="shared" si="7"/>
        <v>26</v>
      </c>
      <c r="X12" s="61">
        <f>EDATE(O12,6)</f>
        <v>45437</v>
      </c>
      <c r="Y12" s="26" t="s">
        <v>82</v>
      </c>
      <c r="Z12" s="19"/>
      <c r="AA12" s="19"/>
      <c r="AB12" s="19"/>
      <c r="AC12" s="22">
        <f t="shared" si="11"/>
        <v>15910.83</v>
      </c>
      <c r="AD12" s="19"/>
      <c r="AE12" s="22">
        <f t="shared" si="12"/>
        <v>15910.83</v>
      </c>
      <c r="AF12" s="62">
        <f t="shared" si="13"/>
        <v>609.9998722</v>
      </c>
      <c r="AG12" s="19" t="s">
        <v>178</v>
      </c>
      <c r="AH12" s="24"/>
      <c r="AI12" s="19" t="s">
        <v>61</v>
      </c>
      <c r="AJ12" s="19" t="s">
        <v>62</v>
      </c>
      <c r="AK12" s="19">
        <v>36143.0</v>
      </c>
      <c r="AL12" s="62">
        <f t="shared" si="8"/>
        <v>27.36712329</v>
      </c>
      <c r="AM12" s="26" t="s">
        <v>1377</v>
      </c>
      <c r="AN12" s="16" t="s">
        <v>1378</v>
      </c>
      <c r="AO12" s="19">
        <v>9.308254996E9</v>
      </c>
      <c r="AP12" s="67" t="s">
        <v>1379</v>
      </c>
      <c r="AQ12" s="16" t="s">
        <v>110</v>
      </c>
      <c r="AR12" s="16" t="s">
        <v>139</v>
      </c>
      <c r="AS12" s="19" t="s">
        <v>1380</v>
      </c>
      <c r="AT12" s="19" t="s">
        <v>1381</v>
      </c>
      <c r="AU12" s="19" t="s">
        <v>1382</v>
      </c>
      <c r="AV12" s="19" t="s">
        <v>1383</v>
      </c>
      <c r="AW12" s="16"/>
      <c r="AX12" s="16" t="s">
        <v>1384</v>
      </c>
      <c r="AY12" s="19" t="s">
        <v>1385</v>
      </c>
      <c r="AZ12" s="19">
        <v>9.369317162E9</v>
      </c>
      <c r="BA12" s="86" t="s">
        <v>900</v>
      </c>
      <c r="BB12" s="86" t="s">
        <v>900</v>
      </c>
      <c r="BC12" s="86">
        <v>45293.0</v>
      </c>
    </row>
    <row r="13" ht="14.25" customHeight="1">
      <c r="A13" s="14">
        <f t="shared" si="9"/>
        <v>12</v>
      </c>
      <c r="B13" s="16" t="s">
        <v>1386</v>
      </c>
      <c r="C13" s="16" t="s">
        <v>1387</v>
      </c>
      <c r="D13" s="16"/>
      <c r="E13" s="19"/>
      <c r="F13" s="19"/>
      <c r="G13" s="16" t="str">
        <f t="shared" si="1"/>
        <v>Banate, Carl .</v>
      </c>
      <c r="H13" s="16" t="str">
        <f t="shared" si="14"/>
        <v>Carl . Banate</v>
      </c>
      <c r="I13" s="16" t="str">
        <f t="shared" si="3"/>
        <v>Banate, Carl </v>
      </c>
      <c r="J13" s="19" t="s">
        <v>82</v>
      </c>
      <c r="K13" s="19" t="s">
        <v>191</v>
      </c>
      <c r="L13" s="19" t="s">
        <v>57</v>
      </c>
      <c r="M13" s="19" t="s">
        <v>105</v>
      </c>
      <c r="N13" s="19">
        <v>1.12212227E9</v>
      </c>
      <c r="O13" s="19">
        <v>44916.0</v>
      </c>
      <c r="P13" s="19">
        <v>44900.0</v>
      </c>
      <c r="Q13" s="19">
        <v>44915.0</v>
      </c>
      <c r="R13" s="19">
        <v>44916.0</v>
      </c>
      <c r="S13" s="19">
        <v>45097.0</v>
      </c>
      <c r="T13" s="61">
        <f t="shared" si="4"/>
        <v>46132</v>
      </c>
      <c r="U13" s="19">
        <f t="shared" si="5"/>
        <v>3</v>
      </c>
      <c r="V13" s="19">
        <f t="shared" si="6"/>
        <v>3</v>
      </c>
      <c r="W13" s="19">
        <f t="shared" si="7"/>
        <v>30</v>
      </c>
      <c r="X13" s="19">
        <v>45097.0</v>
      </c>
      <c r="Y13" s="19"/>
      <c r="Z13" s="19"/>
      <c r="AA13" s="19"/>
      <c r="AB13" s="19"/>
      <c r="AC13" s="22">
        <f t="shared" si="11"/>
        <v>15910.83</v>
      </c>
      <c r="AD13" s="19"/>
      <c r="AE13" s="22">
        <f t="shared" si="12"/>
        <v>15910.83</v>
      </c>
      <c r="AF13" s="62">
        <f t="shared" si="13"/>
        <v>609.9998722</v>
      </c>
      <c r="AG13" s="19" t="s">
        <v>178</v>
      </c>
      <c r="AH13" s="24" t="s">
        <v>1388</v>
      </c>
      <c r="AI13" s="19" t="s">
        <v>61</v>
      </c>
      <c r="AJ13" s="19" t="s">
        <v>62</v>
      </c>
      <c r="AK13" s="19">
        <v>35834.0</v>
      </c>
      <c r="AL13" s="62">
        <f t="shared" si="8"/>
        <v>28.21369863</v>
      </c>
      <c r="AM13" s="26" t="s">
        <v>1389</v>
      </c>
      <c r="AN13" s="16" t="s">
        <v>1390</v>
      </c>
      <c r="AO13" s="19">
        <v>9.51085531E9</v>
      </c>
      <c r="AP13" s="67" t="s">
        <v>1391</v>
      </c>
      <c r="AQ13" s="16" t="s">
        <v>110</v>
      </c>
      <c r="AR13" s="16" t="s">
        <v>1392</v>
      </c>
      <c r="AS13" s="19" t="s">
        <v>1393</v>
      </c>
      <c r="AT13" s="19" t="s">
        <v>1394</v>
      </c>
      <c r="AU13" s="19" t="s">
        <v>1395</v>
      </c>
      <c r="AV13" s="19" t="s">
        <v>1396</v>
      </c>
      <c r="AW13" s="16"/>
      <c r="AX13" s="16" t="s">
        <v>1397</v>
      </c>
      <c r="AY13" s="19" t="s">
        <v>73</v>
      </c>
      <c r="AZ13" s="19">
        <v>9.474466222E9</v>
      </c>
      <c r="BA13" s="86" t="s">
        <v>900</v>
      </c>
      <c r="BB13" s="86" t="s">
        <v>900</v>
      </c>
      <c r="BC13" s="86">
        <v>45322.0</v>
      </c>
    </row>
    <row r="14" ht="14.25" customHeight="1">
      <c r="A14" s="14">
        <f t="shared" si="9"/>
        <v>13</v>
      </c>
      <c r="B14" s="16" t="s">
        <v>1398</v>
      </c>
      <c r="C14" s="16" t="s">
        <v>1399</v>
      </c>
      <c r="D14" s="16" t="s">
        <v>1400</v>
      </c>
      <c r="E14" s="19" t="s">
        <v>379</v>
      </c>
      <c r="F14" s="19" t="s">
        <v>231</v>
      </c>
      <c r="G14" s="16" t="str">
        <f t="shared" ref="G14:G16" si="15">CONCATENATE(B14," ",F14,", ",C14," ",E14,".")</f>
        <v>Jambaro Jr., Teodoro G.</v>
      </c>
      <c r="H14" s="16" t="str">
        <f t="shared" ref="H14:H16" si="16">CONCATENATE(C14," ",E14,". ",B14," ",F14)</f>
        <v>Teodoro G. Jambaro Jr.</v>
      </c>
      <c r="I14" s="16" t="str">
        <f t="shared" ref="I14:I16" si="17">CONCATENATE(B14," ",F14,", ",C14," ",D14)</f>
        <v>Jambaro Jr., Teodoro Guiamo</v>
      </c>
      <c r="J14" s="19" t="s">
        <v>218</v>
      </c>
      <c r="K14" s="19" t="s">
        <v>161</v>
      </c>
      <c r="L14" s="19" t="s">
        <v>57</v>
      </c>
      <c r="M14" s="19" t="s">
        <v>105</v>
      </c>
      <c r="N14" s="19">
        <v>1.060922194E9</v>
      </c>
      <c r="O14" s="19">
        <v>44721.0</v>
      </c>
      <c r="P14" s="16"/>
      <c r="Q14" s="19"/>
      <c r="R14" s="19">
        <v>44721.0</v>
      </c>
      <c r="S14" s="19">
        <v>44903.0</v>
      </c>
      <c r="T14" s="61">
        <f t="shared" si="4"/>
        <v>46132</v>
      </c>
      <c r="U14" s="19">
        <f t="shared" si="5"/>
        <v>3</v>
      </c>
      <c r="V14" s="19">
        <f t="shared" si="6"/>
        <v>10</v>
      </c>
      <c r="W14" s="19">
        <f t="shared" si="7"/>
        <v>11</v>
      </c>
      <c r="X14" s="19">
        <v>44904.0</v>
      </c>
      <c r="Y14" s="19"/>
      <c r="Z14" s="19"/>
      <c r="AA14" s="19"/>
      <c r="AB14" s="19"/>
      <c r="AC14" s="22">
        <f t="shared" si="11"/>
        <v>15910.83</v>
      </c>
      <c r="AD14" s="19"/>
      <c r="AE14" s="22">
        <f t="shared" si="12"/>
        <v>15910.83</v>
      </c>
      <c r="AF14" s="62">
        <f t="shared" si="13"/>
        <v>609.9998722</v>
      </c>
      <c r="AG14" s="19" t="s">
        <v>178</v>
      </c>
      <c r="AH14" s="24" t="s">
        <v>1401</v>
      </c>
      <c r="AI14" s="19" t="s">
        <v>61</v>
      </c>
      <c r="AJ14" s="19" t="s">
        <v>107</v>
      </c>
      <c r="AK14" s="19">
        <v>35400.0</v>
      </c>
      <c r="AL14" s="62">
        <f t="shared" si="8"/>
        <v>29.40273973</v>
      </c>
      <c r="AM14" s="26" t="s">
        <v>1402</v>
      </c>
      <c r="AN14" s="26" t="s">
        <v>1403</v>
      </c>
      <c r="AO14" s="19">
        <v>9.486437028E9</v>
      </c>
      <c r="AP14" s="67" t="s">
        <v>1404</v>
      </c>
      <c r="AQ14" s="16" t="s">
        <v>1405</v>
      </c>
      <c r="AR14" s="16"/>
      <c r="AS14" s="64" t="s">
        <v>1406</v>
      </c>
      <c r="AT14" s="64" t="s">
        <v>1407</v>
      </c>
      <c r="AU14" s="64" t="s">
        <v>1408</v>
      </c>
      <c r="AV14" s="64" t="s">
        <v>1409</v>
      </c>
      <c r="AW14" s="16"/>
      <c r="AX14" s="16" t="s">
        <v>1410</v>
      </c>
      <c r="AY14" s="19" t="s">
        <v>117</v>
      </c>
      <c r="AZ14" s="19">
        <v>9.100367935E9</v>
      </c>
      <c r="BA14" s="86" t="s">
        <v>900</v>
      </c>
      <c r="BB14" s="86" t="s">
        <v>900</v>
      </c>
      <c r="BC14" s="86">
        <v>45322.0</v>
      </c>
    </row>
    <row r="15" ht="14.25" customHeight="1">
      <c r="A15" s="14">
        <f t="shared" si="9"/>
        <v>14</v>
      </c>
      <c r="B15" s="16" t="s">
        <v>1411</v>
      </c>
      <c r="C15" s="16" t="s">
        <v>665</v>
      </c>
      <c r="D15" s="16" t="s">
        <v>1412</v>
      </c>
      <c r="E15" s="19" t="s">
        <v>102</v>
      </c>
      <c r="F15" s="19"/>
      <c r="G15" s="16" t="str">
        <f t="shared" si="15"/>
        <v>Yutuc , Mark Anthony A.</v>
      </c>
      <c r="H15" s="16" t="str">
        <f t="shared" si="16"/>
        <v>Mark Anthony A. Yutuc </v>
      </c>
      <c r="I15" s="16" t="str">
        <f t="shared" si="17"/>
        <v>Yutuc , Mark Anthony Almojuela</v>
      </c>
      <c r="J15" s="19" t="s">
        <v>82</v>
      </c>
      <c r="K15" s="19" t="s">
        <v>161</v>
      </c>
      <c r="L15" s="19" t="s">
        <v>16</v>
      </c>
      <c r="M15" s="19" t="s">
        <v>105</v>
      </c>
      <c r="N15" s="19"/>
      <c r="O15" s="19">
        <v>45331.0</v>
      </c>
      <c r="P15" s="19">
        <v>45315.0</v>
      </c>
      <c r="Q15" s="19">
        <v>45330.0</v>
      </c>
      <c r="R15" s="19">
        <v>45331.0</v>
      </c>
      <c r="S15" s="61">
        <f>EDATE(R15-1,6)</f>
        <v>45512</v>
      </c>
      <c r="T15" s="61">
        <f t="shared" si="4"/>
        <v>46132</v>
      </c>
      <c r="U15" s="19">
        <f t="shared" si="5"/>
        <v>2</v>
      </c>
      <c r="V15" s="19">
        <f t="shared" si="6"/>
        <v>2</v>
      </c>
      <c r="W15" s="19">
        <f t="shared" si="7"/>
        <v>11</v>
      </c>
      <c r="X15" s="61">
        <f t="shared" ref="X15:X16" si="18">EDATE(R15,6)</f>
        <v>45513</v>
      </c>
      <c r="Y15" s="26" t="s">
        <v>82</v>
      </c>
      <c r="Z15" s="19"/>
      <c r="AA15" s="19"/>
      <c r="AB15" s="19"/>
      <c r="AC15" s="22">
        <f t="shared" si="11"/>
        <v>15910.83</v>
      </c>
      <c r="AD15" s="19"/>
      <c r="AE15" s="22">
        <f t="shared" si="12"/>
        <v>15910.83</v>
      </c>
      <c r="AF15" s="62">
        <f t="shared" si="13"/>
        <v>609.9998722</v>
      </c>
      <c r="AG15" s="19" t="s">
        <v>178</v>
      </c>
      <c r="AH15" s="24"/>
      <c r="AI15" s="19" t="s">
        <v>61</v>
      </c>
      <c r="AJ15" s="19" t="s">
        <v>62</v>
      </c>
      <c r="AK15" s="19">
        <v>37220.0</v>
      </c>
      <c r="AL15" s="62">
        <f t="shared" si="8"/>
        <v>24.41643836</v>
      </c>
      <c r="AM15" s="26" t="s">
        <v>1413</v>
      </c>
      <c r="AN15" s="26"/>
      <c r="AO15" s="19" t="s">
        <v>1414</v>
      </c>
      <c r="AP15" s="67" t="s">
        <v>1415</v>
      </c>
      <c r="AQ15" s="16" t="s">
        <v>235</v>
      </c>
      <c r="AR15" s="16" t="s">
        <v>1416</v>
      </c>
      <c r="AS15" s="64" t="s">
        <v>1417</v>
      </c>
      <c r="AT15" s="64" t="s">
        <v>1418</v>
      </c>
      <c r="AU15" s="64" t="s">
        <v>1419</v>
      </c>
      <c r="AV15" s="64" t="s">
        <v>1420</v>
      </c>
      <c r="AW15" s="16"/>
      <c r="AX15" s="16" t="s">
        <v>1421</v>
      </c>
      <c r="AY15" s="19" t="s">
        <v>279</v>
      </c>
      <c r="AZ15" s="19">
        <v>9.667228665E9</v>
      </c>
      <c r="BA15" s="16" t="s">
        <v>900</v>
      </c>
      <c r="BB15" s="86" t="s">
        <v>1422</v>
      </c>
      <c r="BC15" s="86">
        <v>45373.0</v>
      </c>
    </row>
    <row r="16" ht="14.25" customHeight="1">
      <c r="A16" s="14">
        <f t="shared" si="9"/>
        <v>15</v>
      </c>
      <c r="B16" s="16" t="s">
        <v>1423</v>
      </c>
      <c r="C16" s="16" t="s">
        <v>1424</v>
      </c>
      <c r="D16" s="16" t="s">
        <v>1425</v>
      </c>
      <c r="E16" s="19" t="s">
        <v>1426</v>
      </c>
      <c r="F16" s="19"/>
      <c r="G16" s="16" t="str">
        <f t="shared" si="15"/>
        <v>Calora , John Michael E.</v>
      </c>
      <c r="H16" s="16" t="str">
        <f t="shared" si="16"/>
        <v>John Michael E. Calora </v>
      </c>
      <c r="I16" s="16" t="str">
        <f t="shared" si="17"/>
        <v>Calora , John Michael Echavez</v>
      </c>
      <c r="J16" s="19" t="s">
        <v>218</v>
      </c>
      <c r="K16" s="19" t="s">
        <v>161</v>
      </c>
      <c r="L16" s="19" t="s">
        <v>57</v>
      </c>
      <c r="M16" s="19" t="s">
        <v>105</v>
      </c>
      <c r="N16" s="19">
        <v>1093023.0</v>
      </c>
      <c r="O16" s="19">
        <v>45199.0</v>
      </c>
      <c r="P16" s="19" t="s">
        <v>1427</v>
      </c>
      <c r="Q16" s="19">
        <v>45198.0</v>
      </c>
      <c r="R16" s="19">
        <v>45199.0</v>
      </c>
      <c r="S16" s="61">
        <f>EDATE(O16-1,6)</f>
        <v>45380</v>
      </c>
      <c r="T16" s="61">
        <f t="shared" si="4"/>
        <v>46132</v>
      </c>
      <c r="U16" s="19">
        <f t="shared" si="5"/>
        <v>2</v>
      </c>
      <c r="V16" s="19">
        <f t="shared" si="6"/>
        <v>6</v>
      </c>
      <c r="W16" s="19">
        <f t="shared" si="7"/>
        <v>21</v>
      </c>
      <c r="X16" s="61">
        <f t="shared" si="18"/>
        <v>45381</v>
      </c>
      <c r="Y16" s="26" t="s">
        <v>219</v>
      </c>
      <c r="Z16" s="19"/>
      <c r="AA16" s="19"/>
      <c r="AB16" s="19"/>
      <c r="AC16" s="22">
        <f t="shared" si="11"/>
        <v>15910.83</v>
      </c>
      <c r="AD16" s="19"/>
      <c r="AE16" s="22">
        <f t="shared" si="12"/>
        <v>15910.83</v>
      </c>
      <c r="AF16" s="62">
        <f t="shared" si="13"/>
        <v>609.9998722</v>
      </c>
      <c r="AG16" s="19" t="s">
        <v>178</v>
      </c>
      <c r="AH16" s="24"/>
      <c r="AI16" s="19" t="s">
        <v>61</v>
      </c>
      <c r="AJ16" s="19" t="s">
        <v>62</v>
      </c>
      <c r="AK16" s="19">
        <v>37939.0</v>
      </c>
      <c r="AL16" s="62">
        <f t="shared" si="8"/>
        <v>22.44657534</v>
      </c>
      <c r="AM16" s="26" t="s">
        <v>1428</v>
      </c>
      <c r="AN16" s="26"/>
      <c r="AO16" s="19" t="s">
        <v>1429</v>
      </c>
      <c r="AP16" s="67" t="s">
        <v>1430</v>
      </c>
      <c r="AQ16" s="16" t="s">
        <v>1368</v>
      </c>
      <c r="AR16" s="16" t="s">
        <v>1431</v>
      </c>
      <c r="AS16" s="64" t="s">
        <v>1432</v>
      </c>
      <c r="AT16" s="64" t="s">
        <v>1433</v>
      </c>
      <c r="AU16" s="64" t="s">
        <v>1434</v>
      </c>
      <c r="AV16" s="64" t="s">
        <v>1435</v>
      </c>
      <c r="AW16" s="16"/>
      <c r="AX16" s="16" t="s">
        <v>1436</v>
      </c>
      <c r="AY16" s="19" t="s">
        <v>213</v>
      </c>
      <c r="AZ16" s="19">
        <v>9.77034179E9</v>
      </c>
      <c r="BA16" s="86" t="s">
        <v>900</v>
      </c>
      <c r="BB16" s="86" t="s">
        <v>1437</v>
      </c>
      <c r="BC16" s="86">
        <v>45426.0</v>
      </c>
    </row>
    <row r="17" ht="14.25" customHeight="1">
      <c r="A17" s="14">
        <f t="shared" si="9"/>
        <v>16</v>
      </c>
      <c r="B17" s="16" t="s">
        <v>1438</v>
      </c>
      <c r="C17" s="16" t="s">
        <v>1439</v>
      </c>
      <c r="D17" s="16" t="s">
        <v>1440</v>
      </c>
      <c r="E17" s="19" t="s">
        <v>943</v>
      </c>
      <c r="F17" s="19" t="s">
        <v>231</v>
      </c>
      <c r="G17" s="16" t="str">
        <f t="shared" ref="G17:G18" si="19">CONCATENATE(B17,", ",C17," ",E17,".")</f>
        <v>Pabelonia, Jesus O.</v>
      </c>
      <c r="H17" s="16" t="str">
        <f t="shared" ref="H17:H18" si="20">CONCATENATE(C17," ",E17,". ",B17)</f>
        <v>Jesus O. Pabelonia</v>
      </c>
      <c r="I17" s="16" t="str">
        <f t="shared" ref="I17:I18" si="21">CONCATENATE(B17,", ",C17," ",D17)</f>
        <v>Pabelonia, Jesus Odivilas</v>
      </c>
      <c r="J17" s="19" t="s">
        <v>82</v>
      </c>
      <c r="K17" s="19" t="s">
        <v>191</v>
      </c>
      <c r="L17" s="19" t="s">
        <v>57</v>
      </c>
      <c r="M17" s="19" t="s">
        <v>105</v>
      </c>
      <c r="N17" s="19">
        <v>1.031123278E9</v>
      </c>
      <c r="O17" s="19">
        <v>45011.0</v>
      </c>
      <c r="P17" s="19">
        <v>44996.0</v>
      </c>
      <c r="Q17" s="19">
        <v>45010.0</v>
      </c>
      <c r="R17" s="19">
        <v>45011.0</v>
      </c>
      <c r="S17" s="19">
        <v>45194.0</v>
      </c>
      <c r="T17" s="61">
        <f t="shared" si="4"/>
        <v>46132</v>
      </c>
      <c r="U17" s="19">
        <f t="shared" si="5"/>
        <v>3</v>
      </c>
      <c r="V17" s="19">
        <f t="shared" si="6"/>
        <v>0</v>
      </c>
      <c r="W17" s="19">
        <f t="shared" si="7"/>
        <v>25</v>
      </c>
      <c r="X17" s="19"/>
      <c r="Y17" s="26" t="s">
        <v>82</v>
      </c>
      <c r="Z17" s="19"/>
      <c r="AA17" s="19"/>
      <c r="AB17" s="19"/>
      <c r="AC17" s="22">
        <f t="shared" si="11"/>
        <v>15910.83</v>
      </c>
      <c r="AD17" s="19"/>
      <c r="AE17" s="22">
        <f t="shared" si="12"/>
        <v>15910.83</v>
      </c>
      <c r="AF17" s="62">
        <f t="shared" si="13"/>
        <v>609.9998722</v>
      </c>
      <c r="AG17" s="19" t="s">
        <v>178</v>
      </c>
      <c r="AH17" s="24"/>
      <c r="AI17" s="19" t="s">
        <v>61</v>
      </c>
      <c r="AJ17" s="19" t="s">
        <v>62</v>
      </c>
      <c r="AK17" s="19">
        <v>36123.0</v>
      </c>
      <c r="AL17" s="62">
        <f t="shared" si="8"/>
        <v>27.42191781</v>
      </c>
      <c r="AM17" s="26" t="s">
        <v>1441</v>
      </c>
      <c r="AN17" s="16" t="s">
        <v>1442</v>
      </c>
      <c r="AO17" s="19">
        <v>9.925789392E9</v>
      </c>
      <c r="AP17" s="67" t="s">
        <v>1443</v>
      </c>
      <c r="AQ17" s="16" t="s">
        <v>110</v>
      </c>
      <c r="AR17" s="16" t="s">
        <v>975</v>
      </c>
      <c r="AS17" s="19" t="s">
        <v>1444</v>
      </c>
      <c r="AT17" s="19" t="s">
        <v>1445</v>
      </c>
      <c r="AU17" s="19" t="s">
        <v>1446</v>
      </c>
      <c r="AV17" s="19" t="s">
        <v>1447</v>
      </c>
      <c r="AW17" s="16"/>
      <c r="AX17" s="16" t="s">
        <v>1448</v>
      </c>
      <c r="AY17" s="19" t="s">
        <v>73</v>
      </c>
      <c r="AZ17" s="19">
        <v>9.273361823E9</v>
      </c>
      <c r="BA17" s="86" t="s">
        <v>900</v>
      </c>
      <c r="BB17" s="86" t="s">
        <v>900</v>
      </c>
      <c r="BC17" s="86">
        <v>45437.0</v>
      </c>
    </row>
    <row r="18" ht="14.25" customHeight="1">
      <c r="A18" s="14">
        <f t="shared" si="9"/>
        <v>17</v>
      </c>
      <c r="B18" s="16" t="s">
        <v>1082</v>
      </c>
      <c r="C18" s="16" t="s">
        <v>1083</v>
      </c>
      <c r="D18" s="16" t="s">
        <v>1084</v>
      </c>
      <c r="E18" s="17" t="s">
        <v>77</v>
      </c>
      <c r="F18" s="17"/>
      <c r="G18" s="16" t="str">
        <f t="shared" si="19"/>
        <v>Pabilona, Claire R.</v>
      </c>
      <c r="H18" s="16" t="str">
        <f t="shared" si="20"/>
        <v>Claire R. Pabilona</v>
      </c>
      <c r="I18" s="16" t="str">
        <f t="shared" si="21"/>
        <v>Pabilona, Claire Roxas</v>
      </c>
      <c r="J18" s="19" t="s">
        <v>133</v>
      </c>
      <c r="K18" s="19" t="s">
        <v>104</v>
      </c>
      <c r="L18" s="19" t="s">
        <v>57</v>
      </c>
      <c r="M18" s="19" t="s">
        <v>105</v>
      </c>
      <c r="N18" s="19">
        <v>1.081722262E9</v>
      </c>
      <c r="O18" s="20">
        <v>44790.0</v>
      </c>
      <c r="P18" s="20">
        <v>44774.0</v>
      </c>
      <c r="Q18" s="20">
        <v>44789.0</v>
      </c>
      <c r="R18" s="20">
        <v>44790.0</v>
      </c>
      <c r="S18" s="20">
        <v>44973.0</v>
      </c>
      <c r="T18" s="61">
        <f t="shared" si="4"/>
        <v>46132</v>
      </c>
      <c r="U18" s="21">
        <f t="shared" si="5"/>
        <v>3</v>
      </c>
      <c r="V18" s="19">
        <f t="shared" si="6"/>
        <v>8</v>
      </c>
      <c r="W18" s="19">
        <f t="shared" si="7"/>
        <v>3</v>
      </c>
      <c r="X18" s="74">
        <v>44974.0</v>
      </c>
      <c r="Y18" s="26" t="s">
        <v>82</v>
      </c>
      <c r="Z18" s="16" t="s">
        <v>1449</v>
      </c>
      <c r="AA18" s="16" t="s">
        <v>1450</v>
      </c>
      <c r="AB18" s="16" t="s">
        <v>1451</v>
      </c>
      <c r="AC18" s="22">
        <f>14867.5+2470.25+1216.41</f>
        <v>18554.16</v>
      </c>
      <c r="AD18" s="23"/>
      <c r="AE18" s="22">
        <f t="shared" si="12"/>
        <v>18554.16</v>
      </c>
      <c r="AF18" s="62">
        <f>AE18*12/365</f>
        <v>609.9997808</v>
      </c>
      <c r="AG18" s="19" t="s">
        <v>59</v>
      </c>
      <c r="AH18" s="24" t="s">
        <v>1085</v>
      </c>
      <c r="AI18" s="24" t="s">
        <v>135</v>
      </c>
      <c r="AJ18" s="19" t="s">
        <v>62</v>
      </c>
      <c r="AK18" s="19">
        <v>36803.0</v>
      </c>
      <c r="AL18" s="25">
        <f t="shared" si="8"/>
        <v>25.55890411</v>
      </c>
      <c r="AM18" s="26" t="s">
        <v>1086</v>
      </c>
      <c r="AN18" s="16"/>
      <c r="AO18" s="19">
        <v>9.158724275E9</v>
      </c>
      <c r="AP18" s="75" t="s">
        <v>1087</v>
      </c>
      <c r="AQ18" s="16" t="s">
        <v>110</v>
      </c>
      <c r="AR18" s="16" t="s">
        <v>326</v>
      </c>
      <c r="AS18" s="19" t="s">
        <v>1088</v>
      </c>
      <c r="AT18" s="19" t="s">
        <v>1089</v>
      </c>
      <c r="AU18" s="19" t="s">
        <v>1090</v>
      </c>
      <c r="AV18" s="19" t="s">
        <v>1091</v>
      </c>
      <c r="AW18" s="16"/>
      <c r="AX18" s="16" t="s">
        <v>1092</v>
      </c>
      <c r="AY18" s="19" t="s">
        <v>318</v>
      </c>
      <c r="AZ18" s="19">
        <v>9.457106017E9</v>
      </c>
      <c r="BA18" s="16" t="s">
        <v>1452</v>
      </c>
      <c r="BB18" s="86" t="s">
        <v>1452</v>
      </c>
      <c r="BC18" s="86">
        <v>45474.0</v>
      </c>
    </row>
    <row r="19" ht="14.25" customHeight="1">
      <c r="A19" s="14">
        <f t="shared" si="9"/>
        <v>18</v>
      </c>
      <c r="B19" s="16" t="s">
        <v>1453</v>
      </c>
      <c r="C19" s="16" t="s">
        <v>1454</v>
      </c>
      <c r="D19" s="16" t="s">
        <v>902</v>
      </c>
      <c r="E19" s="19" t="s">
        <v>308</v>
      </c>
      <c r="F19" s="19"/>
      <c r="G19" s="16" t="str">
        <f t="shared" ref="G19:G22" si="22">CONCATENATE(B19," ",F19,", ",C19," ",E19,".")</f>
        <v>Delote , Rico Jay B.</v>
      </c>
      <c r="H19" s="16" t="str">
        <f t="shared" ref="H19:H22" si="23">CONCATENATE(C19," ",E19,". ",B19," ",F19)</f>
        <v>Rico Jay B. Delote </v>
      </c>
      <c r="I19" s="16" t="str">
        <f t="shared" ref="I19:I22" si="24">CONCATENATE(B19," ",F19,", ",C19," ",D19)</f>
        <v>Delote , Rico Jay Bautista</v>
      </c>
      <c r="J19" s="19" t="s">
        <v>218</v>
      </c>
      <c r="K19" s="19" t="s">
        <v>161</v>
      </c>
      <c r="L19" s="19" t="s">
        <v>16</v>
      </c>
      <c r="M19" s="19" t="s">
        <v>105</v>
      </c>
      <c r="N19" s="19"/>
      <c r="O19" s="19">
        <v>45443.0</v>
      </c>
      <c r="P19" s="19">
        <v>45427.0</v>
      </c>
      <c r="Q19" s="19">
        <v>45442.0</v>
      </c>
      <c r="R19" s="19">
        <v>45443.0</v>
      </c>
      <c r="S19" s="61">
        <f t="shared" ref="S19:S22" si="25">EDATE(R19-1,6)</f>
        <v>45626</v>
      </c>
      <c r="T19" s="61">
        <f t="shared" si="4"/>
        <v>46132</v>
      </c>
      <c r="U19" s="19">
        <f t="shared" si="5"/>
        <v>1</v>
      </c>
      <c r="V19" s="19">
        <f t="shared" si="6"/>
        <v>10</v>
      </c>
      <c r="W19" s="19">
        <f t="shared" si="7"/>
        <v>20</v>
      </c>
      <c r="X19" s="61">
        <f>EDATE(R19,6)+1</f>
        <v>45627</v>
      </c>
      <c r="Y19" s="26" t="s">
        <v>219</v>
      </c>
      <c r="Z19" s="19"/>
      <c r="AA19" s="19"/>
      <c r="AB19" s="19"/>
      <c r="AC19" s="22">
        <f t="shared" ref="AC19:AC21" si="26">14867.5+1043.33+912.92</f>
        <v>16823.75</v>
      </c>
      <c r="AD19" s="19"/>
      <c r="AE19" s="22">
        <f t="shared" si="12"/>
        <v>16823.75</v>
      </c>
      <c r="AF19" s="62">
        <f t="shared" ref="AF19:AF21" si="27">AE19*12/313</f>
        <v>645</v>
      </c>
      <c r="AG19" s="19" t="s">
        <v>178</v>
      </c>
      <c r="AH19" s="24"/>
      <c r="AI19" s="19" t="s">
        <v>61</v>
      </c>
      <c r="AJ19" s="19" t="s">
        <v>62</v>
      </c>
      <c r="AK19" s="19">
        <v>36112.0</v>
      </c>
      <c r="AL19" s="62">
        <f t="shared" si="8"/>
        <v>27.45205479</v>
      </c>
      <c r="AM19" s="26" t="s">
        <v>1455</v>
      </c>
      <c r="AN19" s="26" t="s">
        <v>1456</v>
      </c>
      <c r="AO19" s="19">
        <v>9.608299045E9</v>
      </c>
      <c r="AP19" s="67" t="s">
        <v>1457</v>
      </c>
      <c r="AQ19" s="16" t="s">
        <v>1458</v>
      </c>
      <c r="AR19" s="16" t="s">
        <v>1459</v>
      </c>
      <c r="AS19" s="19" t="s">
        <v>1460</v>
      </c>
      <c r="AT19" s="19" t="s">
        <v>1461</v>
      </c>
      <c r="AU19" s="19" t="s">
        <v>1462</v>
      </c>
      <c r="AV19" s="19" t="s">
        <v>1463</v>
      </c>
      <c r="AW19" s="16"/>
      <c r="AX19" s="16" t="s">
        <v>1464</v>
      </c>
      <c r="AY19" s="19" t="s">
        <v>213</v>
      </c>
      <c r="AZ19" s="71">
        <v>9.085755553E9</v>
      </c>
      <c r="BA19" s="16" t="s">
        <v>1465</v>
      </c>
      <c r="BB19" s="86" t="s">
        <v>983</v>
      </c>
      <c r="BC19" s="86">
        <v>45547.0</v>
      </c>
    </row>
    <row r="20" ht="14.25" customHeight="1">
      <c r="A20" s="14">
        <f t="shared" si="9"/>
        <v>19</v>
      </c>
      <c r="B20" s="16" t="s">
        <v>1466</v>
      </c>
      <c r="C20" s="16" t="s">
        <v>1467</v>
      </c>
      <c r="D20" s="16" t="s">
        <v>1468</v>
      </c>
      <c r="E20" s="19" t="s">
        <v>217</v>
      </c>
      <c r="F20" s="19"/>
      <c r="G20" s="16" t="str">
        <f t="shared" si="22"/>
        <v>Caimoy , Hendrix M.</v>
      </c>
      <c r="H20" s="16" t="str">
        <f t="shared" si="23"/>
        <v>Hendrix M. Caimoy </v>
      </c>
      <c r="I20" s="16" t="str">
        <f t="shared" si="24"/>
        <v>Caimoy , Hendrix Mazo</v>
      </c>
      <c r="J20" s="19" t="s">
        <v>82</v>
      </c>
      <c r="K20" s="19" t="s">
        <v>191</v>
      </c>
      <c r="L20" s="19" t="s">
        <v>57</v>
      </c>
      <c r="M20" s="19" t="s">
        <v>105</v>
      </c>
      <c r="N20" s="19"/>
      <c r="O20" s="19">
        <v>45329.0</v>
      </c>
      <c r="P20" s="19">
        <v>45313.0</v>
      </c>
      <c r="Q20" s="19">
        <v>45328.0</v>
      </c>
      <c r="R20" s="19">
        <v>45329.0</v>
      </c>
      <c r="S20" s="61">
        <f t="shared" si="25"/>
        <v>45510</v>
      </c>
      <c r="T20" s="61">
        <f t="shared" si="4"/>
        <v>46132</v>
      </c>
      <c r="U20" s="19">
        <f t="shared" si="5"/>
        <v>2</v>
      </c>
      <c r="V20" s="19">
        <f t="shared" si="6"/>
        <v>2</v>
      </c>
      <c r="W20" s="19">
        <f t="shared" si="7"/>
        <v>13</v>
      </c>
      <c r="X20" s="61">
        <f t="shared" ref="X20:X21" si="28">EDATE(R20,6)</f>
        <v>45511</v>
      </c>
      <c r="Y20" s="26" t="s">
        <v>82</v>
      </c>
      <c r="Z20" s="19"/>
      <c r="AA20" s="19"/>
      <c r="AB20" s="19"/>
      <c r="AC20" s="22">
        <f t="shared" si="26"/>
        <v>16823.75</v>
      </c>
      <c r="AD20" s="19"/>
      <c r="AE20" s="22">
        <f t="shared" si="12"/>
        <v>16823.75</v>
      </c>
      <c r="AF20" s="62">
        <f t="shared" si="27"/>
        <v>645</v>
      </c>
      <c r="AG20" s="19" t="s">
        <v>178</v>
      </c>
      <c r="AH20" s="24"/>
      <c r="AI20" s="19" t="s">
        <v>61</v>
      </c>
      <c r="AJ20" s="19" t="s">
        <v>62</v>
      </c>
      <c r="AK20" s="19">
        <v>35917.0</v>
      </c>
      <c r="AL20" s="62">
        <f t="shared" si="8"/>
        <v>27.98630137</v>
      </c>
      <c r="AM20" s="26" t="s">
        <v>1469</v>
      </c>
      <c r="AN20" s="26" t="s">
        <v>1470</v>
      </c>
      <c r="AO20" s="19">
        <v>9.051296173E9</v>
      </c>
      <c r="AP20" s="67" t="s">
        <v>1471</v>
      </c>
      <c r="AQ20" s="16" t="s">
        <v>110</v>
      </c>
      <c r="AR20" s="16" t="s">
        <v>139</v>
      </c>
      <c r="AS20" s="64" t="s">
        <v>1472</v>
      </c>
      <c r="AT20" s="64" t="s">
        <v>1473</v>
      </c>
      <c r="AU20" s="64" t="s">
        <v>1474</v>
      </c>
      <c r="AV20" s="64" t="s">
        <v>1475</v>
      </c>
      <c r="AW20" s="16"/>
      <c r="AX20" s="16" t="s">
        <v>1476</v>
      </c>
      <c r="AY20" s="19" t="s">
        <v>213</v>
      </c>
      <c r="AZ20" s="19">
        <v>9.923081638E9</v>
      </c>
      <c r="BA20" s="16" t="s">
        <v>954</v>
      </c>
      <c r="BB20" s="86" t="s">
        <v>1477</v>
      </c>
      <c r="BC20" s="86">
        <v>45545.0</v>
      </c>
    </row>
    <row r="21" ht="14.25" customHeight="1">
      <c r="A21" s="14">
        <f t="shared" si="9"/>
        <v>20</v>
      </c>
      <c r="B21" s="16" t="s">
        <v>1478</v>
      </c>
      <c r="C21" s="16" t="s">
        <v>1479</v>
      </c>
      <c r="D21" s="16" t="s">
        <v>929</v>
      </c>
      <c r="E21" s="19" t="s">
        <v>394</v>
      </c>
      <c r="F21" s="19"/>
      <c r="G21" s="16" t="str">
        <f t="shared" si="22"/>
        <v>Colina , Jade Alvin Patrick S.</v>
      </c>
      <c r="H21" s="16" t="str">
        <f t="shared" si="23"/>
        <v>Jade Alvin Patrick S. Colina </v>
      </c>
      <c r="I21" s="16" t="str">
        <f t="shared" si="24"/>
        <v>Colina , Jade Alvin Patrick Sanchez</v>
      </c>
      <c r="J21" s="19" t="s">
        <v>82</v>
      </c>
      <c r="K21" s="19" t="s">
        <v>191</v>
      </c>
      <c r="L21" s="19" t="s">
        <v>16</v>
      </c>
      <c r="M21" s="19" t="s">
        <v>105</v>
      </c>
      <c r="N21" s="19"/>
      <c r="O21" s="19">
        <v>45598.0</v>
      </c>
      <c r="P21" s="19">
        <v>45582.0</v>
      </c>
      <c r="Q21" s="19">
        <v>45597.0</v>
      </c>
      <c r="R21" s="19">
        <v>45598.0</v>
      </c>
      <c r="S21" s="61">
        <f t="shared" si="25"/>
        <v>45778</v>
      </c>
      <c r="T21" s="61">
        <f t="shared" si="4"/>
        <v>46132</v>
      </c>
      <c r="U21" s="19">
        <f t="shared" si="5"/>
        <v>1</v>
      </c>
      <c r="V21" s="19">
        <f t="shared" si="6"/>
        <v>5</v>
      </c>
      <c r="W21" s="19">
        <f t="shared" si="7"/>
        <v>18</v>
      </c>
      <c r="X21" s="61">
        <f t="shared" si="28"/>
        <v>45779</v>
      </c>
      <c r="Y21" s="26" t="s">
        <v>82</v>
      </c>
      <c r="Z21" s="19"/>
      <c r="AA21" s="19"/>
      <c r="AB21" s="19"/>
      <c r="AC21" s="22">
        <f t="shared" si="26"/>
        <v>16823.75</v>
      </c>
      <c r="AD21" s="19"/>
      <c r="AE21" s="22">
        <f t="shared" si="12"/>
        <v>16823.75</v>
      </c>
      <c r="AF21" s="62">
        <f t="shared" si="27"/>
        <v>645</v>
      </c>
      <c r="AG21" s="19" t="s">
        <v>178</v>
      </c>
      <c r="AH21" s="24"/>
      <c r="AI21" s="19" t="s">
        <v>61</v>
      </c>
      <c r="AJ21" s="19" t="s">
        <v>62</v>
      </c>
      <c r="AK21" s="19">
        <v>36480.0</v>
      </c>
      <c r="AL21" s="62">
        <f t="shared" si="8"/>
        <v>26.44383562</v>
      </c>
      <c r="AM21" s="26" t="s">
        <v>1480</v>
      </c>
      <c r="AN21" s="26" t="s">
        <v>1481</v>
      </c>
      <c r="AO21" s="19">
        <v>9.394582949E9</v>
      </c>
      <c r="AP21" s="67" t="s">
        <v>1482</v>
      </c>
      <c r="AQ21" s="16" t="s">
        <v>110</v>
      </c>
      <c r="AR21" s="26" t="s">
        <v>1483</v>
      </c>
      <c r="AS21" s="64" t="s">
        <v>1484</v>
      </c>
      <c r="AT21" s="64" t="s">
        <v>1485</v>
      </c>
      <c r="AU21" s="64" t="s">
        <v>1486</v>
      </c>
      <c r="AV21" s="64" t="s">
        <v>1487</v>
      </c>
      <c r="AW21" s="16"/>
      <c r="AX21" s="16" t="s">
        <v>1488</v>
      </c>
      <c r="AY21" s="19" t="s">
        <v>318</v>
      </c>
      <c r="AZ21" s="19">
        <v>9.153090635E9</v>
      </c>
      <c r="BA21" s="16" t="s">
        <v>954</v>
      </c>
      <c r="BB21" s="86" t="s">
        <v>1489</v>
      </c>
      <c r="BC21" s="86">
        <v>45621.0</v>
      </c>
    </row>
    <row r="22" ht="14.25" customHeight="1">
      <c r="A22" s="14">
        <f t="shared" si="9"/>
        <v>21</v>
      </c>
      <c r="B22" s="16" t="s">
        <v>792</v>
      </c>
      <c r="C22" s="16" t="s">
        <v>793</v>
      </c>
      <c r="D22" s="16" t="s">
        <v>794</v>
      </c>
      <c r="E22" s="17" t="s">
        <v>257</v>
      </c>
      <c r="F22" s="17"/>
      <c r="G22" s="16" t="str">
        <f t="shared" si="22"/>
        <v>Fernando , Princess J.</v>
      </c>
      <c r="H22" s="16" t="str">
        <f t="shared" si="23"/>
        <v>Princess J. Fernando </v>
      </c>
      <c r="I22" s="16" t="str">
        <f t="shared" si="24"/>
        <v>Fernando , Princess Juarez</v>
      </c>
      <c r="J22" s="19" t="s">
        <v>82</v>
      </c>
      <c r="K22" s="19" t="s">
        <v>335</v>
      </c>
      <c r="L22" s="19" t="s">
        <v>57</v>
      </c>
      <c r="M22" s="19" t="s">
        <v>58</v>
      </c>
      <c r="N22" s="19">
        <v>1.012623275E9</v>
      </c>
      <c r="O22" s="20">
        <v>44952.0</v>
      </c>
      <c r="P22" s="110">
        <v>44936.0</v>
      </c>
      <c r="Q22" s="110">
        <v>44951.0</v>
      </c>
      <c r="R22" s="20">
        <v>44952.0</v>
      </c>
      <c r="S22" s="20">
        <f t="shared" si="25"/>
        <v>45132</v>
      </c>
      <c r="T22" s="20">
        <f t="shared" si="4"/>
        <v>46132</v>
      </c>
      <c r="U22" s="21">
        <f t="shared" si="5"/>
        <v>3</v>
      </c>
      <c r="V22" s="19">
        <f t="shared" si="6"/>
        <v>2</v>
      </c>
      <c r="W22" s="19">
        <f t="shared" si="7"/>
        <v>25</v>
      </c>
      <c r="X22" s="74">
        <v>45132.0</v>
      </c>
      <c r="Y22" s="16" t="s">
        <v>1490</v>
      </c>
      <c r="Z22" s="16"/>
      <c r="AA22" s="16"/>
      <c r="AB22" s="16"/>
      <c r="AC22" s="22">
        <f>14867.5+1043.33+2643.33+1064.59</f>
        <v>19618.75</v>
      </c>
      <c r="AD22" s="23"/>
      <c r="AE22" s="22">
        <f t="shared" si="12"/>
        <v>19618.75</v>
      </c>
      <c r="AF22" s="22">
        <f>AE22*12/365</f>
        <v>645</v>
      </c>
      <c r="AG22" s="19" t="s">
        <v>178</v>
      </c>
      <c r="AH22" s="24" t="s">
        <v>795</v>
      </c>
      <c r="AI22" s="24" t="s">
        <v>135</v>
      </c>
      <c r="AJ22" s="19" t="s">
        <v>62</v>
      </c>
      <c r="AK22" s="19">
        <v>35808.0</v>
      </c>
      <c r="AL22" s="25">
        <f t="shared" si="8"/>
        <v>28.28493151</v>
      </c>
      <c r="AM22" s="19" t="s">
        <v>796</v>
      </c>
      <c r="AN22" s="16" t="s">
        <v>797</v>
      </c>
      <c r="AO22" s="108">
        <v>9.455967065E9</v>
      </c>
      <c r="AP22" s="75" t="s">
        <v>798</v>
      </c>
      <c r="AQ22" s="16" t="s">
        <v>110</v>
      </c>
      <c r="AR22" s="16" t="s">
        <v>799</v>
      </c>
      <c r="AS22" s="19" t="s">
        <v>800</v>
      </c>
      <c r="AT22" s="19" t="s">
        <v>801</v>
      </c>
      <c r="AU22" s="19" t="s">
        <v>802</v>
      </c>
      <c r="AV22" s="19" t="s">
        <v>803</v>
      </c>
      <c r="AW22" s="16"/>
      <c r="AX22" s="16" t="s">
        <v>804</v>
      </c>
      <c r="AY22" s="19" t="s">
        <v>213</v>
      </c>
      <c r="AZ22" s="19">
        <v>9.486762993E9</v>
      </c>
      <c r="BA22" s="86" t="s">
        <v>1491</v>
      </c>
      <c r="BB22" s="86" t="s">
        <v>954</v>
      </c>
      <c r="BC22" s="86">
        <v>45625.0</v>
      </c>
    </row>
    <row r="23" ht="14.25" customHeight="1">
      <c r="A23" s="14">
        <f t="shared" si="9"/>
        <v>22</v>
      </c>
      <c r="B23" s="15" t="s">
        <v>1423</v>
      </c>
      <c r="C23" s="15" t="s">
        <v>1424</v>
      </c>
      <c r="D23" s="15" t="s">
        <v>1425</v>
      </c>
      <c r="E23" s="17" t="s">
        <v>1426</v>
      </c>
      <c r="F23" s="17"/>
      <c r="G23" s="16" t="s">
        <v>1492</v>
      </c>
      <c r="H23" s="16" t="s">
        <v>1493</v>
      </c>
      <c r="I23" s="16" t="s">
        <v>1494</v>
      </c>
      <c r="J23" s="19" t="s">
        <v>218</v>
      </c>
      <c r="K23" s="19" t="s">
        <v>161</v>
      </c>
      <c r="L23" s="19" t="s">
        <v>16</v>
      </c>
      <c r="M23" s="19" t="s">
        <v>105</v>
      </c>
      <c r="N23" s="19">
        <v>1093023.0</v>
      </c>
      <c r="O23" s="20">
        <v>45610.0</v>
      </c>
      <c r="P23" s="110">
        <v>45594.0</v>
      </c>
      <c r="Q23" s="110">
        <v>45609.0</v>
      </c>
      <c r="R23" s="20">
        <v>45610.0</v>
      </c>
      <c r="S23" s="20">
        <v>45790.0</v>
      </c>
      <c r="T23" s="20">
        <v>45855.0</v>
      </c>
      <c r="U23" s="21">
        <v>0.0</v>
      </c>
      <c r="V23" s="19">
        <v>8.0</v>
      </c>
      <c r="W23" s="19">
        <v>3.0</v>
      </c>
      <c r="X23" s="74">
        <v>45791.0</v>
      </c>
      <c r="Y23" s="16" t="s">
        <v>219</v>
      </c>
      <c r="Z23" s="16"/>
      <c r="AA23" s="16"/>
      <c r="AB23" s="16"/>
      <c r="AC23" s="22">
        <v>16823.75</v>
      </c>
      <c r="AD23" s="23"/>
      <c r="AE23" s="22">
        <v>16823.75</v>
      </c>
      <c r="AF23" s="22">
        <v>645.0</v>
      </c>
      <c r="AG23" s="19" t="s">
        <v>178</v>
      </c>
      <c r="AH23" s="24"/>
      <c r="AI23" s="24" t="s">
        <v>61</v>
      </c>
      <c r="AJ23" s="19" t="s">
        <v>62</v>
      </c>
      <c r="AK23" s="19">
        <v>37939.0</v>
      </c>
      <c r="AL23" s="25">
        <v>21.6876712328767</v>
      </c>
      <c r="AM23" s="19" t="s">
        <v>1428</v>
      </c>
      <c r="AN23" s="16"/>
      <c r="AO23" s="108" t="s">
        <v>1429</v>
      </c>
      <c r="AP23" s="75" t="s">
        <v>1430</v>
      </c>
      <c r="AQ23" s="16" t="s">
        <v>1368</v>
      </c>
      <c r="AR23" s="16" t="s">
        <v>1431</v>
      </c>
      <c r="AS23" s="19" t="s">
        <v>1432</v>
      </c>
      <c r="AT23" s="19" t="s">
        <v>1433</v>
      </c>
      <c r="AU23" s="19" t="s">
        <v>1434</v>
      </c>
      <c r="AV23" s="19" t="s">
        <v>1435</v>
      </c>
      <c r="AW23" s="16"/>
      <c r="AX23" s="16" t="s">
        <v>1436</v>
      </c>
      <c r="AY23" s="19" t="s">
        <v>213</v>
      </c>
      <c r="AZ23" s="19">
        <v>9.77034179E9</v>
      </c>
      <c r="BA23" s="86" t="s">
        <v>1495</v>
      </c>
      <c r="BB23" s="86" t="s">
        <v>1495</v>
      </c>
      <c r="BC23" s="148" t="s">
        <v>1496</v>
      </c>
    </row>
    <row r="24" ht="14.25" customHeight="1">
      <c r="A24" s="14">
        <f t="shared" si="9"/>
        <v>23</v>
      </c>
      <c r="B24" s="15" t="s">
        <v>1497</v>
      </c>
      <c r="C24" s="15" t="s">
        <v>1498</v>
      </c>
      <c r="D24" s="15" t="s">
        <v>1499</v>
      </c>
      <c r="E24" s="17" t="s">
        <v>87</v>
      </c>
      <c r="F24" s="17"/>
      <c r="G24" s="15" t="str">
        <f>CONCATENATE(B24,", ",C24," ",E24,".")</f>
        <v>Montallana, Randy L.</v>
      </c>
      <c r="H24" s="15" t="str">
        <f>CONCATENATE(C24," ",E24,". ",B24)</f>
        <v>Randy L. Montallana</v>
      </c>
      <c r="I24" s="15" t="str">
        <f>CONCATENATE(B24,", ",C24," ",D24)</f>
        <v>Montallana, Randy Logon</v>
      </c>
      <c r="J24" s="17" t="s">
        <v>82</v>
      </c>
      <c r="K24" s="17" t="s">
        <v>191</v>
      </c>
      <c r="L24" s="17" t="s">
        <v>57</v>
      </c>
      <c r="M24" s="17" t="s">
        <v>105</v>
      </c>
      <c r="N24" s="17">
        <v>1.022223277E9</v>
      </c>
      <c r="O24" s="77">
        <v>44979.0</v>
      </c>
      <c r="P24" s="77">
        <v>44963.0</v>
      </c>
      <c r="Q24" s="77">
        <v>44978.0</v>
      </c>
      <c r="R24" s="17">
        <v>44979.0</v>
      </c>
      <c r="S24" s="17">
        <v>45159.0</v>
      </c>
      <c r="T24" s="72">
        <f t="shared" ref="T24:T25" si="29">TODAY()</f>
        <v>46132</v>
      </c>
      <c r="U24" s="17">
        <f t="shared" ref="U24:U25" si="30">DATEDIF(O24,T24,"y")</f>
        <v>3</v>
      </c>
      <c r="V24" s="17">
        <f t="shared" ref="V24:V25" si="31">DATEDIF(O24,T24,"ym")</f>
        <v>1</v>
      </c>
      <c r="W24" s="17">
        <f t="shared" ref="W24:W25" si="32">DATEDIF(O24,T24,"MD")</f>
        <v>29</v>
      </c>
      <c r="X24" s="17">
        <v>45160.0</v>
      </c>
      <c r="Y24" s="65" t="s">
        <v>82</v>
      </c>
      <c r="Z24" s="17"/>
      <c r="AA24" s="17"/>
      <c r="AB24" s="17"/>
      <c r="AC24" s="78">
        <f t="shared" ref="AC24:AC25" si="33">14867.5+1043.33+912.92</f>
        <v>16823.75</v>
      </c>
      <c r="AD24" s="17"/>
      <c r="AE24" s="78">
        <f t="shared" ref="AE24:AE25" si="34">SUM(AC24:AD24)</f>
        <v>16823.75</v>
      </c>
      <c r="AF24" s="79">
        <f t="shared" ref="AF24:AF25" si="35">AE24*12/313</f>
        <v>645</v>
      </c>
      <c r="AG24" s="17" t="s">
        <v>178</v>
      </c>
      <c r="AH24" s="80" t="s">
        <v>1500</v>
      </c>
      <c r="AI24" s="17" t="s">
        <v>61</v>
      </c>
      <c r="AJ24" s="17" t="s">
        <v>62</v>
      </c>
      <c r="AK24" s="77">
        <v>35566.0</v>
      </c>
      <c r="AL24" s="79">
        <f t="shared" ref="AL24:AL25" si="36">((TODAY()-AK24)/365)</f>
        <v>28.94794521</v>
      </c>
      <c r="AM24" s="65" t="s">
        <v>1501</v>
      </c>
      <c r="AN24" s="15" t="s">
        <v>1502</v>
      </c>
      <c r="AO24" s="17">
        <v>9.557648681E9</v>
      </c>
      <c r="AP24" s="81" t="s">
        <v>1503</v>
      </c>
      <c r="AQ24" s="15" t="s">
        <v>110</v>
      </c>
      <c r="AR24" s="15" t="s">
        <v>1392</v>
      </c>
      <c r="AS24" s="17" t="s">
        <v>1504</v>
      </c>
      <c r="AT24" s="17" t="s">
        <v>1505</v>
      </c>
      <c r="AU24" s="17" t="s">
        <v>1506</v>
      </c>
      <c r="AV24" s="17" t="s">
        <v>1507</v>
      </c>
      <c r="AW24" s="15"/>
      <c r="AX24" s="15" t="s">
        <v>1508</v>
      </c>
      <c r="AY24" s="17" t="s">
        <v>73</v>
      </c>
      <c r="AZ24" s="17">
        <v>9.355676098E9</v>
      </c>
      <c r="BA24" s="86" t="s">
        <v>954</v>
      </c>
      <c r="BB24" s="86" t="s">
        <v>954</v>
      </c>
      <c r="BC24" s="148" t="s">
        <v>1509</v>
      </c>
      <c r="BD24" s="83"/>
    </row>
    <row r="25" ht="14.25" customHeight="1">
      <c r="A25" s="14">
        <f t="shared" si="9"/>
        <v>24</v>
      </c>
      <c r="B25" s="15" t="s">
        <v>1510</v>
      </c>
      <c r="C25" s="15" t="s">
        <v>1511</v>
      </c>
      <c r="D25" s="15" t="s">
        <v>1512</v>
      </c>
      <c r="E25" s="17" t="s">
        <v>77</v>
      </c>
      <c r="F25" s="17"/>
      <c r="G25" s="15" t="str">
        <f>CONCATENATE(B25," ",F25,", ",C25," ",E25,".")</f>
        <v>Rillorta , Dann Joshua R.</v>
      </c>
      <c r="H25" s="15" t="str">
        <f>CONCATENATE(C25," ",E25,". ",B25," ",F25)</f>
        <v>Dann Joshua R. Rillorta </v>
      </c>
      <c r="I25" s="15" t="str">
        <f>CONCATENATE(B25," ",F25,", ",C25," ",D25)</f>
        <v>Rillorta , Dann Joshua Ricalde</v>
      </c>
      <c r="J25" s="17" t="s">
        <v>82</v>
      </c>
      <c r="K25" s="17" t="s">
        <v>191</v>
      </c>
      <c r="L25" s="17" t="s">
        <v>16</v>
      </c>
      <c r="M25" s="17" t="s">
        <v>105</v>
      </c>
      <c r="N25" s="17">
        <v>1.110624213E9</v>
      </c>
      <c r="O25" s="77">
        <v>45602.0</v>
      </c>
      <c r="P25" s="77">
        <v>45586.0</v>
      </c>
      <c r="Q25" s="77">
        <v>45601.0</v>
      </c>
      <c r="R25" s="17">
        <v>45602.0</v>
      </c>
      <c r="S25" s="72">
        <f>EDATE(R25-1,6)</f>
        <v>45782</v>
      </c>
      <c r="T25" s="72">
        <f t="shared" si="29"/>
        <v>46132</v>
      </c>
      <c r="U25" s="17">
        <f t="shared" si="30"/>
        <v>1</v>
      </c>
      <c r="V25" s="17">
        <f t="shared" si="31"/>
        <v>5</v>
      </c>
      <c r="W25" s="17">
        <f t="shared" si="32"/>
        <v>14</v>
      </c>
      <c r="X25" s="72">
        <f>EDATE(R25,6)</f>
        <v>45783</v>
      </c>
      <c r="Y25" s="65" t="s">
        <v>82</v>
      </c>
      <c r="Z25" s="17"/>
      <c r="AA25" s="17"/>
      <c r="AB25" s="17"/>
      <c r="AC25" s="78">
        <f t="shared" si="33"/>
        <v>16823.75</v>
      </c>
      <c r="AD25" s="17"/>
      <c r="AE25" s="78">
        <f t="shared" si="34"/>
        <v>16823.75</v>
      </c>
      <c r="AF25" s="79">
        <f t="shared" si="35"/>
        <v>645</v>
      </c>
      <c r="AG25" s="17" t="s">
        <v>178</v>
      </c>
      <c r="AH25" s="80"/>
      <c r="AI25" s="17" t="s">
        <v>61</v>
      </c>
      <c r="AJ25" s="17" t="s">
        <v>62</v>
      </c>
      <c r="AK25" s="77">
        <v>35678.0</v>
      </c>
      <c r="AL25" s="79">
        <f t="shared" si="36"/>
        <v>28.64109589</v>
      </c>
      <c r="AM25" s="65" t="s">
        <v>1513</v>
      </c>
      <c r="AN25" s="65" t="s">
        <v>1513</v>
      </c>
      <c r="AO25" s="17">
        <v>9.56415713E9</v>
      </c>
      <c r="AP25" s="81" t="s">
        <v>1514</v>
      </c>
      <c r="AQ25" s="15" t="s">
        <v>110</v>
      </c>
      <c r="AR25" s="65" t="s">
        <v>1515</v>
      </c>
      <c r="AS25" s="82" t="s">
        <v>1516</v>
      </c>
      <c r="AT25" s="82" t="s">
        <v>1517</v>
      </c>
      <c r="AU25" s="82" t="s">
        <v>1518</v>
      </c>
      <c r="AV25" s="82" t="s">
        <v>1519</v>
      </c>
      <c r="AW25" s="15"/>
      <c r="AX25" s="15" t="s">
        <v>1520</v>
      </c>
      <c r="AY25" s="17" t="s">
        <v>73</v>
      </c>
      <c r="AZ25" s="17">
        <v>9.701722751E9</v>
      </c>
      <c r="BA25" s="15" t="s">
        <v>1521</v>
      </c>
      <c r="BB25" s="164" t="s">
        <v>914</v>
      </c>
      <c r="BC25" s="148">
        <v>45782.0</v>
      </c>
      <c r="BD25" s="83"/>
    </row>
    <row r="26" ht="14.25" customHeight="1">
      <c r="A26" s="14">
        <f t="shared" si="9"/>
        <v>25</v>
      </c>
      <c r="B26" s="15" t="s">
        <v>1522</v>
      </c>
      <c r="C26" s="15" t="s">
        <v>1523</v>
      </c>
      <c r="D26" s="15" t="s">
        <v>1524</v>
      </c>
      <c r="E26" s="17" t="s">
        <v>132</v>
      </c>
      <c r="F26" s="17" t="s">
        <v>231</v>
      </c>
      <c r="G26" s="15" t="s">
        <v>1525</v>
      </c>
      <c r="H26" s="15" t="s">
        <v>1526</v>
      </c>
      <c r="I26" s="15" t="s">
        <v>1527</v>
      </c>
      <c r="J26" s="17" t="s">
        <v>218</v>
      </c>
      <c r="K26" s="17"/>
      <c r="L26" s="17" t="s">
        <v>16</v>
      </c>
      <c r="M26" s="17" t="s">
        <v>105</v>
      </c>
      <c r="N26" s="17">
        <v>1.012025309E9</v>
      </c>
      <c r="O26" s="77" t="s">
        <v>1528</v>
      </c>
      <c r="P26" s="77">
        <v>45661.0</v>
      </c>
      <c r="Q26" s="77" t="s">
        <v>1529</v>
      </c>
      <c r="R26" s="17" t="s">
        <v>1528</v>
      </c>
      <c r="S26" s="17" t="s">
        <v>1530</v>
      </c>
      <c r="T26" s="17">
        <v>45855.0</v>
      </c>
      <c r="U26" s="17"/>
      <c r="V26" s="17"/>
      <c r="W26" s="17"/>
      <c r="X26" s="17"/>
      <c r="Y26" s="65" t="s">
        <v>219</v>
      </c>
      <c r="Z26" s="17"/>
      <c r="AA26" s="17"/>
      <c r="AB26" s="17"/>
      <c r="AC26" s="78">
        <v>16823.75</v>
      </c>
      <c r="AD26" s="17"/>
      <c r="AE26" s="78">
        <v>16823.75</v>
      </c>
      <c r="AF26" s="79">
        <v>645.0</v>
      </c>
      <c r="AG26" s="17" t="s">
        <v>178</v>
      </c>
      <c r="AH26" s="80"/>
      <c r="AI26" s="17" t="s">
        <v>61</v>
      </c>
      <c r="AJ26" s="17" t="s">
        <v>62</v>
      </c>
      <c r="AK26" s="77" t="s">
        <v>1531</v>
      </c>
      <c r="AL26" s="79"/>
      <c r="AM26" s="65" t="s">
        <v>1532</v>
      </c>
      <c r="AN26" s="65" t="s">
        <v>1533</v>
      </c>
      <c r="AO26" s="17">
        <v>9.276054105E9</v>
      </c>
      <c r="AP26" s="81" t="s">
        <v>1534</v>
      </c>
      <c r="AQ26" s="15" t="s">
        <v>223</v>
      </c>
      <c r="AR26" s="65"/>
      <c r="AS26" s="82" t="s">
        <v>1535</v>
      </c>
      <c r="AT26" s="82" t="s">
        <v>1536</v>
      </c>
      <c r="AU26" s="82" t="s">
        <v>1537</v>
      </c>
      <c r="AV26" s="82" t="s">
        <v>1538</v>
      </c>
      <c r="AW26" s="15"/>
      <c r="AX26" s="15" t="s">
        <v>1539</v>
      </c>
      <c r="AY26" s="17" t="s">
        <v>1540</v>
      </c>
      <c r="AZ26" s="17"/>
      <c r="BA26" s="16" t="s">
        <v>954</v>
      </c>
      <c r="BB26" s="86" t="s">
        <v>954</v>
      </c>
      <c r="BC26" s="148" t="s">
        <v>1541</v>
      </c>
      <c r="BD26" s="83"/>
    </row>
    <row r="27" ht="14.25" customHeight="1">
      <c r="A27" s="14">
        <f t="shared" si="9"/>
        <v>26</v>
      </c>
      <c r="B27" s="15" t="s">
        <v>1542</v>
      </c>
      <c r="C27" s="15" t="s">
        <v>1543</v>
      </c>
      <c r="D27" s="15" t="s">
        <v>1544</v>
      </c>
      <c r="E27" s="17" t="s">
        <v>77</v>
      </c>
      <c r="F27" s="17" t="s">
        <v>231</v>
      </c>
      <c r="G27" s="15" t="s">
        <v>1545</v>
      </c>
      <c r="H27" s="15" t="s">
        <v>1546</v>
      </c>
      <c r="I27" s="15" t="s">
        <v>1547</v>
      </c>
      <c r="J27" s="17" t="s">
        <v>82</v>
      </c>
      <c r="K27" s="17" t="s">
        <v>191</v>
      </c>
      <c r="L27" s="17" t="s">
        <v>16</v>
      </c>
      <c r="M27" s="17" t="s">
        <v>105</v>
      </c>
      <c r="N27" s="17">
        <v>1.031325311E9</v>
      </c>
      <c r="O27" s="77" t="s">
        <v>1548</v>
      </c>
      <c r="P27" s="77" t="s">
        <v>1549</v>
      </c>
      <c r="Q27" s="77">
        <v>45994.0</v>
      </c>
      <c r="R27" s="17" t="s">
        <v>1548</v>
      </c>
      <c r="S27" s="17">
        <v>46000.0</v>
      </c>
      <c r="T27" s="17">
        <v>45855.0</v>
      </c>
      <c r="U27" s="17"/>
      <c r="V27" s="17"/>
      <c r="W27" s="17"/>
      <c r="X27" s="17"/>
      <c r="Y27" s="65" t="s">
        <v>82</v>
      </c>
      <c r="Z27" s="17"/>
      <c r="AA27" s="17"/>
      <c r="AB27" s="17"/>
      <c r="AC27" s="78">
        <v>16823.75</v>
      </c>
      <c r="AD27" s="17"/>
      <c r="AE27" s="78">
        <v>16823.75</v>
      </c>
      <c r="AF27" s="79">
        <v>645.0</v>
      </c>
      <c r="AG27" s="17" t="s">
        <v>178</v>
      </c>
      <c r="AH27" s="80"/>
      <c r="AI27" s="17" t="s">
        <v>61</v>
      </c>
      <c r="AJ27" s="17" t="s">
        <v>62</v>
      </c>
      <c r="AK27" s="77" t="s">
        <v>1550</v>
      </c>
      <c r="AL27" s="79"/>
      <c r="AM27" s="65" t="s">
        <v>1551</v>
      </c>
      <c r="AN27" s="65" t="s">
        <v>1552</v>
      </c>
      <c r="AO27" s="17">
        <v>9.382812166E9</v>
      </c>
      <c r="AP27" s="81" t="s">
        <v>1553</v>
      </c>
      <c r="AQ27" s="15" t="s">
        <v>110</v>
      </c>
      <c r="AR27" s="65" t="s">
        <v>1554</v>
      </c>
      <c r="AS27" s="82" t="s">
        <v>1555</v>
      </c>
      <c r="AT27" s="82" t="s">
        <v>1556</v>
      </c>
      <c r="AU27" s="82" t="s">
        <v>1557</v>
      </c>
      <c r="AV27" s="82" t="s">
        <v>1558</v>
      </c>
      <c r="AW27" s="15"/>
      <c r="AX27" s="15" t="s">
        <v>1559</v>
      </c>
      <c r="AY27" s="17" t="s">
        <v>390</v>
      </c>
      <c r="AZ27" s="17">
        <v>9.942391641E9</v>
      </c>
      <c r="BA27" s="16" t="s">
        <v>954</v>
      </c>
      <c r="BB27" s="86" t="s">
        <v>954</v>
      </c>
      <c r="BC27" s="148">
        <v>45753.0</v>
      </c>
      <c r="BD27" s="83"/>
    </row>
    <row r="28" ht="14.25" customHeight="1">
      <c r="A28" s="14">
        <f t="shared" si="9"/>
        <v>27</v>
      </c>
      <c r="B28" s="15" t="s">
        <v>1560</v>
      </c>
      <c r="C28" s="15" t="s">
        <v>1561</v>
      </c>
      <c r="D28" s="15" t="s">
        <v>1562</v>
      </c>
      <c r="E28" s="17" t="s">
        <v>217</v>
      </c>
      <c r="F28" s="17"/>
      <c r="G28" s="15" t="s">
        <v>1563</v>
      </c>
      <c r="H28" s="15" t="s">
        <v>1564</v>
      </c>
      <c r="I28" s="15" t="s">
        <v>1565</v>
      </c>
      <c r="J28" s="17" t="s">
        <v>82</v>
      </c>
      <c r="K28" s="17" t="s">
        <v>191</v>
      </c>
      <c r="L28" s="17" t="s">
        <v>57</v>
      </c>
      <c r="M28" s="17" t="s">
        <v>105</v>
      </c>
      <c r="N28" s="17">
        <v>1.031123279E9</v>
      </c>
      <c r="O28" s="77">
        <v>45016.0</v>
      </c>
      <c r="P28" s="77">
        <v>45000.0</v>
      </c>
      <c r="Q28" s="77">
        <v>45015.0</v>
      </c>
      <c r="R28" s="17">
        <v>45016.0</v>
      </c>
      <c r="S28" s="17">
        <v>45199.0</v>
      </c>
      <c r="T28" s="17">
        <v>45855.0</v>
      </c>
      <c r="U28" s="17">
        <v>2.0</v>
      </c>
      <c r="V28" s="17">
        <v>3.0</v>
      </c>
      <c r="W28" s="17">
        <v>16.0</v>
      </c>
      <c r="X28" s="17">
        <v>45199.0</v>
      </c>
      <c r="Y28" s="65" t="s">
        <v>82</v>
      </c>
      <c r="Z28" s="17"/>
      <c r="AA28" s="17"/>
      <c r="AB28" s="17"/>
      <c r="AC28" s="78">
        <v>16823.75</v>
      </c>
      <c r="AD28" s="17"/>
      <c r="AE28" s="78">
        <v>16823.75</v>
      </c>
      <c r="AF28" s="79">
        <v>645.0</v>
      </c>
      <c r="AG28" s="17" t="s">
        <v>178</v>
      </c>
      <c r="AH28" s="80"/>
      <c r="AI28" s="17" t="s">
        <v>61</v>
      </c>
      <c r="AJ28" s="17" t="s">
        <v>62</v>
      </c>
      <c r="AK28" s="77">
        <v>36618.0</v>
      </c>
      <c r="AL28" s="79">
        <v>25.3068493150685</v>
      </c>
      <c r="AM28" s="65" t="s">
        <v>1566</v>
      </c>
      <c r="AN28" s="65"/>
      <c r="AO28" s="17">
        <v>9.605660682E9</v>
      </c>
      <c r="AP28" s="81" t="s">
        <v>1567</v>
      </c>
      <c r="AQ28" s="15" t="s">
        <v>110</v>
      </c>
      <c r="AR28" s="65" t="s">
        <v>1554</v>
      </c>
      <c r="AS28" s="82" t="s">
        <v>1568</v>
      </c>
      <c r="AT28" s="82" t="s">
        <v>1569</v>
      </c>
      <c r="AU28" s="82" t="s">
        <v>1570</v>
      </c>
      <c r="AV28" s="82" t="s">
        <v>1571</v>
      </c>
      <c r="AW28" s="15"/>
      <c r="AX28" s="15" t="s">
        <v>1572</v>
      </c>
      <c r="AY28" s="17" t="s">
        <v>318</v>
      </c>
      <c r="AZ28" s="17">
        <v>9.552081461E9</v>
      </c>
      <c r="BA28" s="16" t="s">
        <v>954</v>
      </c>
      <c r="BB28" s="86" t="s">
        <v>954</v>
      </c>
      <c r="BC28" s="148">
        <v>45753.0</v>
      </c>
      <c r="BD28" s="83"/>
    </row>
    <row r="29" ht="14.25" customHeight="1">
      <c r="A29" s="14">
        <f t="shared" si="9"/>
        <v>28</v>
      </c>
      <c r="B29" s="16" t="s">
        <v>1573</v>
      </c>
      <c r="C29" s="16" t="s">
        <v>1574</v>
      </c>
      <c r="D29" s="16" t="s">
        <v>1575</v>
      </c>
      <c r="E29" s="19" t="s">
        <v>379</v>
      </c>
      <c r="F29" s="19"/>
      <c r="G29" s="165" t="str">
        <f>CONCATENATE(B29,", ",C29," ",E29,".")</f>
        <v>Garabato, Milbert G.</v>
      </c>
      <c r="H29" s="165" t="str">
        <f>CONCATENATE(C29," ",E29,". ",B29)</f>
        <v>Milbert G. Garabato</v>
      </c>
      <c r="I29" s="165" t="str">
        <f>CONCATENATE(B29,", ",C29," ",D29)</f>
        <v>Garabato, Milbert Gildo</v>
      </c>
      <c r="J29" s="19" t="s">
        <v>82</v>
      </c>
      <c r="K29" s="19" t="s">
        <v>191</v>
      </c>
      <c r="L29" s="19" t="s">
        <v>57</v>
      </c>
      <c r="M29" s="19" t="s">
        <v>105</v>
      </c>
      <c r="N29" s="19">
        <v>1.070222255E9</v>
      </c>
      <c r="O29" s="20">
        <v>44744.0</v>
      </c>
      <c r="P29" s="20">
        <v>44728.0</v>
      </c>
      <c r="Q29" s="20">
        <v>44743.0</v>
      </c>
      <c r="R29" s="19">
        <v>44744.0</v>
      </c>
      <c r="S29" s="19">
        <v>44927.0</v>
      </c>
      <c r="T29" s="61">
        <f>TODAY()</f>
        <v>46132</v>
      </c>
      <c r="U29" s="19">
        <f>DATEDIF(O29,T29,"y")</f>
        <v>3</v>
      </c>
      <c r="V29" s="19">
        <f>DATEDIF(O29,T29,"ym")</f>
        <v>9</v>
      </c>
      <c r="W29" s="19">
        <f>DATEDIF(O29,T29,"MD")</f>
        <v>18</v>
      </c>
      <c r="X29" s="19">
        <v>44929.0</v>
      </c>
      <c r="Y29" s="26" t="s">
        <v>82</v>
      </c>
      <c r="Z29" s="19" t="s">
        <v>1576</v>
      </c>
      <c r="AA29" s="19" t="s">
        <v>1577</v>
      </c>
      <c r="AB29" s="19" t="s">
        <v>1578</v>
      </c>
      <c r="AC29" s="22">
        <f>14867.5+1043.33+2643.33+1064.59+1520.64</f>
        <v>21139.39</v>
      </c>
      <c r="AD29" s="19"/>
      <c r="AE29" s="22">
        <f>SUM(AC29:AD29)</f>
        <v>21139.39</v>
      </c>
      <c r="AF29" s="62">
        <f>AE29*12/365</f>
        <v>694.9936438</v>
      </c>
      <c r="AG29" s="19" t="s">
        <v>178</v>
      </c>
      <c r="AH29" s="24" t="s">
        <v>1579</v>
      </c>
      <c r="AI29" s="19" t="s">
        <v>61</v>
      </c>
      <c r="AJ29" s="19" t="s">
        <v>62</v>
      </c>
      <c r="AK29" s="20">
        <v>34887.0</v>
      </c>
      <c r="AL29" s="62">
        <f>((TODAY()-AK29)/365)</f>
        <v>30.80821918</v>
      </c>
      <c r="AM29" s="26" t="s">
        <v>1580</v>
      </c>
      <c r="AN29" s="26" t="s">
        <v>1581</v>
      </c>
      <c r="AO29" s="19">
        <v>9.084219301E9</v>
      </c>
      <c r="AP29" s="67" t="s">
        <v>1582</v>
      </c>
      <c r="AQ29" s="16" t="s">
        <v>110</v>
      </c>
      <c r="AR29" s="16" t="s">
        <v>139</v>
      </c>
      <c r="AS29" s="64" t="s">
        <v>1583</v>
      </c>
      <c r="AT29" s="64" t="s">
        <v>1584</v>
      </c>
      <c r="AU29" s="64" t="s">
        <v>1585</v>
      </c>
      <c r="AV29" s="64" t="s">
        <v>1586</v>
      </c>
      <c r="AW29" s="16"/>
      <c r="AX29" s="86" t="s">
        <v>1587</v>
      </c>
      <c r="AY29" s="133" t="s">
        <v>318</v>
      </c>
      <c r="AZ29" s="19">
        <v>9.302934613E9</v>
      </c>
      <c r="BA29" s="16" t="s">
        <v>954</v>
      </c>
      <c r="BB29" s="86" t="s">
        <v>954</v>
      </c>
      <c r="BC29" s="148" t="s">
        <v>1588</v>
      </c>
      <c r="BD29" s="83"/>
    </row>
    <row r="30" ht="14.25" customHeight="1">
      <c r="A30" s="14">
        <f t="shared" si="9"/>
        <v>29</v>
      </c>
      <c r="B30" s="15" t="s">
        <v>359</v>
      </c>
      <c r="C30" s="15" t="s">
        <v>360</v>
      </c>
      <c r="D30" s="15" t="s">
        <v>361</v>
      </c>
      <c r="E30" s="17" t="s">
        <v>102</v>
      </c>
      <c r="F30" s="17"/>
      <c r="G30" s="15" t="s">
        <v>362</v>
      </c>
      <c r="H30" s="15" t="s">
        <v>363</v>
      </c>
      <c r="I30" s="15" t="s">
        <v>364</v>
      </c>
      <c r="J30" s="17" t="s">
        <v>82</v>
      </c>
      <c r="K30" s="17" t="s">
        <v>191</v>
      </c>
      <c r="L30" s="17" t="s">
        <v>57</v>
      </c>
      <c r="M30" s="17" t="s">
        <v>105</v>
      </c>
      <c r="N30" s="17"/>
      <c r="O30" s="77">
        <v>45317.0</v>
      </c>
      <c r="P30" s="77">
        <v>45301.0</v>
      </c>
      <c r="Q30" s="77">
        <v>45316.0</v>
      </c>
      <c r="R30" s="17">
        <v>45317.0</v>
      </c>
      <c r="S30" s="17">
        <v>45498.0</v>
      </c>
      <c r="T30" s="17">
        <v>45856.0</v>
      </c>
      <c r="U30" s="17">
        <v>1.0</v>
      </c>
      <c r="V30" s="17">
        <v>5.0</v>
      </c>
      <c r="W30" s="17">
        <v>22.0</v>
      </c>
      <c r="X30" s="17">
        <v>45499.0</v>
      </c>
      <c r="Y30" s="65" t="s">
        <v>82</v>
      </c>
      <c r="Z30" s="17"/>
      <c r="AA30" s="17"/>
      <c r="AB30" s="17"/>
      <c r="AC30" s="78">
        <f>16823.75+1304.18</f>
        <v>18127.93</v>
      </c>
      <c r="AD30" s="17"/>
      <c r="AE30" s="78">
        <v>16823.75</v>
      </c>
      <c r="AF30" s="79">
        <v>645.0</v>
      </c>
      <c r="AG30" s="17" t="s">
        <v>178</v>
      </c>
      <c r="AH30" s="80"/>
      <c r="AI30" s="17" t="s">
        <v>61</v>
      </c>
      <c r="AJ30" s="17" t="s">
        <v>62</v>
      </c>
      <c r="AK30" s="77">
        <v>37445.0</v>
      </c>
      <c r="AL30" s="79">
        <v>23.0438356164384</v>
      </c>
      <c r="AM30" s="65" t="s">
        <v>366</v>
      </c>
      <c r="AN30" s="65"/>
      <c r="AO30" s="17">
        <v>9.66694092E9</v>
      </c>
      <c r="AP30" s="81" t="s">
        <v>367</v>
      </c>
      <c r="AQ30" s="15" t="s">
        <v>235</v>
      </c>
      <c r="AR30" s="65" t="s">
        <v>368</v>
      </c>
      <c r="AS30" s="82" t="s">
        <v>369</v>
      </c>
      <c r="AT30" s="82" t="s">
        <v>370</v>
      </c>
      <c r="AU30" s="82" t="s">
        <v>371</v>
      </c>
      <c r="AV30" s="82" t="s">
        <v>372</v>
      </c>
      <c r="AW30" s="15"/>
      <c r="AX30" s="15" t="s">
        <v>373</v>
      </c>
      <c r="AY30" s="17" t="s">
        <v>374</v>
      </c>
      <c r="AZ30" s="17">
        <v>9.999195484E9</v>
      </c>
      <c r="BA30" s="16" t="s">
        <v>954</v>
      </c>
      <c r="BB30" s="164" t="s">
        <v>1589</v>
      </c>
      <c r="BC30" s="148">
        <v>45938.0</v>
      </c>
      <c r="BD30" s="83"/>
    </row>
    <row r="31" ht="14.25" customHeight="1">
      <c r="A31" s="14">
        <f t="shared" si="9"/>
        <v>30</v>
      </c>
      <c r="B31" s="15" t="s">
        <v>1590</v>
      </c>
      <c r="C31" s="15" t="s">
        <v>1591</v>
      </c>
      <c r="D31" s="15" t="s">
        <v>532</v>
      </c>
      <c r="E31" s="17" t="s">
        <v>379</v>
      </c>
      <c r="F31" s="17"/>
      <c r="G31" s="15" t="s">
        <v>1592</v>
      </c>
      <c r="H31" s="15" t="s">
        <v>1593</v>
      </c>
      <c r="I31" s="15" t="s">
        <v>1594</v>
      </c>
      <c r="J31" s="17" t="s">
        <v>563</v>
      </c>
      <c r="K31" s="17" t="s">
        <v>104</v>
      </c>
      <c r="L31" s="17" t="s">
        <v>57</v>
      </c>
      <c r="M31" s="17" t="s">
        <v>105</v>
      </c>
      <c r="N31" s="17">
        <v>1.070322256E9</v>
      </c>
      <c r="O31" s="77">
        <v>44744.0</v>
      </c>
      <c r="P31" s="77">
        <v>44728.0</v>
      </c>
      <c r="Q31" s="77">
        <v>44743.0</v>
      </c>
      <c r="R31" s="17">
        <v>44744.0</v>
      </c>
      <c r="S31" s="17">
        <v>44927.0</v>
      </c>
      <c r="T31" s="17">
        <v>45856.0</v>
      </c>
      <c r="U31" s="17">
        <v>3.0</v>
      </c>
      <c r="V31" s="17">
        <v>0.0</v>
      </c>
      <c r="W31" s="17">
        <v>16.0</v>
      </c>
      <c r="X31" s="17">
        <v>44929.0</v>
      </c>
      <c r="Y31" s="65" t="s">
        <v>82</v>
      </c>
      <c r="Z31" s="17" t="s">
        <v>1595</v>
      </c>
      <c r="AA31" s="17" t="s">
        <v>1577</v>
      </c>
      <c r="AB31" s="17"/>
      <c r="AC31" s="78">
        <f>19618.75+1520.64</f>
        <v>21139.39</v>
      </c>
      <c r="AD31" s="17"/>
      <c r="AE31" s="78">
        <v>19618.75</v>
      </c>
      <c r="AF31" s="79">
        <v>645.0</v>
      </c>
      <c r="AG31" s="17" t="s">
        <v>178</v>
      </c>
      <c r="AH31" s="80" t="s">
        <v>1596</v>
      </c>
      <c r="AI31" s="17" t="s">
        <v>61</v>
      </c>
      <c r="AJ31" s="17" t="s">
        <v>62</v>
      </c>
      <c r="AK31" s="77">
        <v>36398.0</v>
      </c>
      <c r="AL31" s="79">
        <v>25.9123287671233</v>
      </c>
      <c r="AM31" s="65" t="s">
        <v>1597</v>
      </c>
      <c r="AN31" s="65"/>
      <c r="AO31" s="17">
        <v>9.21304319E9</v>
      </c>
      <c r="AP31" s="81" t="s">
        <v>1598</v>
      </c>
      <c r="AQ31" s="15" t="s">
        <v>110</v>
      </c>
      <c r="AR31" s="65" t="s">
        <v>139</v>
      </c>
      <c r="AS31" s="82" t="s">
        <v>1599</v>
      </c>
      <c r="AT31" s="82" t="s">
        <v>1600</v>
      </c>
      <c r="AU31" s="82" t="s">
        <v>1601</v>
      </c>
      <c r="AV31" s="82" t="s">
        <v>1602</v>
      </c>
      <c r="AW31" s="15"/>
      <c r="AX31" s="15" t="s">
        <v>1603</v>
      </c>
      <c r="AY31" s="17" t="s">
        <v>1604</v>
      </c>
      <c r="AZ31" s="17">
        <v>9.663281585E9</v>
      </c>
      <c r="BA31" s="16" t="s">
        <v>954</v>
      </c>
      <c r="BB31" s="164" t="s">
        <v>1589</v>
      </c>
      <c r="BC31" s="148">
        <v>45938.0</v>
      </c>
      <c r="BD31" s="83"/>
    </row>
    <row r="32" ht="14.25" customHeight="1">
      <c r="A32" s="166">
        <f t="shared" si="9"/>
        <v>31</v>
      </c>
      <c r="B32" s="16" t="s">
        <v>1605</v>
      </c>
      <c r="C32" s="16" t="s">
        <v>1606</v>
      </c>
      <c r="D32" s="16" t="s">
        <v>1607</v>
      </c>
      <c r="E32" s="19" t="s">
        <v>54</v>
      </c>
      <c r="F32" s="19"/>
      <c r="G32" s="16" t="str">
        <f t="shared" ref="G32:G36" si="37">CONCATENATE(B32," ",F32,", ",C32," ",E32,".")</f>
        <v>Bag-o , Mark Elezar D.</v>
      </c>
      <c r="H32" s="16" t="str">
        <f t="shared" ref="H32:H36" si="38">CONCATENATE(C32," ",E32,". ",B32," ",F32)</f>
        <v>Mark Elezar D. Bag-o </v>
      </c>
      <c r="I32" s="16" t="str">
        <f t="shared" ref="I32:I36" si="39">CONCATENATE(B32," ",F32,", ",C32," ",D32)</f>
        <v>Bag-o , Mark Elezar Dorato</v>
      </c>
      <c r="J32" s="19" t="s">
        <v>82</v>
      </c>
      <c r="K32" s="19" t="s">
        <v>191</v>
      </c>
      <c r="L32" s="19" t="s">
        <v>16</v>
      </c>
      <c r="M32" s="19" t="s">
        <v>105</v>
      </c>
      <c r="N32" s="19">
        <v>1.080125325E9</v>
      </c>
      <c r="O32" s="19">
        <v>45665.0</v>
      </c>
      <c r="P32" s="20" t="s">
        <v>1608</v>
      </c>
      <c r="Q32" s="17" t="s">
        <v>1609</v>
      </c>
      <c r="R32" s="19">
        <v>45870.0</v>
      </c>
      <c r="S32" s="17" t="s">
        <v>1610</v>
      </c>
      <c r="T32" s="61">
        <f t="shared" ref="T32:T45" si="40">TODAY()</f>
        <v>46132</v>
      </c>
      <c r="U32" s="19">
        <f t="shared" ref="U32:U45" si="41">DATEDIF(O32,T32,"y")</f>
        <v>1</v>
      </c>
      <c r="V32" s="19">
        <f t="shared" ref="V32:V45" si="42">DATEDIF(O32,T32,"ym")</f>
        <v>3</v>
      </c>
      <c r="W32" s="19">
        <f t="shared" ref="W32:W45" si="43">DATEDIF(O32,T32,"MD")</f>
        <v>12</v>
      </c>
      <c r="X32" s="61">
        <f t="shared" ref="X32:X36" si="44">EDATE(R32,6)</f>
        <v>46054</v>
      </c>
      <c r="Y32" s="26" t="s">
        <v>82</v>
      </c>
      <c r="Z32" s="19"/>
      <c r="AA32" s="19"/>
      <c r="AB32" s="19"/>
      <c r="AC32" s="22">
        <f t="shared" ref="AC32:AC34" si="45">14867.5+1043.33+912.92+1304.18</f>
        <v>18127.93</v>
      </c>
      <c r="AD32" s="19"/>
      <c r="AE32" s="22">
        <f t="shared" ref="AE32:AE45" si="46">SUM(AC32:AD32)</f>
        <v>18127.93</v>
      </c>
      <c r="AF32" s="62">
        <f t="shared" ref="AF32:AF34" si="47">AE32*12/313</f>
        <v>695.0005112</v>
      </c>
      <c r="AG32" s="19" t="s">
        <v>178</v>
      </c>
      <c r="AH32" s="24"/>
      <c r="AI32" s="19" t="s">
        <v>61</v>
      </c>
      <c r="AJ32" s="19" t="s">
        <v>62</v>
      </c>
      <c r="AK32" s="19">
        <v>37130.0</v>
      </c>
      <c r="AL32" s="62">
        <f t="shared" ref="AL32:AL45" si="48">((TODAY()-AK32)/365)</f>
        <v>24.6630137</v>
      </c>
      <c r="AM32" s="26" t="s">
        <v>1611</v>
      </c>
      <c r="AN32" s="26" t="s">
        <v>1612</v>
      </c>
      <c r="AO32" s="19">
        <v>9.978876355E9</v>
      </c>
      <c r="AP32" s="67" t="s">
        <v>1613</v>
      </c>
      <c r="AQ32" s="16" t="s">
        <v>235</v>
      </c>
      <c r="AR32" s="26" t="s">
        <v>1614</v>
      </c>
      <c r="AS32" s="64" t="s">
        <v>1615</v>
      </c>
      <c r="AT32" s="64" t="s">
        <v>1616</v>
      </c>
      <c r="AU32" s="64" t="s">
        <v>1617</v>
      </c>
      <c r="AV32" s="64"/>
      <c r="AW32" s="16"/>
      <c r="AX32" s="16" t="s">
        <v>1618</v>
      </c>
      <c r="AY32" s="19" t="s">
        <v>1619</v>
      </c>
      <c r="AZ32" s="19">
        <v>9.053074059E9</v>
      </c>
      <c r="BA32" s="16" t="s">
        <v>954</v>
      </c>
      <c r="BB32" s="154" t="s">
        <v>1620</v>
      </c>
      <c r="BC32" s="148" t="s">
        <v>1621</v>
      </c>
    </row>
    <row r="33" ht="14.25" customHeight="1">
      <c r="A33" s="166">
        <f t="shared" si="9"/>
        <v>32</v>
      </c>
      <c r="B33" s="16" t="s">
        <v>1622</v>
      </c>
      <c r="C33" s="16" t="s">
        <v>1623</v>
      </c>
      <c r="D33" s="16" t="s">
        <v>1624</v>
      </c>
      <c r="E33" s="19" t="s">
        <v>418</v>
      </c>
      <c r="F33" s="19"/>
      <c r="G33" s="16" t="str">
        <f t="shared" si="37"/>
        <v>Asuncion , Jose P.</v>
      </c>
      <c r="H33" s="16" t="str">
        <f t="shared" si="38"/>
        <v>Jose P. Asuncion </v>
      </c>
      <c r="I33" s="16" t="str">
        <f t="shared" si="39"/>
        <v>Asuncion , Jose Pinlac</v>
      </c>
      <c r="J33" s="19" t="s">
        <v>82</v>
      </c>
      <c r="K33" s="19" t="s">
        <v>191</v>
      </c>
      <c r="L33" s="19" t="s">
        <v>914</v>
      </c>
      <c r="M33" s="19" t="s">
        <v>105</v>
      </c>
      <c r="N33" s="19">
        <v>1.031625312E9</v>
      </c>
      <c r="O33" s="20">
        <v>45732.0</v>
      </c>
      <c r="P33" s="20" t="s">
        <v>1625</v>
      </c>
      <c r="Q33" s="17" t="s">
        <v>1626</v>
      </c>
      <c r="R33" s="19">
        <v>45732.0</v>
      </c>
      <c r="S33" s="17" t="s">
        <v>1627</v>
      </c>
      <c r="T33" s="61">
        <f t="shared" si="40"/>
        <v>46132</v>
      </c>
      <c r="U33" s="19">
        <f t="shared" si="41"/>
        <v>1</v>
      </c>
      <c r="V33" s="19">
        <f t="shared" si="42"/>
        <v>1</v>
      </c>
      <c r="W33" s="19">
        <f t="shared" si="43"/>
        <v>4</v>
      </c>
      <c r="X33" s="61">
        <f t="shared" si="44"/>
        <v>45916</v>
      </c>
      <c r="Y33" s="26" t="s">
        <v>82</v>
      </c>
      <c r="Z33" s="19"/>
      <c r="AA33" s="19"/>
      <c r="AB33" s="19"/>
      <c r="AC33" s="22">
        <f t="shared" si="45"/>
        <v>18127.93</v>
      </c>
      <c r="AD33" s="19"/>
      <c r="AE33" s="22">
        <f t="shared" si="46"/>
        <v>18127.93</v>
      </c>
      <c r="AF33" s="62">
        <f t="shared" si="47"/>
        <v>695.0005112</v>
      </c>
      <c r="AG33" s="19" t="s">
        <v>178</v>
      </c>
      <c r="AH33" s="24"/>
      <c r="AI33" s="19" t="s">
        <v>61</v>
      </c>
      <c r="AJ33" s="19" t="s">
        <v>62</v>
      </c>
      <c r="AK33" s="19">
        <v>34008.0</v>
      </c>
      <c r="AL33" s="62">
        <f t="shared" si="48"/>
        <v>33.21643836</v>
      </c>
      <c r="AM33" s="26" t="s">
        <v>1628</v>
      </c>
      <c r="AN33" s="26"/>
      <c r="AO33" s="19">
        <v>9.667438773E9</v>
      </c>
      <c r="AP33" s="67" t="s">
        <v>1629</v>
      </c>
      <c r="AQ33" s="16" t="s">
        <v>1630</v>
      </c>
      <c r="AR33" s="26" t="s">
        <v>1631</v>
      </c>
      <c r="AS33" s="64" t="s">
        <v>1632</v>
      </c>
      <c r="AT33" s="64" t="s">
        <v>1633</v>
      </c>
      <c r="AU33" s="64" t="s">
        <v>1634</v>
      </c>
      <c r="AV33" s="64" t="s">
        <v>1635</v>
      </c>
      <c r="AW33" s="16"/>
      <c r="AX33" s="16"/>
      <c r="AY33" s="19"/>
      <c r="AZ33" s="19"/>
      <c r="BA33" s="16" t="s">
        <v>1241</v>
      </c>
      <c r="BB33" s="154" t="s">
        <v>1241</v>
      </c>
      <c r="BC33" s="86">
        <v>45847.0</v>
      </c>
    </row>
    <row r="34" ht="14.25" customHeight="1">
      <c r="A34" s="166">
        <f t="shared" si="9"/>
        <v>33</v>
      </c>
      <c r="B34" s="16" t="s">
        <v>1636</v>
      </c>
      <c r="C34" s="16" t="s">
        <v>1637</v>
      </c>
      <c r="D34" s="16" t="s">
        <v>1638</v>
      </c>
      <c r="E34" s="19" t="s">
        <v>1426</v>
      </c>
      <c r="F34" s="19"/>
      <c r="G34" s="16" t="str">
        <f t="shared" si="37"/>
        <v>Tibayan , Neil Amiel E.</v>
      </c>
      <c r="H34" s="16" t="str">
        <f t="shared" si="38"/>
        <v>Neil Amiel E. Tibayan </v>
      </c>
      <c r="I34" s="16" t="str">
        <f t="shared" si="39"/>
        <v>Tibayan , Neil Amiel Emocling</v>
      </c>
      <c r="J34" s="19" t="s">
        <v>82</v>
      </c>
      <c r="K34" s="19" t="s">
        <v>191</v>
      </c>
      <c r="L34" s="19" t="s">
        <v>57</v>
      </c>
      <c r="M34" s="19" t="s">
        <v>105</v>
      </c>
      <c r="N34" s="19">
        <v>1.052924222E9</v>
      </c>
      <c r="O34" s="20">
        <v>45441.0</v>
      </c>
      <c r="P34" s="20">
        <v>45425.0</v>
      </c>
      <c r="Q34" s="20">
        <v>45440.0</v>
      </c>
      <c r="R34" s="19">
        <v>45441.0</v>
      </c>
      <c r="S34" s="61">
        <f t="shared" ref="S34:S35" si="49">EDATE(R34-1,6)</f>
        <v>45624</v>
      </c>
      <c r="T34" s="61">
        <f t="shared" si="40"/>
        <v>46132</v>
      </c>
      <c r="U34" s="19">
        <f t="shared" si="41"/>
        <v>1</v>
      </c>
      <c r="V34" s="19">
        <f t="shared" si="42"/>
        <v>10</v>
      </c>
      <c r="W34" s="19">
        <f t="shared" si="43"/>
        <v>22</v>
      </c>
      <c r="X34" s="61">
        <f t="shared" si="44"/>
        <v>45625</v>
      </c>
      <c r="Y34" s="26" t="s">
        <v>82</v>
      </c>
      <c r="Z34" s="19"/>
      <c r="AA34" s="19"/>
      <c r="AB34" s="19"/>
      <c r="AC34" s="22">
        <f t="shared" si="45"/>
        <v>18127.93</v>
      </c>
      <c r="AD34" s="19"/>
      <c r="AE34" s="22">
        <f t="shared" si="46"/>
        <v>18127.93</v>
      </c>
      <c r="AF34" s="62">
        <f t="shared" si="47"/>
        <v>695.0005112</v>
      </c>
      <c r="AG34" s="19" t="s">
        <v>178</v>
      </c>
      <c r="AH34" s="24"/>
      <c r="AI34" s="19" t="s">
        <v>61</v>
      </c>
      <c r="AJ34" s="19" t="s">
        <v>62</v>
      </c>
      <c r="AK34" s="20">
        <v>33839.0</v>
      </c>
      <c r="AL34" s="62">
        <f t="shared" si="48"/>
        <v>33.67945205</v>
      </c>
      <c r="AM34" s="26" t="s">
        <v>1639</v>
      </c>
      <c r="AN34" s="26" t="s">
        <v>1640</v>
      </c>
      <c r="AO34" s="19">
        <v>9.498933173E9</v>
      </c>
      <c r="AP34" s="67" t="s">
        <v>1641</v>
      </c>
      <c r="AQ34" s="16" t="s">
        <v>247</v>
      </c>
      <c r="AR34" s="26" t="s">
        <v>248</v>
      </c>
      <c r="AS34" s="64" t="s">
        <v>1642</v>
      </c>
      <c r="AT34" s="64" t="s">
        <v>1643</v>
      </c>
      <c r="AU34" s="64" t="s">
        <v>1644</v>
      </c>
      <c r="AV34" s="64" t="s">
        <v>1645</v>
      </c>
      <c r="AW34" s="16"/>
      <c r="AX34" s="16" t="s">
        <v>1646</v>
      </c>
      <c r="AY34" s="19" t="s">
        <v>213</v>
      </c>
      <c r="AZ34" s="19">
        <v>9.150784486E9</v>
      </c>
      <c r="BA34" s="16" t="s">
        <v>870</v>
      </c>
      <c r="BB34" s="86" t="s">
        <v>954</v>
      </c>
      <c r="BC34" s="148" t="s">
        <v>1647</v>
      </c>
    </row>
    <row r="35" ht="14.25" customHeight="1">
      <c r="A35" s="19">
        <f t="shared" si="9"/>
        <v>34</v>
      </c>
      <c r="B35" s="16" t="s">
        <v>1648</v>
      </c>
      <c r="C35" s="16" t="s">
        <v>1649</v>
      </c>
      <c r="D35" s="16" t="s">
        <v>1650</v>
      </c>
      <c r="E35" s="17" t="s">
        <v>394</v>
      </c>
      <c r="F35" s="17"/>
      <c r="G35" s="16" t="str">
        <f t="shared" si="37"/>
        <v>Rivarez , Ciara Pearl S.</v>
      </c>
      <c r="H35" s="16" t="str">
        <f t="shared" si="38"/>
        <v>Ciara Pearl S. Rivarez </v>
      </c>
      <c r="I35" s="16" t="str">
        <f t="shared" si="39"/>
        <v>Rivarez , Ciara Pearl Sajonia</v>
      </c>
      <c r="J35" s="19" t="s">
        <v>82</v>
      </c>
      <c r="K35" s="19" t="s">
        <v>335</v>
      </c>
      <c r="L35" s="19" t="s">
        <v>57</v>
      </c>
      <c r="M35" s="19" t="s">
        <v>1651</v>
      </c>
      <c r="N35" s="19">
        <v>1.080324298E9</v>
      </c>
      <c r="O35" s="20">
        <v>45507.0</v>
      </c>
      <c r="P35" s="110">
        <v>45491.0</v>
      </c>
      <c r="Q35" s="110">
        <v>45506.0</v>
      </c>
      <c r="R35" s="20">
        <v>45507.0</v>
      </c>
      <c r="S35" s="77">
        <f t="shared" si="49"/>
        <v>45690</v>
      </c>
      <c r="T35" s="20">
        <f t="shared" si="40"/>
        <v>46132</v>
      </c>
      <c r="U35" s="21">
        <f t="shared" si="41"/>
        <v>1</v>
      </c>
      <c r="V35" s="19">
        <f t="shared" si="42"/>
        <v>8</v>
      </c>
      <c r="W35" s="19">
        <f t="shared" si="43"/>
        <v>17</v>
      </c>
      <c r="X35" s="74">
        <f t="shared" si="44"/>
        <v>45691</v>
      </c>
      <c r="Y35" s="16" t="s">
        <v>82</v>
      </c>
      <c r="Z35" s="16"/>
      <c r="AA35" s="19" t="s">
        <v>133</v>
      </c>
      <c r="AB35" s="16"/>
      <c r="AC35" s="19">
        <f>16823.75+1304.18+3011.66</f>
        <v>21139.59</v>
      </c>
      <c r="AD35" s="22"/>
      <c r="AE35" s="22">
        <f t="shared" si="46"/>
        <v>21139.59</v>
      </c>
      <c r="AF35" s="62">
        <f>AE35*12/365</f>
        <v>695.0002192</v>
      </c>
      <c r="AG35" s="19" t="s">
        <v>59</v>
      </c>
      <c r="AH35" s="19"/>
      <c r="AI35" s="24" t="s">
        <v>135</v>
      </c>
      <c r="AJ35" s="19" t="s">
        <v>62</v>
      </c>
      <c r="AK35" s="20">
        <v>36353.0</v>
      </c>
      <c r="AL35" s="25">
        <f t="shared" si="48"/>
        <v>26.79178082</v>
      </c>
      <c r="AM35" s="142" t="s">
        <v>1652</v>
      </c>
      <c r="AN35" s="142" t="s">
        <v>1653</v>
      </c>
      <c r="AO35" s="108">
        <v>9.956738054E9</v>
      </c>
      <c r="AP35" s="75" t="s">
        <v>1654</v>
      </c>
      <c r="AQ35" s="16" t="s">
        <v>110</v>
      </c>
      <c r="AR35" s="26" t="s">
        <v>1655</v>
      </c>
      <c r="AS35" s="19" t="s">
        <v>1656</v>
      </c>
      <c r="AT35" s="19" t="s">
        <v>1657</v>
      </c>
      <c r="AU35" s="21" t="s">
        <v>1658</v>
      </c>
      <c r="AV35" s="19" t="s">
        <v>1659</v>
      </c>
      <c r="AW35" s="16"/>
      <c r="AX35" s="16" t="s">
        <v>1660</v>
      </c>
      <c r="AY35" s="19" t="s">
        <v>1661</v>
      </c>
      <c r="AZ35" s="19">
        <v>9.157583023E9</v>
      </c>
      <c r="BA35" s="16" t="s">
        <v>954</v>
      </c>
      <c r="BB35" s="16" t="s">
        <v>954</v>
      </c>
      <c r="BC35" s="148" t="s">
        <v>1213</v>
      </c>
    </row>
    <row r="36" ht="14.25" customHeight="1">
      <c r="A36" s="19">
        <f t="shared" si="9"/>
        <v>35</v>
      </c>
      <c r="B36" s="15" t="s">
        <v>1662</v>
      </c>
      <c r="C36" s="16" t="s">
        <v>1663</v>
      </c>
      <c r="D36" s="16" t="s">
        <v>807</v>
      </c>
      <c r="E36" s="19" t="s">
        <v>379</v>
      </c>
      <c r="F36" s="19"/>
      <c r="G36" s="16" t="str">
        <f t="shared" si="37"/>
        <v>Ageas , Jim G.</v>
      </c>
      <c r="H36" s="16" t="str">
        <f t="shared" si="38"/>
        <v>Jim G. Ageas </v>
      </c>
      <c r="I36" s="16" t="str">
        <f t="shared" si="39"/>
        <v>Ageas , Jim Gonzales</v>
      </c>
      <c r="J36" s="19" t="s">
        <v>82</v>
      </c>
      <c r="K36" s="19" t="s">
        <v>191</v>
      </c>
      <c r="L36" s="19" t="s">
        <v>16</v>
      </c>
      <c r="M36" s="19" t="s">
        <v>105</v>
      </c>
      <c r="N36" s="19">
        <v>1.050725315E9</v>
      </c>
      <c r="O36" s="20">
        <v>45784.0</v>
      </c>
      <c r="P36" s="20" t="s">
        <v>1664</v>
      </c>
      <c r="Q36" s="17">
        <v>45813.0</v>
      </c>
      <c r="R36" s="19">
        <v>45843.0</v>
      </c>
      <c r="S36" s="17">
        <v>45819.0</v>
      </c>
      <c r="T36" s="61">
        <f t="shared" si="40"/>
        <v>46132</v>
      </c>
      <c r="U36" s="19">
        <f t="shared" si="41"/>
        <v>0</v>
      </c>
      <c r="V36" s="19">
        <f t="shared" si="42"/>
        <v>11</v>
      </c>
      <c r="W36" s="19">
        <f t="shared" si="43"/>
        <v>13</v>
      </c>
      <c r="X36" s="61">
        <f t="shared" si="44"/>
        <v>46027</v>
      </c>
      <c r="Y36" s="26" t="s">
        <v>82</v>
      </c>
      <c r="Z36" s="19"/>
      <c r="AA36" s="19"/>
      <c r="AB36" s="19"/>
      <c r="AC36" s="22">
        <f>14867.5+1043.33+912.92+1304.18</f>
        <v>18127.93</v>
      </c>
      <c r="AD36" s="19"/>
      <c r="AE36" s="22">
        <f t="shared" si="46"/>
        <v>18127.93</v>
      </c>
      <c r="AF36" s="62">
        <f>AE36*12/313</f>
        <v>695.0005112</v>
      </c>
      <c r="AG36" s="19" t="s">
        <v>178</v>
      </c>
      <c r="AH36" s="24"/>
      <c r="AI36" s="19" t="s">
        <v>61</v>
      </c>
      <c r="AJ36" s="19" t="s">
        <v>62</v>
      </c>
      <c r="AK36" s="19">
        <v>37022.0</v>
      </c>
      <c r="AL36" s="62">
        <f t="shared" si="48"/>
        <v>24.95890411</v>
      </c>
      <c r="AM36" s="26" t="s">
        <v>1665</v>
      </c>
      <c r="AN36" s="26" t="s">
        <v>1666</v>
      </c>
      <c r="AO36" s="19">
        <v>9.271880309E9</v>
      </c>
      <c r="AP36" s="67" t="s">
        <v>1667</v>
      </c>
      <c r="AQ36" s="16" t="s">
        <v>110</v>
      </c>
      <c r="AR36" s="26" t="s">
        <v>298</v>
      </c>
      <c r="AS36" s="64" t="s">
        <v>1668</v>
      </c>
      <c r="AT36" s="64" t="s">
        <v>1669</v>
      </c>
      <c r="AU36" s="64" t="s">
        <v>1670</v>
      </c>
      <c r="AV36" s="64" t="s">
        <v>1671</v>
      </c>
      <c r="AW36" s="16"/>
      <c r="AX36" s="16"/>
      <c r="AY36" s="19"/>
      <c r="AZ36" s="19"/>
      <c r="BA36" s="16" t="s">
        <v>954</v>
      </c>
      <c r="BB36" s="154" t="s">
        <v>1672</v>
      </c>
      <c r="BC36" s="167" t="s">
        <v>1242</v>
      </c>
    </row>
    <row r="37" ht="14.25" customHeight="1">
      <c r="A37" s="19">
        <f t="shared" si="9"/>
        <v>36</v>
      </c>
      <c r="B37" s="15" t="s">
        <v>1673</v>
      </c>
      <c r="C37" s="16" t="s">
        <v>1674</v>
      </c>
      <c r="D37" s="16" t="s">
        <v>1675</v>
      </c>
      <c r="E37" s="19" t="s">
        <v>394</v>
      </c>
      <c r="F37" s="19"/>
      <c r="G37" s="165" t="str">
        <f>CONCATENATE(B37,", ",C37," ",E37,".")</f>
        <v>Ymas, Melquiades S.</v>
      </c>
      <c r="H37" s="165" t="str">
        <f>CONCATENATE(C37," ",E37,". ",B37)</f>
        <v>Melquiades S. Ymas</v>
      </c>
      <c r="I37" s="165" t="str">
        <f>CONCATENATE(B37,", ",C37," ",D37)</f>
        <v>Ymas, Melquiades Sarcol</v>
      </c>
      <c r="J37" s="19" t="s">
        <v>1676</v>
      </c>
      <c r="K37" s="19" t="s">
        <v>177</v>
      </c>
      <c r="L37" s="19" t="s">
        <v>57</v>
      </c>
      <c r="M37" s="19" t="s">
        <v>105</v>
      </c>
      <c r="N37" s="19">
        <v>1.050422042E9</v>
      </c>
      <c r="O37" s="20">
        <v>44685.0</v>
      </c>
      <c r="P37" s="19"/>
      <c r="Q37" s="19"/>
      <c r="R37" s="19"/>
      <c r="S37" s="19"/>
      <c r="T37" s="61">
        <f t="shared" si="40"/>
        <v>46132</v>
      </c>
      <c r="U37" s="19">
        <f t="shared" si="41"/>
        <v>3</v>
      </c>
      <c r="V37" s="19">
        <f t="shared" si="42"/>
        <v>11</v>
      </c>
      <c r="W37" s="19">
        <f t="shared" si="43"/>
        <v>16</v>
      </c>
      <c r="X37" s="19">
        <v>44685.0</v>
      </c>
      <c r="Y37" s="19" t="s">
        <v>1676</v>
      </c>
      <c r="Z37" s="19"/>
      <c r="AA37" s="19"/>
      <c r="AB37" s="19"/>
      <c r="AC37" s="22">
        <f>14867.5+1043.33+912.92+2795+1520.84</f>
        <v>21139.59</v>
      </c>
      <c r="AD37" s="19"/>
      <c r="AE37" s="22">
        <f t="shared" si="46"/>
        <v>21139.59</v>
      </c>
      <c r="AF37" s="62">
        <f>AE37*12/365</f>
        <v>695.0002192</v>
      </c>
      <c r="AG37" s="19" t="s">
        <v>59</v>
      </c>
      <c r="AH37" s="24" t="s">
        <v>1677</v>
      </c>
      <c r="AI37" s="19" t="s">
        <v>61</v>
      </c>
      <c r="AJ37" s="19" t="s">
        <v>62</v>
      </c>
      <c r="AK37" s="20">
        <v>24477.0</v>
      </c>
      <c r="AL37" s="62">
        <f t="shared" si="48"/>
        <v>59.32876712</v>
      </c>
      <c r="AM37" s="26" t="s">
        <v>1678</v>
      </c>
      <c r="AN37" s="26"/>
      <c r="AO37" s="64">
        <v>9.475871824E9</v>
      </c>
      <c r="AP37" s="168" t="s">
        <v>1679</v>
      </c>
      <c r="AQ37" s="16" t="s">
        <v>1680</v>
      </c>
      <c r="AR37" s="16" t="s">
        <v>223</v>
      </c>
      <c r="AS37" s="64" t="s">
        <v>1681</v>
      </c>
      <c r="AT37" s="69" t="s">
        <v>1682</v>
      </c>
      <c r="AU37" s="70" t="s">
        <v>1683</v>
      </c>
      <c r="AV37" s="64" t="s">
        <v>1684</v>
      </c>
      <c r="AW37" s="19"/>
      <c r="AX37" s="26" t="s">
        <v>1685</v>
      </c>
      <c r="AY37" s="19" t="s">
        <v>117</v>
      </c>
      <c r="AZ37" s="68" t="s">
        <v>1686</v>
      </c>
      <c r="BA37" s="16" t="s">
        <v>1687</v>
      </c>
      <c r="BB37" s="16" t="s">
        <v>1687</v>
      </c>
      <c r="BC37" s="148" t="s">
        <v>1688</v>
      </c>
    </row>
    <row r="38" ht="14.25" customHeight="1">
      <c r="A38" s="19">
        <f t="shared" si="9"/>
        <v>37</v>
      </c>
      <c r="B38" s="15" t="s">
        <v>1689</v>
      </c>
      <c r="C38" s="16" t="s">
        <v>1690</v>
      </c>
      <c r="D38" s="16" t="s">
        <v>1691</v>
      </c>
      <c r="E38" s="19" t="s">
        <v>379</v>
      </c>
      <c r="F38" s="19"/>
      <c r="G38" s="16" t="str">
        <f t="shared" ref="G38:G39" si="50">CONCATENATE(B38," ",F38,", ",C38," ",E38,".")</f>
        <v>Santiago , John Victor G.</v>
      </c>
      <c r="H38" s="16" t="str">
        <f t="shared" ref="H38:H39" si="51">CONCATENATE(C38," ",E38,". ",B38," ",F38)</f>
        <v>John Victor G. Santiago </v>
      </c>
      <c r="I38" s="16" t="str">
        <f t="shared" ref="I38:I39" si="52">CONCATENATE(B38," ",F38,", ",C38," ",D38)</f>
        <v>Santiago , John Victor Gutierrez</v>
      </c>
      <c r="J38" s="19" t="s">
        <v>82</v>
      </c>
      <c r="K38" s="19" t="s">
        <v>191</v>
      </c>
      <c r="L38" s="19" t="s">
        <v>16</v>
      </c>
      <c r="M38" s="19" t="s">
        <v>105</v>
      </c>
      <c r="N38" s="19">
        <v>1.101225328E9</v>
      </c>
      <c r="O38" s="19">
        <v>45942.0</v>
      </c>
      <c r="P38" s="19" t="s">
        <v>1692</v>
      </c>
      <c r="Q38" s="17">
        <v>45971.0</v>
      </c>
      <c r="R38" s="17">
        <v>46001.0</v>
      </c>
      <c r="S38" s="17">
        <v>46330.0</v>
      </c>
      <c r="T38" s="61">
        <f t="shared" si="40"/>
        <v>46132</v>
      </c>
      <c r="U38" s="19">
        <f t="shared" si="41"/>
        <v>0</v>
      </c>
      <c r="V38" s="19">
        <f t="shared" si="42"/>
        <v>6</v>
      </c>
      <c r="W38" s="19">
        <f t="shared" si="43"/>
        <v>8</v>
      </c>
      <c r="X38" s="61">
        <f t="shared" ref="X38:X39" si="53">EDATE(R38,6)</f>
        <v>46183</v>
      </c>
      <c r="Y38" s="26" t="s">
        <v>82</v>
      </c>
      <c r="Z38" s="19"/>
      <c r="AA38" s="19"/>
      <c r="AB38" s="19"/>
      <c r="AC38" s="22">
        <f t="shared" ref="AC38:AC39" si="54">14867.5+1043.33+912.92+1304.18</f>
        <v>18127.93</v>
      </c>
      <c r="AD38" s="19"/>
      <c r="AE38" s="22">
        <f t="shared" si="46"/>
        <v>18127.93</v>
      </c>
      <c r="AF38" s="62">
        <f t="shared" ref="AF38:AF39" si="55">AE38*12/313</f>
        <v>695.0005112</v>
      </c>
      <c r="AG38" s="19" t="s">
        <v>178</v>
      </c>
      <c r="AH38" s="24"/>
      <c r="AI38" s="19" t="s">
        <v>61</v>
      </c>
      <c r="AJ38" s="19" t="s">
        <v>62</v>
      </c>
      <c r="AK38" s="19">
        <v>36201.0</v>
      </c>
      <c r="AL38" s="62">
        <f t="shared" si="48"/>
        <v>27.20821918</v>
      </c>
      <c r="AM38" s="26" t="s">
        <v>1693</v>
      </c>
      <c r="AN38" s="26" t="s">
        <v>1694</v>
      </c>
      <c r="AO38" s="19">
        <v>9.708382495E9</v>
      </c>
      <c r="AP38" s="67" t="s">
        <v>1695</v>
      </c>
      <c r="AQ38" s="16" t="s">
        <v>110</v>
      </c>
      <c r="AR38" s="26" t="s">
        <v>298</v>
      </c>
      <c r="AS38" s="64" t="s">
        <v>1696</v>
      </c>
      <c r="AT38" s="64" t="s">
        <v>1697</v>
      </c>
      <c r="AU38" s="64" t="s">
        <v>1698</v>
      </c>
      <c r="AV38" s="64" t="s">
        <v>1699</v>
      </c>
      <c r="AW38" s="16"/>
      <c r="AX38" s="16" t="s">
        <v>1700</v>
      </c>
      <c r="AY38" s="19" t="s">
        <v>213</v>
      </c>
      <c r="AZ38" s="19">
        <v>9.452050323E9</v>
      </c>
      <c r="BA38" s="16" t="s">
        <v>954</v>
      </c>
      <c r="BB38" s="16" t="s">
        <v>954</v>
      </c>
      <c r="BC38" s="148" t="s">
        <v>1701</v>
      </c>
    </row>
    <row r="39" ht="14.25" customHeight="1">
      <c r="A39" s="17">
        <f t="shared" si="9"/>
        <v>38</v>
      </c>
      <c r="B39" s="15" t="s">
        <v>1702</v>
      </c>
      <c r="C39" s="15" t="s">
        <v>1703</v>
      </c>
      <c r="D39" s="15" t="s">
        <v>1622</v>
      </c>
      <c r="E39" s="17" t="s">
        <v>102</v>
      </c>
      <c r="F39" s="17"/>
      <c r="G39" s="15" t="str">
        <f t="shared" si="50"/>
        <v>Escorido , Marnel A.</v>
      </c>
      <c r="H39" s="15" t="str">
        <f t="shared" si="51"/>
        <v>Marnel A. Escorido </v>
      </c>
      <c r="I39" s="15" t="str">
        <f t="shared" si="52"/>
        <v>Escorido , Marnel Asuncion</v>
      </c>
      <c r="J39" s="17" t="s">
        <v>82</v>
      </c>
      <c r="K39" s="17" t="s">
        <v>191</v>
      </c>
      <c r="L39" s="17" t="s">
        <v>16</v>
      </c>
      <c r="M39" s="17" t="s">
        <v>105</v>
      </c>
      <c r="N39" s="17">
        <v>1.070425322E9</v>
      </c>
      <c r="O39" s="17">
        <v>45754.0</v>
      </c>
      <c r="P39" s="77" t="s">
        <v>1704</v>
      </c>
      <c r="Q39" s="17">
        <v>45723.0</v>
      </c>
      <c r="R39" s="17">
        <v>45754.0</v>
      </c>
      <c r="S39" s="17">
        <v>46082.0</v>
      </c>
      <c r="T39" s="72">
        <f t="shared" si="40"/>
        <v>46132</v>
      </c>
      <c r="U39" s="17">
        <f t="shared" si="41"/>
        <v>1</v>
      </c>
      <c r="V39" s="17">
        <f t="shared" si="42"/>
        <v>0</v>
      </c>
      <c r="W39" s="17">
        <f t="shared" si="43"/>
        <v>13</v>
      </c>
      <c r="X39" s="72">
        <f t="shared" si="53"/>
        <v>45937</v>
      </c>
      <c r="Y39" s="65" t="s">
        <v>82</v>
      </c>
      <c r="Z39" s="17"/>
      <c r="AA39" s="17"/>
      <c r="AB39" s="17"/>
      <c r="AC39" s="78">
        <f t="shared" si="54"/>
        <v>18127.93</v>
      </c>
      <c r="AD39" s="17"/>
      <c r="AE39" s="78">
        <f t="shared" si="46"/>
        <v>18127.93</v>
      </c>
      <c r="AF39" s="79">
        <f t="shared" si="55"/>
        <v>695.0005112</v>
      </c>
      <c r="AG39" s="17" t="s">
        <v>178</v>
      </c>
      <c r="AH39" s="80"/>
      <c r="AI39" s="17" t="s">
        <v>61</v>
      </c>
      <c r="AJ39" s="17" t="s">
        <v>62</v>
      </c>
      <c r="AK39" s="17">
        <v>37385.0</v>
      </c>
      <c r="AL39" s="79">
        <f t="shared" si="48"/>
        <v>23.96438356</v>
      </c>
      <c r="AM39" s="65" t="s">
        <v>1705</v>
      </c>
      <c r="AN39" s="65"/>
      <c r="AO39" s="17">
        <v>9.637703619E9</v>
      </c>
      <c r="AP39" s="81" t="s">
        <v>1706</v>
      </c>
      <c r="AQ39" s="15" t="s">
        <v>235</v>
      </c>
      <c r="AR39" s="65"/>
      <c r="AS39" s="82" t="s">
        <v>1707</v>
      </c>
      <c r="AT39" s="82" t="s">
        <v>1708</v>
      </c>
      <c r="AU39" s="82" t="s">
        <v>1709</v>
      </c>
      <c r="AV39" s="82" t="s">
        <v>1710</v>
      </c>
      <c r="AW39" s="15"/>
      <c r="AX39" s="15" t="s">
        <v>1711</v>
      </c>
      <c r="AY39" s="17" t="s">
        <v>266</v>
      </c>
      <c r="AZ39" s="17">
        <v>9.505943669E9</v>
      </c>
      <c r="BA39" s="16" t="s">
        <v>1241</v>
      </c>
      <c r="BB39" s="16" t="s">
        <v>1241</v>
      </c>
      <c r="BC39" s="148">
        <v>46082.0</v>
      </c>
      <c r="BD39" s="83"/>
    </row>
    <row r="40" ht="14.25" customHeight="1">
      <c r="A40" s="19">
        <f t="shared" si="9"/>
        <v>39</v>
      </c>
      <c r="B40" s="15" t="s">
        <v>74</v>
      </c>
      <c r="C40" s="16" t="s">
        <v>1712</v>
      </c>
      <c r="D40" s="16" t="s">
        <v>847</v>
      </c>
      <c r="E40" s="19" t="s">
        <v>295</v>
      </c>
      <c r="F40" s="19"/>
      <c r="G40" s="16" t="str">
        <f>CONCATENATE(B40,", ",C40," ",E40,".")</f>
        <v>Santos, Mark Christian V.</v>
      </c>
      <c r="H40" s="16" t="str">
        <f>CONCATENATE(C40," ",E40,". ",B40)</f>
        <v>Mark Christian V. Santos</v>
      </c>
      <c r="I40" s="16" t="str">
        <f>CONCATENATE(B40,", ",C40," ",D40)</f>
        <v>Santos, Mark Christian Valdez</v>
      </c>
      <c r="J40" s="19" t="s">
        <v>190</v>
      </c>
      <c r="K40" s="19" t="s">
        <v>104</v>
      </c>
      <c r="L40" s="19" t="s">
        <v>57</v>
      </c>
      <c r="M40" s="19" t="s">
        <v>105</v>
      </c>
      <c r="N40" s="19">
        <v>1.050422076E9</v>
      </c>
      <c r="O40" s="20">
        <v>44685.0</v>
      </c>
      <c r="P40" s="19"/>
      <c r="Q40" s="19"/>
      <c r="R40" s="19"/>
      <c r="S40" s="19"/>
      <c r="T40" s="61">
        <f t="shared" si="40"/>
        <v>46132</v>
      </c>
      <c r="U40" s="19">
        <f t="shared" si="41"/>
        <v>3</v>
      </c>
      <c r="V40" s="19">
        <f t="shared" si="42"/>
        <v>11</v>
      </c>
      <c r="W40" s="19">
        <f t="shared" si="43"/>
        <v>16</v>
      </c>
      <c r="X40" s="19">
        <v>44685.0</v>
      </c>
      <c r="Y40" s="19" t="s">
        <v>561</v>
      </c>
      <c r="Z40" s="19"/>
      <c r="AA40" s="19" t="s">
        <v>190</v>
      </c>
      <c r="AB40" s="19"/>
      <c r="AC40" s="22">
        <f>17337.5+1216.66+1064.59+381.25+1520.84</f>
        <v>21520.84</v>
      </c>
      <c r="AD40" s="19"/>
      <c r="AE40" s="22">
        <f t="shared" si="46"/>
        <v>21520.84</v>
      </c>
      <c r="AF40" s="62">
        <f>AE40*12/365</f>
        <v>707.5344658</v>
      </c>
      <c r="AG40" s="19" t="s">
        <v>59</v>
      </c>
      <c r="AH40" s="24" t="s">
        <v>1713</v>
      </c>
      <c r="AI40" s="19" t="s">
        <v>61</v>
      </c>
      <c r="AJ40" s="19" t="s">
        <v>62</v>
      </c>
      <c r="AK40" s="20">
        <v>34843.0</v>
      </c>
      <c r="AL40" s="62">
        <f t="shared" si="48"/>
        <v>30.92876712</v>
      </c>
      <c r="AM40" s="26" t="s">
        <v>1714</v>
      </c>
      <c r="AN40" s="26"/>
      <c r="AO40" s="19" t="s">
        <v>1715</v>
      </c>
      <c r="AP40" s="63" t="s">
        <v>1716</v>
      </c>
      <c r="AQ40" s="16" t="s">
        <v>110</v>
      </c>
      <c r="AR40" s="16" t="s">
        <v>139</v>
      </c>
      <c r="AS40" s="64" t="s">
        <v>1717</v>
      </c>
      <c r="AT40" s="64" t="s">
        <v>1718</v>
      </c>
      <c r="AU40" s="64" t="s">
        <v>1719</v>
      </c>
      <c r="AV40" s="64" t="s">
        <v>1720</v>
      </c>
      <c r="AW40" s="19"/>
      <c r="AX40" s="26" t="s">
        <v>1721</v>
      </c>
      <c r="AY40" s="19" t="s">
        <v>213</v>
      </c>
      <c r="AZ40" s="19">
        <v>9.380590287E9</v>
      </c>
      <c r="BA40" s="16" t="s">
        <v>954</v>
      </c>
      <c r="BB40" s="16" t="s">
        <v>954</v>
      </c>
      <c r="BC40" s="148" t="s">
        <v>1722</v>
      </c>
    </row>
    <row r="41" ht="14.25" customHeight="1">
      <c r="A41" s="19">
        <f t="shared" si="9"/>
        <v>40</v>
      </c>
      <c r="B41" s="15" t="s">
        <v>1723</v>
      </c>
      <c r="C41" s="16" t="s">
        <v>1724</v>
      </c>
      <c r="D41" s="16" t="s">
        <v>1725</v>
      </c>
      <c r="E41" s="19" t="s">
        <v>295</v>
      </c>
      <c r="F41" s="19"/>
      <c r="G41" s="16" t="str">
        <f t="shared" ref="G41:G42" si="56">CONCATENATE(B41," ",F41,", ",C41," ",E41,".")</f>
        <v>Sunguad , Ronel V.</v>
      </c>
      <c r="H41" s="16" t="str">
        <f t="shared" ref="H41:H42" si="57">CONCATENATE(C41," ",E41,". ",B41," ",F41)</f>
        <v>Ronel V. Sunguad </v>
      </c>
      <c r="I41" s="16" t="str">
        <f t="shared" ref="I41:I42" si="58">CONCATENATE(B41," ",F41,", ",C41," ",D41)</f>
        <v>Sunguad , Ronel Vito</v>
      </c>
      <c r="J41" s="19" t="s">
        <v>82</v>
      </c>
      <c r="K41" s="19" t="s">
        <v>191</v>
      </c>
      <c r="L41" s="19" t="s">
        <v>914</v>
      </c>
      <c r="M41" s="19" t="s">
        <v>105</v>
      </c>
      <c r="N41" s="19">
        <v>1.073125325E9</v>
      </c>
      <c r="O41" s="17">
        <v>45869.0</v>
      </c>
      <c r="P41" s="20" t="s">
        <v>1726</v>
      </c>
      <c r="Q41" s="17" t="s">
        <v>1727</v>
      </c>
      <c r="R41" s="17">
        <v>45869.0</v>
      </c>
      <c r="S41" s="17" t="s">
        <v>1728</v>
      </c>
      <c r="T41" s="61">
        <f t="shared" si="40"/>
        <v>46132</v>
      </c>
      <c r="U41" s="19">
        <f t="shared" si="41"/>
        <v>0</v>
      </c>
      <c r="V41" s="19">
        <f t="shared" si="42"/>
        <v>8</v>
      </c>
      <c r="W41" s="19">
        <f t="shared" si="43"/>
        <v>20</v>
      </c>
      <c r="X41" s="61">
        <f t="shared" ref="X41:X42" si="59">EDATE(R41,6)</f>
        <v>46053</v>
      </c>
      <c r="Y41" s="26" t="s">
        <v>82</v>
      </c>
      <c r="Z41" s="19"/>
      <c r="AA41" s="19"/>
      <c r="AB41" s="19"/>
      <c r="AC41" s="22">
        <f t="shared" ref="AC41:AC42" si="60">14867.5+1043.33+912.92+1304.18</f>
        <v>18127.93</v>
      </c>
      <c r="AD41" s="19"/>
      <c r="AE41" s="22">
        <f t="shared" si="46"/>
        <v>18127.93</v>
      </c>
      <c r="AF41" s="62">
        <f t="shared" ref="AF41:AF42" si="61">AE41*12/313</f>
        <v>695.0005112</v>
      </c>
      <c r="AG41" s="19" t="s">
        <v>178</v>
      </c>
      <c r="AH41" s="24"/>
      <c r="AI41" s="19" t="s">
        <v>61</v>
      </c>
      <c r="AJ41" s="19" t="s">
        <v>62</v>
      </c>
      <c r="AK41" s="19">
        <v>36608.0</v>
      </c>
      <c r="AL41" s="62">
        <f t="shared" si="48"/>
        <v>26.09315068</v>
      </c>
      <c r="AM41" s="26" t="s">
        <v>1729</v>
      </c>
      <c r="AN41" s="26" t="s">
        <v>1730</v>
      </c>
      <c r="AO41" s="19">
        <v>9.194262121E9</v>
      </c>
      <c r="AP41" s="67" t="s">
        <v>1731</v>
      </c>
      <c r="AQ41" s="16" t="s">
        <v>223</v>
      </c>
      <c r="AR41" s="26"/>
      <c r="AS41" s="64" t="s">
        <v>1732</v>
      </c>
      <c r="AT41" s="64" t="s">
        <v>1733</v>
      </c>
      <c r="AU41" s="64" t="s">
        <v>1734</v>
      </c>
      <c r="AV41" s="64"/>
      <c r="AW41" s="16"/>
      <c r="AX41" s="16" t="s">
        <v>1735</v>
      </c>
      <c r="AY41" s="19" t="s">
        <v>318</v>
      </c>
      <c r="AZ41" s="19">
        <v>9.196708913E9</v>
      </c>
      <c r="BA41" s="16" t="s">
        <v>1241</v>
      </c>
      <c r="BB41" s="16" t="s">
        <v>1241</v>
      </c>
      <c r="BC41" s="148" t="s">
        <v>1243</v>
      </c>
    </row>
    <row r="42" ht="14.25" customHeight="1">
      <c r="A42" s="19">
        <f t="shared" si="9"/>
        <v>41</v>
      </c>
      <c r="B42" s="15" t="s">
        <v>824</v>
      </c>
      <c r="C42" s="16" t="s">
        <v>1736</v>
      </c>
      <c r="D42" s="16" t="s">
        <v>826</v>
      </c>
      <c r="E42" s="19" t="s">
        <v>87</v>
      </c>
      <c r="F42" s="19"/>
      <c r="G42" s="16" t="str">
        <f t="shared" si="56"/>
        <v>Arches , Marlon L.</v>
      </c>
      <c r="H42" s="16" t="str">
        <f t="shared" si="57"/>
        <v>Marlon L. Arches </v>
      </c>
      <c r="I42" s="16" t="str">
        <f t="shared" si="58"/>
        <v>Arches , Marlon Linihan</v>
      </c>
      <c r="J42" s="19" t="s">
        <v>82</v>
      </c>
      <c r="K42" s="19" t="s">
        <v>191</v>
      </c>
      <c r="L42" s="19" t="s">
        <v>16</v>
      </c>
      <c r="M42" s="19" t="s">
        <v>105</v>
      </c>
      <c r="N42" s="19">
        <v>1.082425326E9</v>
      </c>
      <c r="O42" s="19">
        <v>45893.0</v>
      </c>
      <c r="P42" s="20">
        <v>45877.0</v>
      </c>
      <c r="Q42" s="17" t="s">
        <v>1737</v>
      </c>
      <c r="R42" s="17">
        <v>45893.0</v>
      </c>
      <c r="S42" s="17" t="s">
        <v>1738</v>
      </c>
      <c r="T42" s="61">
        <f t="shared" si="40"/>
        <v>46132</v>
      </c>
      <c r="U42" s="19">
        <f t="shared" si="41"/>
        <v>0</v>
      </c>
      <c r="V42" s="19">
        <f t="shared" si="42"/>
        <v>7</v>
      </c>
      <c r="W42" s="19">
        <f t="shared" si="43"/>
        <v>27</v>
      </c>
      <c r="X42" s="61">
        <f t="shared" si="59"/>
        <v>46077</v>
      </c>
      <c r="Y42" s="26" t="s">
        <v>82</v>
      </c>
      <c r="Z42" s="19"/>
      <c r="AA42" s="19"/>
      <c r="AB42" s="19"/>
      <c r="AC42" s="22">
        <f t="shared" si="60"/>
        <v>18127.93</v>
      </c>
      <c r="AD42" s="19"/>
      <c r="AE42" s="22">
        <f t="shared" si="46"/>
        <v>18127.93</v>
      </c>
      <c r="AF42" s="62">
        <f t="shared" si="61"/>
        <v>695.0005112</v>
      </c>
      <c r="AG42" s="19" t="s">
        <v>178</v>
      </c>
      <c r="AH42" s="24"/>
      <c r="AI42" s="19" t="s">
        <v>61</v>
      </c>
      <c r="AJ42" s="19" t="s">
        <v>62</v>
      </c>
      <c r="AK42" s="19">
        <v>35912.0</v>
      </c>
      <c r="AL42" s="62">
        <f t="shared" si="48"/>
        <v>28</v>
      </c>
      <c r="AM42" s="26" t="s">
        <v>1739</v>
      </c>
      <c r="AN42" s="26" t="s">
        <v>1740</v>
      </c>
      <c r="AO42" s="19">
        <v>9.073990073E9</v>
      </c>
      <c r="AP42" s="67" t="s">
        <v>1741</v>
      </c>
      <c r="AQ42" s="16" t="s">
        <v>247</v>
      </c>
      <c r="AR42" s="26" t="s">
        <v>286</v>
      </c>
      <c r="AS42" s="64" t="s">
        <v>1742</v>
      </c>
      <c r="AT42" s="64" t="s">
        <v>1743</v>
      </c>
      <c r="AU42" s="64" t="s">
        <v>1744</v>
      </c>
      <c r="AV42" s="64" t="s">
        <v>1745</v>
      </c>
      <c r="AW42" s="16"/>
      <c r="AX42" s="16" t="s">
        <v>834</v>
      </c>
      <c r="AY42" s="19" t="s">
        <v>213</v>
      </c>
      <c r="AZ42" s="19">
        <v>9.056716791E9</v>
      </c>
      <c r="BA42" s="16" t="s">
        <v>954</v>
      </c>
      <c r="BB42" s="169" t="s">
        <v>954</v>
      </c>
      <c r="BC42" s="86">
        <v>46144.0</v>
      </c>
    </row>
    <row r="43" ht="14.25" customHeight="1">
      <c r="A43" s="19">
        <f t="shared" si="9"/>
        <v>42</v>
      </c>
      <c r="B43" s="15" t="s">
        <v>1746</v>
      </c>
      <c r="C43" s="16" t="s">
        <v>1747</v>
      </c>
      <c r="D43" s="16" t="s">
        <v>1748</v>
      </c>
      <c r="E43" s="17" t="s">
        <v>1426</v>
      </c>
      <c r="F43" s="17"/>
      <c r="G43" s="16" t="str">
        <f t="shared" ref="G43:G44" si="62">CONCATENATE(B43,", ",C43," ",E43,".")</f>
        <v>Jaboya, Jiselle E.</v>
      </c>
      <c r="H43" s="16" t="str">
        <f t="shared" ref="H43:H44" si="63">CONCATENATE(C43," ",E43,". ",B43)</f>
        <v>Jiselle E. Jaboya</v>
      </c>
      <c r="I43" s="16" t="str">
        <f t="shared" ref="I43:I44" si="64">CONCATENATE(B43,", ",C43," ",D43)</f>
        <v>Jaboya, Jiselle Ebin</v>
      </c>
      <c r="J43" s="19" t="s">
        <v>133</v>
      </c>
      <c r="K43" s="19" t="s">
        <v>104</v>
      </c>
      <c r="L43" s="19" t="s">
        <v>57</v>
      </c>
      <c r="M43" s="19" t="s">
        <v>105</v>
      </c>
      <c r="N43" s="19">
        <v>1.06112225E9</v>
      </c>
      <c r="O43" s="20">
        <v>44723.0</v>
      </c>
      <c r="P43" s="20">
        <v>44707.0</v>
      </c>
      <c r="Q43" s="20">
        <v>44722.0</v>
      </c>
      <c r="R43" s="20">
        <v>44723.0</v>
      </c>
      <c r="S43" s="20">
        <v>44905.0</v>
      </c>
      <c r="T43" s="61">
        <f t="shared" si="40"/>
        <v>46132</v>
      </c>
      <c r="U43" s="21">
        <f t="shared" si="41"/>
        <v>3</v>
      </c>
      <c r="V43" s="19">
        <f t="shared" si="42"/>
        <v>10</v>
      </c>
      <c r="W43" s="19">
        <f t="shared" si="43"/>
        <v>9</v>
      </c>
      <c r="X43" s="19">
        <v>44906.0</v>
      </c>
      <c r="Y43" s="16" t="s">
        <v>1749</v>
      </c>
      <c r="Z43" s="19" t="s">
        <v>1750</v>
      </c>
      <c r="AA43" s="16"/>
      <c r="AB43" s="16"/>
      <c r="AC43" s="22">
        <f>14867.5+2470.25+1216.41+1064.59+1520.84</f>
        <v>21139.59</v>
      </c>
      <c r="AD43" s="23"/>
      <c r="AE43" s="22">
        <f t="shared" si="46"/>
        <v>21139.59</v>
      </c>
      <c r="AF43" s="62">
        <f>AE43*12/365</f>
        <v>695.0002192</v>
      </c>
      <c r="AG43" s="19" t="s">
        <v>59</v>
      </c>
      <c r="AH43" s="24" t="s">
        <v>1751</v>
      </c>
      <c r="AI43" s="19" t="s">
        <v>135</v>
      </c>
      <c r="AJ43" s="19" t="s">
        <v>62</v>
      </c>
      <c r="AK43" s="20">
        <v>36063.0</v>
      </c>
      <c r="AL43" s="62">
        <f t="shared" si="48"/>
        <v>27.58630137</v>
      </c>
      <c r="AM43" s="26" t="s">
        <v>1752</v>
      </c>
      <c r="AN43" s="16" t="s">
        <v>1168</v>
      </c>
      <c r="AO43" s="19">
        <v>9.615693338E9</v>
      </c>
      <c r="AP43" s="28" t="s">
        <v>1753</v>
      </c>
      <c r="AQ43" s="16" t="s">
        <v>110</v>
      </c>
      <c r="AR43" s="16" t="s">
        <v>1392</v>
      </c>
      <c r="AS43" s="19" t="s">
        <v>1754</v>
      </c>
      <c r="AT43" s="19" t="s">
        <v>1755</v>
      </c>
      <c r="AU43" s="19" t="s">
        <v>1756</v>
      </c>
      <c r="AV43" s="19" t="s">
        <v>1757</v>
      </c>
      <c r="AW43" s="16"/>
      <c r="AX43" s="16" t="s">
        <v>1758</v>
      </c>
      <c r="AY43" s="19" t="s">
        <v>73</v>
      </c>
      <c r="AZ43" s="19">
        <v>9.694061247E9</v>
      </c>
      <c r="BA43" s="16" t="s">
        <v>1759</v>
      </c>
      <c r="BB43" s="169" t="s">
        <v>954</v>
      </c>
      <c r="BC43" s="148" t="s">
        <v>408</v>
      </c>
    </row>
    <row r="44" ht="14.25" customHeight="1">
      <c r="A44" s="19">
        <f t="shared" si="9"/>
        <v>43</v>
      </c>
      <c r="B44" s="15" t="s">
        <v>1760</v>
      </c>
      <c r="C44" s="15" t="s">
        <v>1761</v>
      </c>
      <c r="D44" s="15" t="s">
        <v>1762</v>
      </c>
      <c r="E44" s="17" t="s">
        <v>418</v>
      </c>
      <c r="F44" s="17"/>
      <c r="G44" s="16" t="str">
        <f t="shared" si="62"/>
        <v>Legaspi, Karl P.</v>
      </c>
      <c r="H44" s="16" t="str">
        <f t="shared" si="63"/>
        <v>Karl P. Legaspi</v>
      </c>
      <c r="I44" s="16" t="str">
        <f t="shared" si="64"/>
        <v>Legaspi, Karl Paclibar</v>
      </c>
      <c r="J44" s="17" t="s">
        <v>82</v>
      </c>
      <c r="K44" s="17" t="s">
        <v>191</v>
      </c>
      <c r="L44" s="19" t="s">
        <v>419</v>
      </c>
      <c r="M44" s="17" t="s">
        <v>105</v>
      </c>
      <c r="N44" s="17"/>
      <c r="O44" s="17">
        <v>46081.0</v>
      </c>
      <c r="P44" s="17">
        <v>46065.0</v>
      </c>
      <c r="Q44" s="17">
        <v>46080.0</v>
      </c>
      <c r="R44" s="17" t="s">
        <v>1763</v>
      </c>
      <c r="S44" s="17">
        <v>46261.0</v>
      </c>
      <c r="T44" s="20">
        <f t="shared" si="40"/>
        <v>46132</v>
      </c>
      <c r="U44" s="21">
        <f t="shared" si="41"/>
        <v>0</v>
      </c>
      <c r="V44" s="19">
        <f t="shared" si="42"/>
        <v>1</v>
      </c>
      <c r="W44" s="19">
        <f t="shared" si="43"/>
        <v>23</v>
      </c>
      <c r="X44" s="74">
        <f t="shared" ref="X44:X45" si="65">EDATE(R44,6)</f>
        <v>46262</v>
      </c>
      <c r="Y44" s="65" t="s">
        <v>82</v>
      </c>
      <c r="Z44" s="17"/>
      <c r="AA44" s="17"/>
      <c r="AB44" s="17"/>
      <c r="AC44" s="78">
        <f t="shared" ref="AC44:AC45" si="66">16823.75+1304.18</f>
        <v>18127.93</v>
      </c>
      <c r="AD44" s="17"/>
      <c r="AE44" s="22">
        <f t="shared" si="46"/>
        <v>18127.93</v>
      </c>
      <c r="AF44" s="79">
        <v>695.0</v>
      </c>
      <c r="AG44" s="17" t="s">
        <v>178</v>
      </c>
      <c r="AH44" s="80"/>
      <c r="AI44" s="17" t="s">
        <v>61</v>
      </c>
      <c r="AJ44" s="17" t="s">
        <v>62</v>
      </c>
      <c r="AK44" s="77">
        <v>36278.0</v>
      </c>
      <c r="AL44" s="79">
        <f t="shared" si="48"/>
        <v>26.99726027</v>
      </c>
      <c r="AM44" s="65" t="s">
        <v>1764</v>
      </c>
      <c r="AN44" s="65" t="s">
        <v>1765</v>
      </c>
      <c r="AO44" s="17">
        <v>9.109971208E9</v>
      </c>
      <c r="AP44" s="81" t="s">
        <v>1766</v>
      </c>
      <c r="AQ44" s="15" t="s">
        <v>1767</v>
      </c>
      <c r="AR44" s="65" t="s">
        <v>1768</v>
      </c>
      <c r="AS44" s="82" t="s">
        <v>1769</v>
      </c>
      <c r="AT44" s="82" t="s">
        <v>1770</v>
      </c>
      <c r="AU44" s="82" t="s">
        <v>1771</v>
      </c>
      <c r="AV44" s="82" t="s">
        <v>1772</v>
      </c>
      <c r="AW44" s="15"/>
      <c r="AX44" s="15" t="s">
        <v>1773</v>
      </c>
      <c r="AY44" s="19" t="s">
        <v>318</v>
      </c>
      <c r="AZ44" s="17">
        <v>9.686062797E9</v>
      </c>
      <c r="BA44" s="16"/>
      <c r="BB44" s="169" t="s">
        <v>954</v>
      </c>
      <c r="BC44" s="86">
        <v>46081.0</v>
      </c>
      <c r="BD44" s="83"/>
    </row>
    <row r="45" ht="14.25" customHeight="1">
      <c r="A45" s="19">
        <f t="shared" si="9"/>
        <v>44</v>
      </c>
      <c r="B45" s="15" t="s">
        <v>1774</v>
      </c>
      <c r="C45" s="15" t="s">
        <v>1775</v>
      </c>
      <c r="D45" s="15" t="s">
        <v>1776</v>
      </c>
      <c r="E45" s="17" t="s">
        <v>308</v>
      </c>
      <c r="F45" s="17"/>
      <c r="G45" s="15"/>
      <c r="H45" s="15"/>
      <c r="I45" s="15"/>
      <c r="J45" s="17" t="s">
        <v>82</v>
      </c>
      <c r="K45" s="17" t="s">
        <v>191</v>
      </c>
      <c r="L45" s="19" t="s">
        <v>16</v>
      </c>
      <c r="M45" s="17" t="s">
        <v>105</v>
      </c>
      <c r="N45" s="17">
        <v>1040226.0</v>
      </c>
      <c r="O45" s="17">
        <v>46114.0</v>
      </c>
      <c r="P45" s="77">
        <v>46098.0</v>
      </c>
      <c r="Q45" s="77">
        <v>46113.0</v>
      </c>
      <c r="R45" s="17">
        <v>46114.0</v>
      </c>
      <c r="S45" s="17">
        <v>46296.0</v>
      </c>
      <c r="T45" s="20">
        <f t="shared" si="40"/>
        <v>46132</v>
      </c>
      <c r="U45" s="21">
        <f t="shared" si="41"/>
        <v>0</v>
      </c>
      <c r="V45" s="19">
        <f t="shared" si="42"/>
        <v>0</v>
      </c>
      <c r="W45" s="19">
        <f t="shared" si="43"/>
        <v>18</v>
      </c>
      <c r="X45" s="74">
        <f t="shared" si="65"/>
        <v>46297</v>
      </c>
      <c r="Y45" s="65" t="s">
        <v>82</v>
      </c>
      <c r="Z45" s="17"/>
      <c r="AA45" s="17"/>
      <c r="AB45" s="17"/>
      <c r="AC45" s="78">
        <f t="shared" si="66"/>
        <v>18127.93</v>
      </c>
      <c r="AD45" s="17"/>
      <c r="AE45" s="22">
        <f t="shared" si="46"/>
        <v>18127.93</v>
      </c>
      <c r="AF45" s="79">
        <v>695.0</v>
      </c>
      <c r="AG45" s="17" t="s">
        <v>178</v>
      </c>
      <c r="AH45" s="80"/>
      <c r="AI45" s="17" t="s">
        <v>61</v>
      </c>
      <c r="AJ45" s="17" t="s">
        <v>62</v>
      </c>
      <c r="AK45" s="77">
        <v>34936.0</v>
      </c>
      <c r="AL45" s="79">
        <f t="shared" si="48"/>
        <v>30.6739726</v>
      </c>
      <c r="AM45" s="65" t="s">
        <v>1777</v>
      </c>
      <c r="AN45" s="65"/>
      <c r="AO45" s="17">
        <v>9.505782734E9</v>
      </c>
      <c r="AP45" s="81" t="s">
        <v>1778</v>
      </c>
      <c r="AQ45" s="16" t="s">
        <v>223</v>
      </c>
      <c r="AR45" s="65"/>
      <c r="AS45" s="82" t="s">
        <v>1779</v>
      </c>
      <c r="AT45" s="82" t="s">
        <v>1780</v>
      </c>
      <c r="AU45" s="82" t="s">
        <v>1781</v>
      </c>
      <c r="AV45" s="82" t="s">
        <v>1782</v>
      </c>
      <c r="AW45" s="17">
        <v>2.0</v>
      </c>
      <c r="AX45" s="15" t="s">
        <v>1783</v>
      </c>
      <c r="AY45" s="19" t="s">
        <v>266</v>
      </c>
      <c r="AZ45" s="17">
        <v>9.319669098E9</v>
      </c>
      <c r="BA45" s="16"/>
      <c r="BB45" s="169" t="s">
        <v>954</v>
      </c>
      <c r="BC45" s="148">
        <v>46116.0</v>
      </c>
      <c r="BD45" s="83"/>
    </row>
    <row r="46" ht="14.25" customHeight="1">
      <c r="A46" s="19">
        <f t="shared" si="9"/>
        <v>45</v>
      </c>
      <c r="B46" s="15"/>
      <c r="C46" s="16"/>
      <c r="D46" s="16"/>
      <c r="E46" s="17"/>
      <c r="F46" s="17"/>
      <c r="G46" s="16"/>
      <c r="H46" s="16"/>
      <c r="I46" s="16"/>
      <c r="J46" s="19"/>
      <c r="K46" s="19"/>
      <c r="L46" s="19"/>
      <c r="M46" s="19"/>
      <c r="N46" s="19"/>
      <c r="O46" s="20"/>
      <c r="P46" s="20"/>
      <c r="Q46" s="20"/>
      <c r="R46" s="20"/>
      <c r="S46" s="20"/>
      <c r="T46" s="19"/>
      <c r="U46" s="21"/>
      <c r="V46" s="19"/>
      <c r="W46" s="19"/>
      <c r="X46" s="19"/>
      <c r="Y46" s="16"/>
      <c r="Z46" s="19"/>
      <c r="AA46" s="16"/>
      <c r="AB46" s="16"/>
      <c r="AC46" s="22"/>
      <c r="AD46" s="23"/>
      <c r="AE46" s="22"/>
      <c r="AF46" s="62"/>
      <c r="AG46" s="19"/>
      <c r="AH46" s="24"/>
      <c r="AI46" s="19"/>
      <c r="AJ46" s="19"/>
      <c r="AK46" s="20"/>
      <c r="AL46" s="62"/>
      <c r="AM46" s="26"/>
      <c r="AN46" s="16"/>
      <c r="AO46" s="19"/>
      <c r="AP46" s="28"/>
      <c r="AQ46" s="16"/>
      <c r="AR46" s="16"/>
      <c r="AS46" s="19"/>
      <c r="AT46" s="19"/>
      <c r="AU46" s="19"/>
      <c r="AV46" s="19"/>
      <c r="AW46" s="16"/>
      <c r="AX46" s="16"/>
      <c r="AY46" s="19"/>
      <c r="AZ46" s="19"/>
      <c r="BA46" s="16"/>
      <c r="BB46" s="169"/>
      <c r="BC46" s="148"/>
    </row>
    <row r="47" ht="14.25" customHeight="1">
      <c r="A47" s="19">
        <f t="shared" si="9"/>
        <v>46</v>
      </c>
      <c r="B47" s="15"/>
      <c r="C47" s="15"/>
      <c r="D47" s="15"/>
      <c r="E47" s="17"/>
      <c r="F47" s="17"/>
      <c r="G47" s="15"/>
      <c r="H47" s="15"/>
      <c r="I47" s="15"/>
      <c r="J47" s="17"/>
      <c r="K47" s="17"/>
      <c r="L47" s="17"/>
      <c r="M47" s="17"/>
      <c r="N47" s="17"/>
      <c r="O47" s="77"/>
      <c r="P47" s="77"/>
      <c r="Q47" s="77"/>
      <c r="R47" s="17"/>
      <c r="S47" s="17"/>
      <c r="T47" s="17"/>
      <c r="U47" s="17"/>
      <c r="V47" s="17"/>
      <c r="W47" s="17"/>
      <c r="X47" s="17"/>
      <c r="Y47" s="65"/>
      <c r="Z47" s="17"/>
      <c r="AA47" s="17"/>
      <c r="AB47" s="17"/>
      <c r="AC47" s="78"/>
      <c r="AD47" s="17"/>
      <c r="AE47" s="78"/>
      <c r="AF47" s="79"/>
      <c r="AG47" s="17"/>
      <c r="AH47" s="80"/>
      <c r="AI47" s="17"/>
      <c r="AJ47" s="17"/>
      <c r="AK47" s="77"/>
      <c r="AL47" s="79"/>
      <c r="AM47" s="65"/>
      <c r="AN47" s="65"/>
      <c r="AO47" s="17"/>
      <c r="AP47" s="81"/>
      <c r="AQ47" s="15"/>
      <c r="AR47" s="65"/>
      <c r="AS47" s="82"/>
      <c r="AT47" s="82"/>
      <c r="AU47" s="82"/>
      <c r="AV47" s="82"/>
      <c r="AW47" s="15"/>
      <c r="AX47" s="15"/>
      <c r="AY47" s="17"/>
      <c r="AZ47" s="17"/>
      <c r="BA47" s="15"/>
      <c r="BB47" s="170"/>
      <c r="BC47" s="148"/>
      <c r="BD47" s="83"/>
    </row>
    <row r="48" ht="14.25" customHeight="1">
      <c r="AQ48" s="54"/>
    </row>
    <row r="49" ht="14.25" customHeight="1">
      <c r="AQ49" s="54"/>
    </row>
    <row r="50" ht="14.25" customHeight="1">
      <c r="AQ50" s="54"/>
    </row>
    <row r="51" ht="14.25" customHeight="1">
      <c r="AQ51" s="54"/>
    </row>
    <row r="52" ht="14.25" customHeight="1">
      <c r="AQ52" s="54"/>
    </row>
    <row r="53" ht="14.25" customHeight="1">
      <c r="AQ53" s="54"/>
    </row>
    <row r="54" ht="14.25" customHeight="1">
      <c r="AQ54" s="54"/>
    </row>
    <row r="55" ht="14.25" customHeight="1">
      <c r="AQ55" s="54"/>
    </row>
    <row r="56" ht="14.25" customHeight="1">
      <c r="AQ56" s="54"/>
    </row>
    <row r="57" ht="14.25" customHeight="1">
      <c r="AQ57" s="54"/>
    </row>
    <row r="58" ht="14.25" customHeight="1">
      <c r="AQ58" s="54"/>
    </row>
    <row r="59" ht="14.25" customHeight="1">
      <c r="AQ59" s="54"/>
    </row>
    <row r="60" ht="14.25" customHeight="1">
      <c r="AQ60" s="54"/>
    </row>
    <row r="61" ht="14.25" customHeight="1">
      <c r="AQ61" s="54"/>
    </row>
    <row r="62" ht="14.25" customHeight="1">
      <c r="AQ62" s="54"/>
    </row>
    <row r="63" ht="14.25" customHeight="1">
      <c r="AQ63" s="54"/>
    </row>
    <row r="64" ht="14.25" customHeight="1">
      <c r="AQ64" s="54"/>
    </row>
    <row r="65" ht="14.25" customHeight="1">
      <c r="AQ65" s="54"/>
    </row>
    <row r="66" ht="14.25" customHeight="1">
      <c r="AQ66" s="54"/>
    </row>
    <row r="67" ht="14.25" customHeight="1">
      <c r="AQ67" s="54"/>
    </row>
    <row r="68" ht="14.25" customHeight="1">
      <c r="AQ68" s="54"/>
    </row>
    <row r="69" ht="14.25" customHeight="1">
      <c r="AQ69" s="54"/>
    </row>
    <row r="70" ht="14.25" customHeight="1">
      <c r="AQ70" s="54"/>
    </row>
    <row r="71" ht="14.25" customHeight="1">
      <c r="AQ71" s="54"/>
    </row>
    <row r="72" ht="14.25" customHeight="1">
      <c r="AQ72" s="54"/>
    </row>
    <row r="73" ht="14.25" customHeight="1">
      <c r="AQ73" s="54"/>
    </row>
    <row r="74" ht="14.25" customHeight="1">
      <c r="AQ74" s="54"/>
    </row>
    <row r="75" ht="14.25" customHeight="1">
      <c r="AQ75" s="54"/>
    </row>
    <row r="76" ht="14.25" customHeight="1">
      <c r="AQ76" s="54"/>
    </row>
    <row r="77" ht="14.25" customHeight="1">
      <c r="AQ77" s="54"/>
    </row>
    <row r="78" ht="14.25" customHeight="1">
      <c r="AQ78" s="54"/>
    </row>
    <row r="79" ht="14.25" customHeight="1">
      <c r="AQ79" s="54"/>
    </row>
    <row r="80" ht="14.25" customHeight="1">
      <c r="AQ80" s="54"/>
    </row>
    <row r="81" ht="14.25" customHeight="1">
      <c r="AQ81" s="54"/>
    </row>
    <row r="82" ht="14.25" customHeight="1">
      <c r="AQ82" s="54"/>
    </row>
    <row r="83" ht="14.25" customHeight="1">
      <c r="AQ83" s="54"/>
    </row>
    <row r="84" ht="14.25" customHeight="1">
      <c r="AQ84" s="54"/>
    </row>
    <row r="85" ht="14.25" customHeight="1">
      <c r="AQ85" s="54"/>
    </row>
    <row r="86" ht="14.25" customHeight="1">
      <c r="AQ86" s="54"/>
    </row>
    <row r="87" ht="14.25" customHeight="1">
      <c r="AQ87" s="54"/>
    </row>
    <row r="88" ht="14.25" customHeight="1">
      <c r="AQ88" s="54"/>
    </row>
    <row r="89" ht="14.25" customHeight="1">
      <c r="AQ89" s="54"/>
    </row>
    <row r="90" ht="14.25" customHeight="1">
      <c r="AQ90" s="54"/>
    </row>
    <row r="91" ht="14.25" customHeight="1">
      <c r="AQ91" s="54"/>
    </row>
    <row r="92" ht="14.25" customHeight="1">
      <c r="AQ92" s="54"/>
    </row>
    <row r="93" ht="14.25" customHeight="1">
      <c r="AQ93" s="54"/>
    </row>
    <row r="94" ht="14.25" customHeight="1">
      <c r="AQ94" s="54"/>
    </row>
    <row r="95" ht="14.25" customHeight="1">
      <c r="AQ95" s="54"/>
    </row>
    <row r="96" ht="14.25" customHeight="1">
      <c r="AQ96" s="54"/>
    </row>
    <row r="97" ht="14.25" customHeight="1">
      <c r="AQ97" s="54"/>
    </row>
    <row r="98" ht="14.25" customHeight="1">
      <c r="AQ98" s="54"/>
    </row>
    <row r="99" ht="14.25" customHeight="1">
      <c r="AQ99" s="54"/>
    </row>
    <row r="100" ht="14.25" customHeight="1">
      <c r="AQ100" s="54"/>
    </row>
    <row r="101" ht="14.25" customHeight="1">
      <c r="AQ101" s="54"/>
    </row>
    <row r="102" ht="14.25" customHeight="1">
      <c r="AQ102" s="54"/>
    </row>
    <row r="103" ht="14.25" customHeight="1">
      <c r="AQ103" s="54"/>
    </row>
    <row r="104" ht="14.25" customHeight="1">
      <c r="AQ104" s="54"/>
    </row>
    <row r="105" ht="14.25" customHeight="1">
      <c r="AQ105" s="54"/>
    </row>
    <row r="106" ht="14.25" customHeight="1">
      <c r="AQ106" s="54"/>
    </row>
    <row r="107" ht="14.25" customHeight="1">
      <c r="AQ107" s="54"/>
    </row>
    <row r="108" ht="14.25" customHeight="1">
      <c r="AQ108" s="54"/>
    </row>
    <row r="109" ht="14.25" customHeight="1">
      <c r="AQ109" s="54"/>
    </row>
    <row r="110" ht="14.25" customHeight="1">
      <c r="AQ110" s="54"/>
    </row>
    <row r="111" ht="14.25" customHeight="1">
      <c r="AQ111" s="54"/>
    </row>
    <row r="112" ht="14.25" customHeight="1">
      <c r="AQ112" s="54"/>
    </row>
    <row r="113" ht="14.25" customHeight="1">
      <c r="AQ113" s="54"/>
    </row>
    <row r="114" ht="14.25" customHeight="1">
      <c r="AQ114" s="54"/>
    </row>
    <row r="115" ht="14.25" customHeight="1">
      <c r="AQ115" s="54"/>
    </row>
    <row r="116" ht="14.25" customHeight="1">
      <c r="AQ116" s="54"/>
    </row>
    <row r="117" ht="14.25" customHeight="1">
      <c r="AQ117" s="54"/>
    </row>
    <row r="118" ht="14.25" customHeight="1">
      <c r="AQ118" s="54"/>
    </row>
    <row r="119" ht="14.25" customHeight="1">
      <c r="AQ119" s="54"/>
    </row>
    <row r="120" ht="14.25" customHeight="1">
      <c r="AQ120" s="54"/>
    </row>
    <row r="121" ht="14.25" customHeight="1">
      <c r="AQ121" s="54"/>
    </row>
    <row r="122" ht="14.25" customHeight="1">
      <c r="AQ122" s="54"/>
    </row>
    <row r="123" ht="14.25" customHeight="1">
      <c r="AQ123" s="54"/>
    </row>
    <row r="124" ht="14.25" customHeight="1">
      <c r="AQ124" s="54"/>
    </row>
    <row r="125" ht="14.25" customHeight="1">
      <c r="AQ125" s="54"/>
    </row>
    <row r="126" ht="14.25" customHeight="1">
      <c r="AQ126" s="54"/>
    </row>
    <row r="127" ht="14.25" customHeight="1">
      <c r="AQ127" s="54"/>
    </row>
    <row r="128" ht="14.25" customHeight="1">
      <c r="AQ128" s="54"/>
    </row>
    <row r="129" ht="14.25" customHeight="1">
      <c r="AQ129" s="54"/>
    </row>
    <row r="130" ht="14.25" customHeight="1">
      <c r="AQ130" s="54"/>
    </row>
    <row r="131" ht="14.25" customHeight="1">
      <c r="AQ131" s="54"/>
    </row>
    <row r="132" ht="14.25" customHeight="1">
      <c r="AQ132" s="54"/>
    </row>
    <row r="133" ht="14.25" customHeight="1">
      <c r="AQ133" s="54"/>
    </row>
    <row r="134" ht="14.25" customHeight="1">
      <c r="AQ134" s="54"/>
    </row>
    <row r="135" ht="14.25" customHeight="1">
      <c r="AQ135" s="54"/>
    </row>
    <row r="136" ht="14.25" customHeight="1">
      <c r="AQ136" s="54"/>
    </row>
    <row r="137" ht="14.25" customHeight="1">
      <c r="AQ137" s="54"/>
    </row>
    <row r="138" ht="14.25" customHeight="1">
      <c r="AQ138" s="54"/>
    </row>
    <row r="139" ht="14.25" customHeight="1">
      <c r="AQ139" s="54"/>
    </row>
    <row r="140" ht="14.25" customHeight="1">
      <c r="AQ140" s="54"/>
    </row>
    <row r="141" ht="14.25" customHeight="1">
      <c r="AQ141" s="54"/>
    </row>
    <row r="142" ht="14.25" customHeight="1">
      <c r="AQ142" s="54"/>
    </row>
    <row r="143" ht="14.25" customHeight="1">
      <c r="AQ143" s="54"/>
    </row>
    <row r="144" ht="14.25" customHeight="1">
      <c r="AQ144" s="54"/>
    </row>
    <row r="145" ht="14.25" customHeight="1">
      <c r="AQ145" s="54"/>
    </row>
    <row r="146" ht="14.25" customHeight="1">
      <c r="AQ146" s="54"/>
    </row>
    <row r="147" ht="14.25" customHeight="1">
      <c r="AQ147" s="54"/>
    </row>
    <row r="148" ht="14.25" customHeight="1">
      <c r="AQ148" s="54"/>
    </row>
    <row r="149" ht="14.25" customHeight="1">
      <c r="AQ149" s="54"/>
    </row>
    <row r="150" ht="14.25" customHeight="1">
      <c r="AQ150" s="54"/>
    </row>
    <row r="151" ht="14.25" customHeight="1">
      <c r="AQ151" s="54"/>
    </row>
    <row r="152" ht="14.25" customHeight="1">
      <c r="AQ152" s="54"/>
    </row>
    <row r="153" ht="14.25" customHeight="1">
      <c r="AQ153" s="54"/>
    </row>
    <row r="154" ht="14.25" customHeight="1">
      <c r="AQ154" s="54"/>
    </row>
    <row r="155" ht="14.25" customHeight="1">
      <c r="AQ155" s="54"/>
    </row>
    <row r="156" ht="14.25" customHeight="1">
      <c r="AQ156" s="54"/>
    </row>
    <row r="157" ht="14.25" customHeight="1">
      <c r="AQ157" s="54"/>
    </row>
    <row r="158" ht="14.25" customHeight="1">
      <c r="AQ158" s="54"/>
    </row>
    <row r="159" ht="14.25" customHeight="1">
      <c r="AQ159" s="54"/>
    </row>
    <row r="160" ht="14.25" customHeight="1">
      <c r="AQ160" s="54"/>
    </row>
    <row r="161" ht="14.25" customHeight="1">
      <c r="AQ161" s="54"/>
    </row>
    <row r="162" ht="14.25" customHeight="1">
      <c r="AQ162" s="54"/>
    </row>
    <row r="163" ht="14.25" customHeight="1">
      <c r="AQ163" s="54"/>
    </row>
    <row r="164" ht="14.25" customHeight="1">
      <c r="AQ164" s="54"/>
    </row>
    <row r="165" ht="14.25" customHeight="1">
      <c r="AQ165" s="54"/>
    </row>
    <row r="166" ht="14.25" customHeight="1">
      <c r="AQ166" s="54"/>
    </row>
    <row r="167" ht="14.25" customHeight="1">
      <c r="AQ167" s="54"/>
    </row>
    <row r="168" ht="14.25" customHeight="1">
      <c r="AQ168" s="54"/>
    </row>
    <row r="169" ht="14.25" customHeight="1">
      <c r="AQ169" s="54"/>
    </row>
    <row r="170" ht="14.25" customHeight="1">
      <c r="AQ170" s="54"/>
    </row>
    <row r="171" ht="14.25" customHeight="1">
      <c r="AQ171" s="54"/>
    </row>
    <row r="172" ht="14.25" customHeight="1">
      <c r="AQ172" s="54"/>
    </row>
    <row r="173" ht="14.25" customHeight="1">
      <c r="AQ173" s="54"/>
    </row>
    <row r="174" ht="14.25" customHeight="1">
      <c r="AQ174" s="54"/>
    </row>
    <row r="175" ht="14.25" customHeight="1">
      <c r="AQ175" s="54"/>
    </row>
    <row r="176" ht="14.25" customHeight="1">
      <c r="AQ176" s="54"/>
    </row>
    <row r="177" ht="14.25" customHeight="1">
      <c r="AQ177" s="54"/>
    </row>
    <row r="178" ht="14.25" customHeight="1">
      <c r="AQ178" s="54"/>
    </row>
    <row r="179" ht="14.25" customHeight="1">
      <c r="AQ179" s="54"/>
    </row>
    <row r="180" ht="14.25" customHeight="1">
      <c r="AQ180" s="54"/>
    </row>
    <row r="181" ht="14.25" customHeight="1">
      <c r="AQ181" s="54"/>
    </row>
    <row r="182" ht="14.25" customHeight="1">
      <c r="AQ182" s="54"/>
    </row>
    <row r="183" ht="14.25" customHeight="1">
      <c r="AQ183" s="54"/>
    </row>
    <row r="184" ht="14.25" customHeight="1">
      <c r="AQ184" s="54"/>
    </row>
    <row r="185" ht="14.25" customHeight="1">
      <c r="AQ185" s="54"/>
    </row>
    <row r="186" ht="14.25" customHeight="1">
      <c r="AQ186" s="54"/>
    </row>
    <row r="187" ht="14.25" customHeight="1">
      <c r="AQ187" s="54"/>
    </row>
    <row r="188" ht="14.25" customHeight="1">
      <c r="AQ188" s="54"/>
    </row>
    <row r="189" ht="14.25" customHeight="1">
      <c r="AQ189" s="54"/>
    </row>
    <row r="190" ht="14.25" customHeight="1">
      <c r="AQ190" s="54"/>
    </row>
    <row r="191" ht="14.25" customHeight="1">
      <c r="AQ191" s="54"/>
    </row>
    <row r="192" ht="14.25" customHeight="1">
      <c r="AQ192" s="54"/>
    </row>
    <row r="193" ht="14.25" customHeight="1">
      <c r="AQ193" s="54"/>
    </row>
    <row r="194" ht="14.25" customHeight="1">
      <c r="AQ194" s="54"/>
    </row>
    <row r="195" ht="14.25" customHeight="1">
      <c r="AQ195" s="54"/>
    </row>
    <row r="196" ht="14.25" customHeight="1">
      <c r="AQ196" s="54"/>
    </row>
    <row r="197" ht="14.25" customHeight="1">
      <c r="AQ197" s="54"/>
    </row>
    <row r="198" ht="14.25" customHeight="1">
      <c r="AQ198" s="54"/>
    </row>
    <row r="199" ht="14.25" customHeight="1">
      <c r="AQ199" s="54"/>
    </row>
    <row r="200" ht="14.25" customHeight="1">
      <c r="AQ200" s="54"/>
    </row>
    <row r="201" ht="14.25" customHeight="1">
      <c r="AQ201" s="54"/>
    </row>
    <row r="202" ht="14.25" customHeight="1">
      <c r="AQ202" s="54"/>
    </row>
    <row r="203" ht="14.25" customHeight="1">
      <c r="AQ203" s="54"/>
    </row>
    <row r="204" ht="14.25" customHeight="1">
      <c r="AQ204" s="54"/>
    </row>
    <row r="205" ht="14.25" customHeight="1">
      <c r="AQ205" s="54"/>
    </row>
    <row r="206" ht="14.25" customHeight="1">
      <c r="AQ206" s="54"/>
    </row>
    <row r="207" ht="14.25" customHeight="1">
      <c r="AQ207" s="54"/>
    </row>
    <row r="208" ht="14.25" customHeight="1">
      <c r="AQ208" s="54"/>
    </row>
    <row r="209" ht="14.25" customHeight="1">
      <c r="AQ209" s="54"/>
    </row>
    <row r="210" ht="14.25" customHeight="1">
      <c r="AQ210" s="54"/>
    </row>
    <row r="211" ht="14.25" customHeight="1">
      <c r="AQ211" s="54"/>
    </row>
    <row r="212" ht="14.25" customHeight="1">
      <c r="AQ212" s="54"/>
    </row>
    <row r="213" ht="14.25" customHeight="1">
      <c r="AQ213" s="54"/>
    </row>
    <row r="214" ht="14.25" customHeight="1">
      <c r="AQ214" s="54"/>
    </row>
    <row r="215" ht="14.25" customHeight="1">
      <c r="AQ215" s="54"/>
    </row>
    <row r="216" ht="14.25" customHeight="1">
      <c r="AQ216" s="54"/>
    </row>
    <row r="217" ht="14.25" customHeight="1">
      <c r="AQ217" s="54"/>
    </row>
    <row r="218" ht="14.25" customHeight="1">
      <c r="AQ218" s="54"/>
    </row>
    <row r="219" ht="14.25" customHeight="1">
      <c r="AQ219" s="54"/>
    </row>
    <row r="220" ht="14.25" customHeight="1">
      <c r="AQ220" s="54"/>
    </row>
    <row r="221" ht="14.25" customHeight="1">
      <c r="AQ221" s="54"/>
    </row>
    <row r="222" ht="14.25" customHeight="1">
      <c r="AQ222" s="54"/>
    </row>
    <row r="223" ht="14.25" customHeight="1">
      <c r="AQ223" s="54"/>
    </row>
    <row r="224" ht="14.25" customHeight="1">
      <c r="AQ224" s="54"/>
    </row>
    <row r="225" ht="14.25" customHeight="1">
      <c r="AQ225" s="54"/>
    </row>
    <row r="226" ht="14.25" customHeight="1">
      <c r="AQ226" s="54"/>
    </row>
    <row r="227" ht="14.25" customHeight="1">
      <c r="AQ227" s="54"/>
    </row>
    <row r="228" ht="14.25" customHeight="1">
      <c r="AQ228" s="54"/>
    </row>
    <row r="229" ht="14.25" customHeight="1">
      <c r="AQ229" s="54"/>
    </row>
    <row r="230" ht="14.25" customHeight="1">
      <c r="AQ230" s="54"/>
    </row>
    <row r="231" ht="14.25" customHeight="1">
      <c r="AQ231" s="54"/>
    </row>
    <row r="232" ht="14.25" customHeight="1">
      <c r="AQ232" s="54"/>
    </row>
    <row r="233" ht="14.25" customHeight="1">
      <c r="AQ233" s="54"/>
    </row>
    <row r="234" ht="14.25" customHeight="1">
      <c r="AQ234" s="54"/>
    </row>
    <row r="235" ht="14.25" customHeight="1">
      <c r="AQ235" s="54"/>
    </row>
    <row r="236" ht="14.25" customHeight="1">
      <c r="AQ236" s="54"/>
    </row>
    <row r="237" ht="14.25" customHeight="1">
      <c r="AQ237" s="54"/>
    </row>
    <row r="238" ht="14.25" customHeight="1">
      <c r="AQ238" s="54"/>
    </row>
    <row r="239" ht="14.25" customHeight="1">
      <c r="AQ239" s="54"/>
    </row>
    <row r="240" ht="14.25" customHeight="1">
      <c r="AQ240" s="54"/>
    </row>
    <row r="241" ht="14.25" customHeight="1">
      <c r="AQ241" s="54"/>
    </row>
    <row r="242" ht="14.25" customHeight="1">
      <c r="AQ242" s="54"/>
    </row>
    <row r="243" ht="14.25" customHeight="1">
      <c r="AQ243" s="54"/>
    </row>
    <row r="244" ht="14.25" customHeight="1">
      <c r="AQ244" s="54"/>
    </row>
    <row r="245" ht="14.25" customHeight="1">
      <c r="AQ245" s="54"/>
    </row>
    <row r="246" ht="14.25" customHeight="1">
      <c r="AQ246" s="54"/>
    </row>
    <row r="247" ht="14.25" customHeight="1">
      <c r="AQ247" s="54"/>
    </row>
    <row r="248" ht="14.25" customHeight="1">
      <c r="AQ248" s="54"/>
    </row>
    <row r="249" ht="14.25" customHeight="1">
      <c r="AQ249" s="54"/>
    </row>
    <row r="250" ht="14.25" customHeight="1">
      <c r="AQ250" s="54"/>
    </row>
    <row r="251" ht="14.25" customHeight="1">
      <c r="AQ251" s="54"/>
    </row>
    <row r="252" ht="14.25" customHeight="1">
      <c r="AQ252" s="54"/>
    </row>
    <row r="253" ht="14.25" customHeight="1">
      <c r="AQ253" s="54"/>
    </row>
    <row r="254" ht="14.25" customHeight="1">
      <c r="AQ254" s="54"/>
    </row>
    <row r="255" ht="14.25" customHeight="1">
      <c r="AQ255" s="54"/>
    </row>
    <row r="256" ht="14.25" customHeight="1">
      <c r="AQ256" s="54"/>
    </row>
    <row r="257" ht="14.25" customHeight="1">
      <c r="AQ257" s="54"/>
    </row>
    <row r="258" ht="14.25" customHeight="1">
      <c r="AQ258" s="54"/>
    </row>
    <row r="259" ht="14.25" customHeight="1">
      <c r="AQ259" s="54"/>
    </row>
    <row r="260" ht="14.25" customHeight="1">
      <c r="AQ260" s="54"/>
    </row>
    <row r="261" ht="14.25" customHeight="1">
      <c r="AQ261" s="54"/>
    </row>
    <row r="262" ht="14.25" customHeight="1">
      <c r="AQ262" s="54"/>
    </row>
    <row r="263" ht="14.25" customHeight="1">
      <c r="AQ263" s="54"/>
    </row>
    <row r="264" ht="14.25" customHeight="1">
      <c r="AQ264" s="54"/>
    </row>
    <row r="265" ht="14.25" customHeight="1">
      <c r="AQ265" s="54"/>
    </row>
    <row r="266" ht="14.25" customHeight="1">
      <c r="AQ266" s="54"/>
    </row>
    <row r="267" ht="14.25" customHeight="1">
      <c r="AQ267" s="54"/>
    </row>
    <row r="268" ht="14.25" customHeight="1">
      <c r="AQ268" s="54"/>
    </row>
    <row r="269" ht="14.25" customHeight="1">
      <c r="AQ269" s="54"/>
    </row>
    <row r="270" ht="14.25" customHeight="1">
      <c r="AQ270" s="54"/>
    </row>
    <row r="271" ht="14.25" customHeight="1">
      <c r="AQ271" s="54"/>
    </row>
    <row r="272" ht="14.25" customHeight="1">
      <c r="AQ272" s="54"/>
    </row>
    <row r="273" ht="14.25" customHeight="1">
      <c r="AQ273" s="54"/>
    </row>
    <row r="274" ht="14.25" customHeight="1">
      <c r="AQ274" s="54"/>
    </row>
    <row r="275" ht="14.25" customHeight="1">
      <c r="AQ275" s="54"/>
    </row>
    <row r="276" ht="14.25" customHeight="1">
      <c r="AQ276" s="54"/>
    </row>
    <row r="277" ht="14.25" customHeight="1">
      <c r="AQ277" s="54"/>
    </row>
    <row r="278" ht="14.25" customHeight="1">
      <c r="AQ278" s="54"/>
    </row>
    <row r="279" ht="14.25" customHeight="1">
      <c r="AQ279" s="54"/>
    </row>
    <row r="280" ht="14.25" customHeight="1">
      <c r="AQ280" s="54"/>
    </row>
    <row r="281" ht="14.25" customHeight="1">
      <c r="AQ281" s="54"/>
    </row>
    <row r="282" ht="14.25" customHeight="1">
      <c r="AQ282" s="54"/>
    </row>
    <row r="283" ht="14.25" customHeight="1">
      <c r="AQ283" s="54"/>
    </row>
    <row r="284" ht="14.25" customHeight="1">
      <c r="AQ284" s="54"/>
    </row>
    <row r="285" ht="14.25" customHeight="1">
      <c r="AQ285" s="54"/>
    </row>
    <row r="286" ht="14.25" customHeight="1">
      <c r="AQ286" s="54"/>
    </row>
    <row r="287" ht="14.25" customHeight="1">
      <c r="AQ287" s="54"/>
    </row>
    <row r="288" ht="14.25" customHeight="1">
      <c r="AQ288" s="54"/>
    </row>
    <row r="289" ht="14.25" customHeight="1">
      <c r="AQ289" s="54"/>
    </row>
    <row r="290" ht="14.25" customHeight="1">
      <c r="AQ290" s="54"/>
    </row>
    <row r="291" ht="14.25" customHeight="1">
      <c r="AQ291" s="54"/>
    </row>
    <row r="292" ht="14.25" customHeight="1">
      <c r="AQ292" s="54"/>
    </row>
    <row r="293" ht="14.25" customHeight="1">
      <c r="AQ293" s="54"/>
    </row>
    <row r="294" ht="14.25" customHeight="1">
      <c r="AQ294" s="54"/>
    </row>
    <row r="295" ht="14.25" customHeight="1">
      <c r="AQ295" s="54"/>
    </row>
    <row r="296" ht="14.25" customHeight="1">
      <c r="AQ296" s="54"/>
    </row>
    <row r="297" ht="14.25" customHeight="1">
      <c r="AQ297" s="54"/>
    </row>
    <row r="298" ht="14.25" customHeight="1">
      <c r="AQ298" s="54"/>
    </row>
    <row r="299" ht="14.25" customHeight="1">
      <c r="AQ299" s="54"/>
    </row>
    <row r="300" ht="14.25" customHeight="1">
      <c r="AQ300" s="54"/>
    </row>
    <row r="301" ht="14.25" customHeight="1">
      <c r="AQ301" s="54"/>
    </row>
    <row r="302" ht="14.25" customHeight="1">
      <c r="AQ302" s="54"/>
    </row>
    <row r="303" ht="14.25" customHeight="1">
      <c r="AQ303" s="54"/>
    </row>
    <row r="304" ht="14.25" customHeight="1">
      <c r="AQ304" s="54"/>
    </row>
    <row r="305" ht="14.25" customHeight="1">
      <c r="AQ305" s="54"/>
    </row>
    <row r="306" ht="14.25" customHeight="1">
      <c r="AQ306" s="54"/>
    </row>
    <row r="307" ht="14.25" customHeight="1">
      <c r="AQ307" s="54"/>
    </row>
    <row r="308" ht="14.25" customHeight="1">
      <c r="AQ308" s="54"/>
    </row>
    <row r="309" ht="14.25" customHeight="1">
      <c r="AQ309" s="54"/>
    </row>
    <row r="310" ht="14.25" customHeight="1">
      <c r="AQ310" s="54"/>
    </row>
    <row r="311" ht="14.25" customHeight="1">
      <c r="AQ311" s="54"/>
    </row>
    <row r="312" ht="14.25" customHeight="1">
      <c r="AQ312" s="54"/>
    </row>
    <row r="313" ht="14.25" customHeight="1">
      <c r="AQ313" s="54"/>
    </row>
    <row r="314" ht="14.25" customHeight="1">
      <c r="AQ314" s="54"/>
    </row>
    <row r="315" ht="14.25" customHeight="1">
      <c r="AQ315" s="54"/>
    </row>
    <row r="316" ht="14.25" customHeight="1">
      <c r="AQ316" s="54"/>
    </row>
    <row r="317" ht="14.25" customHeight="1">
      <c r="AQ317" s="54"/>
    </row>
    <row r="318" ht="14.25" customHeight="1">
      <c r="AQ318" s="54"/>
    </row>
    <row r="319" ht="14.25" customHeight="1">
      <c r="AQ319" s="54"/>
    </row>
    <row r="320" ht="14.25" customHeight="1">
      <c r="AQ320" s="54"/>
    </row>
    <row r="321" ht="14.25" customHeight="1">
      <c r="AQ321" s="54"/>
    </row>
    <row r="322" ht="14.25" customHeight="1">
      <c r="AQ322" s="54"/>
    </row>
    <row r="323" ht="14.25" customHeight="1">
      <c r="AQ323" s="54"/>
    </row>
    <row r="324" ht="14.25" customHeight="1">
      <c r="AQ324" s="54"/>
    </row>
    <row r="325" ht="14.25" customHeight="1">
      <c r="AQ325" s="54"/>
    </row>
    <row r="326" ht="14.25" customHeight="1">
      <c r="AQ326" s="54"/>
    </row>
    <row r="327" ht="14.25" customHeight="1">
      <c r="AQ327" s="54"/>
    </row>
    <row r="328" ht="14.25" customHeight="1">
      <c r="AQ328" s="54"/>
    </row>
    <row r="329" ht="14.25" customHeight="1">
      <c r="AQ329" s="54"/>
    </row>
    <row r="330" ht="14.25" customHeight="1">
      <c r="AQ330" s="54"/>
    </row>
    <row r="331" ht="14.25" customHeight="1">
      <c r="AQ331" s="54"/>
    </row>
    <row r="332" ht="14.25" customHeight="1">
      <c r="AQ332" s="54"/>
    </row>
    <row r="333" ht="14.25" customHeight="1">
      <c r="AQ333" s="54"/>
    </row>
    <row r="334" ht="14.25" customHeight="1">
      <c r="AQ334" s="54"/>
    </row>
    <row r="335" ht="14.25" customHeight="1">
      <c r="AQ335" s="54"/>
    </row>
    <row r="336" ht="14.25" customHeight="1">
      <c r="AQ336" s="54"/>
    </row>
    <row r="337" ht="14.25" customHeight="1">
      <c r="AQ337" s="54"/>
    </row>
    <row r="338" ht="14.25" customHeight="1">
      <c r="AQ338" s="54"/>
    </row>
    <row r="339" ht="14.25" customHeight="1">
      <c r="AQ339" s="54"/>
    </row>
    <row r="340" ht="14.25" customHeight="1">
      <c r="AQ340" s="54"/>
    </row>
    <row r="341" ht="14.25" customHeight="1">
      <c r="AQ341" s="54"/>
    </row>
    <row r="342" ht="14.25" customHeight="1">
      <c r="AQ342" s="54"/>
    </row>
    <row r="343" ht="14.25" customHeight="1">
      <c r="AQ343" s="54"/>
    </row>
    <row r="344" ht="14.25" customHeight="1">
      <c r="AQ344" s="54"/>
    </row>
    <row r="345" ht="14.25" customHeight="1">
      <c r="AQ345" s="54"/>
    </row>
    <row r="346" ht="14.25" customHeight="1">
      <c r="AQ346" s="54"/>
    </row>
    <row r="347" ht="14.25" customHeight="1">
      <c r="AQ347" s="54"/>
    </row>
    <row r="348" ht="14.25" customHeight="1">
      <c r="AQ348" s="54"/>
    </row>
    <row r="349" ht="14.25" customHeight="1">
      <c r="AQ349" s="54"/>
    </row>
    <row r="350" ht="14.25" customHeight="1">
      <c r="AQ350" s="54"/>
    </row>
    <row r="351" ht="14.25" customHeight="1">
      <c r="AQ351" s="54"/>
    </row>
    <row r="352" ht="14.25" customHeight="1">
      <c r="AQ352" s="54"/>
    </row>
    <row r="353" ht="14.25" customHeight="1">
      <c r="AQ353" s="54"/>
    </row>
    <row r="354" ht="14.25" customHeight="1">
      <c r="AQ354" s="54"/>
    </row>
    <row r="355" ht="14.25" customHeight="1">
      <c r="AQ355" s="54"/>
    </row>
    <row r="356" ht="14.25" customHeight="1">
      <c r="AQ356" s="54"/>
    </row>
    <row r="357" ht="14.25" customHeight="1">
      <c r="AQ357" s="54"/>
    </row>
    <row r="358" ht="14.25" customHeight="1">
      <c r="AQ358" s="54"/>
    </row>
    <row r="359" ht="14.25" customHeight="1">
      <c r="AQ359" s="54"/>
    </row>
    <row r="360" ht="14.25" customHeight="1">
      <c r="AQ360" s="54"/>
    </row>
    <row r="361" ht="14.25" customHeight="1">
      <c r="AQ361" s="54"/>
    </row>
    <row r="362" ht="14.25" customHeight="1">
      <c r="AQ362" s="54"/>
    </row>
    <row r="363" ht="14.25" customHeight="1">
      <c r="AQ363" s="54"/>
    </row>
    <row r="364" ht="14.25" customHeight="1">
      <c r="AQ364" s="54"/>
    </row>
    <row r="365" ht="14.25" customHeight="1">
      <c r="AQ365" s="54"/>
    </row>
    <row r="366" ht="14.25" customHeight="1">
      <c r="AQ366" s="54"/>
    </row>
    <row r="367" ht="14.25" customHeight="1">
      <c r="AQ367" s="54"/>
    </row>
    <row r="368" ht="14.25" customHeight="1">
      <c r="AQ368" s="54"/>
    </row>
    <row r="369" ht="14.25" customHeight="1">
      <c r="AQ369" s="54"/>
    </row>
    <row r="370" ht="14.25" customHeight="1">
      <c r="AQ370" s="54"/>
    </row>
    <row r="371" ht="14.25" customHeight="1">
      <c r="AQ371" s="54"/>
    </row>
    <row r="372" ht="14.25" customHeight="1">
      <c r="AQ372" s="54"/>
    </row>
    <row r="373" ht="14.25" customHeight="1">
      <c r="AQ373" s="54"/>
    </row>
    <row r="374" ht="14.25" customHeight="1">
      <c r="AQ374" s="54"/>
    </row>
    <row r="375" ht="14.25" customHeight="1">
      <c r="AQ375" s="54"/>
    </row>
    <row r="376" ht="14.25" customHeight="1">
      <c r="AQ376" s="54"/>
    </row>
    <row r="377" ht="14.25" customHeight="1">
      <c r="AQ377" s="54"/>
    </row>
    <row r="378" ht="14.25" customHeight="1">
      <c r="AQ378" s="54"/>
    </row>
    <row r="379" ht="14.25" customHeight="1">
      <c r="AQ379" s="54"/>
    </row>
    <row r="380" ht="14.25" customHeight="1">
      <c r="AQ380" s="54"/>
    </row>
    <row r="381" ht="14.25" customHeight="1">
      <c r="AQ381" s="54"/>
    </row>
    <row r="382" ht="14.25" customHeight="1">
      <c r="AQ382" s="54"/>
    </row>
    <row r="383" ht="14.25" customHeight="1">
      <c r="AQ383" s="54"/>
    </row>
    <row r="384" ht="14.25" customHeight="1">
      <c r="AQ384" s="54"/>
    </row>
    <row r="385" ht="14.25" customHeight="1">
      <c r="AQ385" s="54"/>
    </row>
    <row r="386" ht="14.25" customHeight="1">
      <c r="AQ386" s="54"/>
    </row>
    <row r="387" ht="14.25" customHeight="1">
      <c r="AQ387" s="54"/>
    </row>
    <row r="388" ht="14.25" customHeight="1">
      <c r="AQ388" s="54"/>
    </row>
    <row r="389" ht="14.25" customHeight="1">
      <c r="AQ389" s="54"/>
    </row>
    <row r="390" ht="14.25" customHeight="1">
      <c r="AQ390" s="54"/>
    </row>
    <row r="391" ht="14.25" customHeight="1">
      <c r="AQ391" s="54"/>
    </row>
    <row r="392" ht="14.25" customHeight="1">
      <c r="AQ392" s="54"/>
    </row>
    <row r="393" ht="14.25" customHeight="1">
      <c r="AQ393" s="54"/>
    </row>
    <row r="394" ht="14.25" customHeight="1">
      <c r="AQ394" s="54"/>
    </row>
    <row r="395" ht="14.25" customHeight="1">
      <c r="AQ395" s="54"/>
    </row>
    <row r="396" ht="14.25" customHeight="1">
      <c r="AQ396" s="54"/>
    </row>
    <row r="397" ht="14.25" customHeight="1">
      <c r="AQ397" s="54"/>
    </row>
    <row r="398" ht="14.25" customHeight="1">
      <c r="AQ398" s="54"/>
    </row>
    <row r="399" ht="14.25" customHeight="1">
      <c r="AQ399" s="54"/>
    </row>
    <row r="400" ht="14.25" customHeight="1">
      <c r="AQ400" s="54"/>
    </row>
    <row r="401" ht="14.25" customHeight="1">
      <c r="AQ401" s="54"/>
    </row>
    <row r="402" ht="14.25" customHeight="1">
      <c r="AQ402" s="54"/>
    </row>
    <row r="403" ht="14.25" customHeight="1">
      <c r="AQ403" s="54"/>
    </row>
    <row r="404" ht="14.25" customHeight="1">
      <c r="AQ404" s="54"/>
    </row>
    <row r="405" ht="14.25" customHeight="1">
      <c r="AQ405" s="54"/>
    </row>
    <row r="406" ht="14.25" customHeight="1">
      <c r="AQ406" s="54"/>
    </row>
    <row r="407" ht="14.25" customHeight="1">
      <c r="AQ407" s="54"/>
    </row>
    <row r="408" ht="14.25" customHeight="1">
      <c r="AQ408" s="54"/>
    </row>
    <row r="409" ht="14.25" customHeight="1">
      <c r="AQ409" s="54"/>
    </row>
    <row r="410" ht="14.25" customHeight="1">
      <c r="AQ410" s="54"/>
    </row>
    <row r="411" ht="14.25" customHeight="1">
      <c r="AQ411" s="54"/>
    </row>
    <row r="412" ht="14.25" customHeight="1">
      <c r="AQ412" s="54"/>
    </row>
    <row r="413" ht="14.25" customHeight="1">
      <c r="AQ413" s="54"/>
    </row>
    <row r="414" ht="14.25" customHeight="1">
      <c r="AQ414" s="54"/>
    </row>
    <row r="415" ht="14.25" customHeight="1">
      <c r="AQ415" s="54"/>
    </row>
    <row r="416" ht="14.25" customHeight="1">
      <c r="AQ416" s="54"/>
    </row>
    <row r="417" ht="14.25" customHeight="1">
      <c r="AQ417" s="54"/>
    </row>
    <row r="418" ht="14.25" customHeight="1">
      <c r="AQ418" s="54"/>
    </row>
    <row r="419" ht="14.25" customHeight="1">
      <c r="AQ419" s="54"/>
    </row>
    <row r="420" ht="14.25" customHeight="1">
      <c r="AQ420" s="54"/>
    </row>
    <row r="421" ht="14.25" customHeight="1">
      <c r="AQ421" s="54"/>
    </row>
    <row r="422" ht="14.25" customHeight="1">
      <c r="AQ422" s="54"/>
    </row>
    <row r="423" ht="14.25" customHeight="1">
      <c r="AQ423" s="54"/>
    </row>
    <row r="424" ht="14.25" customHeight="1">
      <c r="AQ424" s="54"/>
    </row>
    <row r="425" ht="14.25" customHeight="1">
      <c r="AQ425" s="54"/>
    </row>
    <row r="426" ht="14.25" customHeight="1">
      <c r="AQ426" s="54"/>
    </row>
    <row r="427" ht="14.25" customHeight="1">
      <c r="AQ427" s="54"/>
    </row>
    <row r="428" ht="14.25" customHeight="1">
      <c r="AQ428" s="54"/>
    </row>
    <row r="429" ht="14.25" customHeight="1">
      <c r="AQ429" s="54"/>
    </row>
    <row r="430" ht="14.25" customHeight="1">
      <c r="AQ430" s="54"/>
    </row>
    <row r="431" ht="14.25" customHeight="1">
      <c r="AQ431" s="54"/>
    </row>
    <row r="432" ht="14.25" customHeight="1">
      <c r="AQ432" s="54"/>
    </row>
    <row r="433" ht="14.25" customHeight="1">
      <c r="AQ433" s="54"/>
    </row>
    <row r="434" ht="14.25" customHeight="1">
      <c r="AQ434" s="54"/>
    </row>
    <row r="435" ht="14.25" customHeight="1">
      <c r="AQ435" s="54"/>
    </row>
    <row r="436" ht="14.25" customHeight="1">
      <c r="AQ436" s="54"/>
    </row>
    <row r="437" ht="14.25" customHeight="1">
      <c r="AQ437" s="54"/>
    </row>
    <row r="438" ht="14.25" customHeight="1">
      <c r="AQ438" s="54"/>
    </row>
    <row r="439" ht="14.25" customHeight="1">
      <c r="AQ439" s="54"/>
    </row>
    <row r="440" ht="14.25" customHeight="1">
      <c r="AQ440" s="54"/>
    </row>
    <row r="441" ht="14.25" customHeight="1">
      <c r="AQ441" s="54"/>
    </row>
    <row r="442" ht="14.25" customHeight="1">
      <c r="AQ442" s="54"/>
    </row>
    <row r="443" ht="14.25" customHeight="1">
      <c r="AQ443" s="54"/>
    </row>
    <row r="444" ht="14.25" customHeight="1">
      <c r="AQ444" s="54"/>
    </row>
    <row r="445" ht="14.25" customHeight="1">
      <c r="AQ445" s="54"/>
    </row>
    <row r="446" ht="14.25" customHeight="1">
      <c r="AQ446" s="54"/>
    </row>
    <row r="447" ht="14.25" customHeight="1">
      <c r="AQ447" s="54"/>
    </row>
    <row r="448" ht="14.25" customHeight="1">
      <c r="AQ448" s="54"/>
    </row>
    <row r="449" ht="14.25" customHeight="1">
      <c r="AQ449" s="54"/>
    </row>
    <row r="450" ht="14.25" customHeight="1">
      <c r="AQ450" s="54"/>
    </row>
    <row r="451" ht="14.25" customHeight="1">
      <c r="AQ451" s="54"/>
    </row>
    <row r="452" ht="14.25" customHeight="1">
      <c r="AQ452" s="54"/>
    </row>
    <row r="453" ht="14.25" customHeight="1">
      <c r="AQ453" s="54"/>
    </row>
    <row r="454" ht="14.25" customHeight="1">
      <c r="AQ454" s="54"/>
    </row>
    <row r="455" ht="14.25" customHeight="1">
      <c r="AQ455" s="54"/>
    </row>
    <row r="456" ht="14.25" customHeight="1">
      <c r="AQ456" s="54"/>
    </row>
    <row r="457" ht="14.25" customHeight="1">
      <c r="AQ457" s="54"/>
    </row>
    <row r="458" ht="14.25" customHeight="1">
      <c r="AQ458" s="54"/>
    </row>
    <row r="459" ht="14.25" customHeight="1">
      <c r="AQ459" s="54"/>
    </row>
    <row r="460" ht="14.25" customHeight="1">
      <c r="AQ460" s="54"/>
    </row>
    <row r="461" ht="14.25" customHeight="1">
      <c r="AQ461" s="54"/>
    </row>
    <row r="462" ht="14.25" customHeight="1">
      <c r="AQ462" s="54"/>
    </row>
    <row r="463" ht="14.25" customHeight="1">
      <c r="AQ463" s="54"/>
    </row>
    <row r="464" ht="14.25" customHeight="1">
      <c r="AQ464" s="54"/>
    </row>
    <row r="465" ht="14.25" customHeight="1">
      <c r="AQ465" s="54"/>
    </row>
    <row r="466" ht="14.25" customHeight="1">
      <c r="AQ466" s="54"/>
    </row>
    <row r="467" ht="14.25" customHeight="1">
      <c r="AQ467" s="54"/>
    </row>
    <row r="468" ht="14.25" customHeight="1">
      <c r="AQ468" s="54"/>
    </row>
    <row r="469" ht="14.25" customHeight="1">
      <c r="AQ469" s="54"/>
    </row>
    <row r="470" ht="14.25" customHeight="1">
      <c r="AQ470" s="54"/>
    </row>
    <row r="471" ht="14.25" customHeight="1">
      <c r="AQ471" s="54"/>
    </row>
    <row r="472" ht="14.25" customHeight="1">
      <c r="AQ472" s="54"/>
    </row>
    <row r="473" ht="14.25" customHeight="1">
      <c r="AQ473" s="54"/>
    </row>
    <row r="474" ht="14.25" customHeight="1">
      <c r="AQ474" s="54"/>
    </row>
    <row r="475" ht="14.25" customHeight="1">
      <c r="AQ475" s="54"/>
    </row>
    <row r="476" ht="14.25" customHeight="1">
      <c r="AQ476" s="54"/>
    </row>
    <row r="477" ht="14.25" customHeight="1">
      <c r="AQ477" s="54"/>
    </row>
    <row r="478" ht="14.25" customHeight="1">
      <c r="AQ478" s="54"/>
    </row>
    <row r="479" ht="14.25" customHeight="1">
      <c r="AQ479" s="54"/>
    </row>
    <row r="480" ht="14.25" customHeight="1">
      <c r="AQ480" s="54"/>
    </row>
    <row r="481" ht="14.25" customHeight="1">
      <c r="AQ481" s="54"/>
    </row>
    <row r="482" ht="14.25" customHeight="1">
      <c r="AQ482" s="54"/>
    </row>
    <row r="483" ht="14.25" customHeight="1">
      <c r="AQ483" s="54"/>
    </row>
    <row r="484" ht="14.25" customHeight="1">
      <c r="AQ484" s="54"/>
    </row>
    <row r="485" ht="14.25" customHeight="1">
      <c r="AQ485" s="54"/>
    </row>
    <row r="486" ht="14.25" customHeight="1">
      <c r="AQ486" s="54"/>
    </row>
    <row r="487" ht="14.25" customHeight="1">
      <c r="AQ487" s="54"/>
    </row>
    <row r="488" ht="14.25" customHeight="1">
      <c r="AQ488" s="54"/>
    </row>
    <row r="489" ht="14.25" customHeight="1">
      <c r="AQ489" s="54"/>
    </row>
    <row r="490" ht="14.25" customHeight="1">
      <c r="AQ490" s="54"/>
    </row>
    <row r="491" ht="14.25" customHeight="1">
      <c r="AQ491" s="54"/>
    </row>
    <row r="492" ht="14.25" customHeight="1">
      <c r="AQ492" s="54"/>
    </row>
    <row r="493" ht="14.25" customHeight="1">
      <c r="AQ493" s="54"/>
    </row>
    <row r="494" ht="14.25" customHeight="1">
      <c r="AQ494" s="54"/>
    </row>
    <row r="495" ht="14.25" customHeight="1">
      <c r="AQ495" s="54"/>
    </row>
    <row r="496" ht="14.25" customHeight="1">
      <c r="AQ496" s="54"/>
    </row>
    <row r="497" ht="14.25" customHeight="1">
      <c r="AQ497" s="54"/>
    </row>
    <row r="498" ht="14.25" customHeight="1">
      <c r="AQ498" s="54"/>
    </row>
    <row r="499" ht="14.25" customHeight="1">
      <c r="AQ499" s="54"/>
    </row>
    <row r="500" ht="14.25" customHeight="1">
      <c r="AQ500" s="54"/>
    </row>
    <row r="501" ht="14.25" customHeight="1">
      <c r="AQ501" s="54"/>
    </row>
    <row r="502" ht="14.25" customHeight="1">
      <c r="AQ502" s="54"/>
    </row>
    <row r="503" ht="14.25" customHeight="1">
      <c r="AQ503" s="54"/>
    </row>
    <row r="504" ht="14.25" customHeight="1">
      <c r="AQ504" s="54"/>
    </row>
    <row r="505" ht="14.25" customHeight="1">
      <c r="AQ505" s="54"/>
    </row>
    <row r="506" ht="14.25" customHeight="1">
      <c r="AQ506" s="54"/>
    </row>
    <row r="507" ht="14.25" customHeight="1">
      <c r="AQ507" s="54"/>
    </row>
    <row r="508" ht="14.25" customHeight="1">
      <c r="AQ508" s="54"/>
    </row>
    <row r="509" ht="14.25" customHeight="1">
      <c r="AQ509" s="54"/>
    </row>
    <row r="510" ht="14.25" customHeight="1">
      <c r="AQ510" s="54"/>
    </row>
    <row r="511" ht="14.25" customHeight="1">
      <c r="AQ511" s="54"/>
    </row>
    <row r="512" ht="14.25" customHeight="1">
      <c r="AQ512" s="54"/>
    </row>
    <row r="513" ht="14.25" customHeight="1">
      <c r="AQ513" s="54"/>
    </row>
    <row r="514" ht="14.25" customHeight="1">
      <c r="AQ514" s="54"/>
    </row>
    <row r="515" ht="14.25" customHeight="1">
      <c r="AQ515" s="54"/>
    </row>
    <row r="516" ht="14.25" customHeight="1">
      <c r="AQ516" s="54"/>
    </row>
    <row r="517" ht="14.25" customHeight="1">
      <c r="AQ517" s="54"/>
    </row>
    <row r="518" ht="14.25" customHeight="1">
      <c r="AQ518" s="54"/>
    </row>
    <row r="519" ht="14.25" customHeight="1">
      <c r="AQ519" s="54"/>
    </row>
    <row r="520" ht="14.25" customHeight="1">
      <c r="AQ520" s="54"/>
    </row>
    <row r="521" ht="14.25" customHeight="1">
      <c r="AQ521" s="54"/>
    </row>
    <row r="522" ht="14.25" customHeight="1">
      <c r="AQ522" s="54"/>
    </row>
    <row r="523" ht="14.25" customHeight="1">
      <c r="AQ523" s="54"/>
    </row>
    <row r="524" ht="14.25" customHeight="1">
      <c r="AQ524" s="54"/>
    </row>
    <row r="525" ht="14.25" customHeight="1">
      <c r="AQ525" s="54"/>
    </row>
    <row r="526" ht="14.25" customHeight="1">
      <c r="AQ526" s="54"/>
    </row>
    <row r="527" ht="14.25" customHeight="1">
      <c r="AQ527" s="54"/>
    </row>
    <row r="528" ht="14.25" customHeight="1">
      <c r="AQ528" s="54"/>
    </row>
    <row r="529" ht="14.25" customHeight="1">
      <c r="AQ529" s="54"/>
    </row>
    <row r="530" ht="14.25" customHeight="1">
      <c r="AQ530" s="54"/>
    </row>
    <row r="531" ht="14.25" customHeight="1">
      <c r="AQ531" s="54"/>
    </row>
    <row r="532" ht="14.25" customHeight="1">
      <c r="AQ532" s="54"/>
    </row>
    <row r="533" ht="14.25" customHeight="1">
      <c r="AQ533" s="54"/>
    </row>
    <row r="534" ht="14.25" customHeight="1">
      <c r="AQ534" s="54"/>
    </row>
    <row r="535" ht="14.25" customHeight="1">
      <c r="AQ535" s="54"/>
    </row>
    <row r="536" ht="14.25" customHeight="1">
      <c r="AQ536" s="54"/>
    </row>
    <row r="537" ht="14.25" customHeight="1">
      <c r="AQ537" s="54"/>
    </row>
    <row r="538" ht="14.25" customHeight="1">
      <c r="AQ538" s="54"/>
    </row>
    <row r="539" ht="14.25" customHeight="1">
      <c r="AQ539" s="54"/>
    </row>
    <row r="540" ht="14.25" customHeight="1">
      <c r="AQ540" s="54"/>
    </row>
    <row r="541" ht="14.25" customHeight="1">
      <c r="AQ541" s="54"/>
    </row>
    <row r="542" ht="14.25" customHeight="1">
      <c r="AQ542" s="54"/>
    </row>
    <row r="543" ht="14.25" customHeight="1">
      <c r="AQ543" s="54"/>
    </row>
    <row r="544" ht="14.25" customHeight="1">
      <c r="AQ544" s="54"/>
    </row>
    <row r="545" ht="14.25" customHeight="1">
      <c r="AQ545" s="54"/>
    </row>
    <row r="546" ht="14.25" customHeight="1">
      <c r="AQ546" s="54"/>
    </row>
    <row r="547" ht="14.25" customHeight="1">
      <c r="AQ547" s="54"/>
    </row>
    <row r="548" ht="14.25" customHeight="1">
      <c r="AQ548" s="54"/>
    </row>
    <row r="549" ht="14.25" customHeight="1">
      <c r="AQ549" s="54"/>
    </row>
    <row r="550" ht="14.25" customHeight="1">
      <c r="AQ550" s="54"/>
    </row>
    <row r="551" ht="14.25" customHeight="1">
      <c r="AQ551" s="54"/>
    </row>
    <row r="552" ht="14.25" customHeight="1">
      <c r="AQ552" s="54"/>
    </row>
    <row r="553" ht="14.25" customHeight="1">
      <c r="AQ553" s="54"/>
    </row>
    <row r="554" ht="14.25" customHeight="1">
      <c r="AQ554" s="54"/>
    </row>
    <row r="555" ht="14.25" customHeight="1">
      <c r="AQ555" s="54"/>
    </row>
    <row r="556" ht="14.25" customHeight="1">
      <c r="AQ556" s="54"/>
    </row>
    <row r="557" ht="14.25" customHeight="1">
      <c r="AQ557" s="54"/>
    </row>
    <row r="558" ht="14.25" customHeight="1">
      <c r="AQ558" s="54"/>
    </row>
    <row r="559" ht="14.25" customHeight="1">
      <c r="AQ559" s="54"/>
    </row>
    <row r="560" ht="14.25" customHeight="1">
      <c r="AQ560" s="54"/>
    </row>
    <row r="561" ht="14.25" customHeight="1">
      <c r="AQ561" s="54"/>
    </row>
    <row r="562" ht="14.25" customHeight="1">
      <c r="AQ562" s="54"/>
    </row>
    <row r="563" ht="14.25" customHeight="1">
      <c r="AQ563" s="54"/>
    </row>
    <row r="564" ht="14.25" customHeight="1">
      <c r="AQ564" s="54"/>
    </row>
    <row r="565" ht="14.25" customHeight="1">
      <c r="AQ565" s="54"/>
    </row>
    <row r="566" ht="14.25" customHeight="1">
      <c r="AQ566" s="54"/>
    </row>
    <row r="567" ht="14.25" customHeight="1">
      <c r="AQ567" s="54"/>
    </row>
    <row r="568" ht="14.25" customHeight="1">
      <c r="AQ568" s="54"/>
    </row>
    <row r="569" ht="14.25" customHeight="1">
      <c r="AQ569" s="54"/>
    </row>
    <row r="570" ht="14.25" customHeight="1">
      <c r="AQ570" s="54"/>
    </row>
    <row r="571" ht="14.25" customHeight="1">
      <c r="AQ571" s="54"/>
    </row>
    <row r="572" ht="14.25" customHeight="1">
      <c r="AQ572" s="54"/>
    </row>
    <row r="573" ht="14.25" customHeight="1">
      <c r="AQ573" s="54"/>
    </row>
    <row r="574" ht="14.25" customHeight="1">
      <c r="AQ574" s="54"/>
    </row>
    <row r="575" ht="14.25" customHeight="1">
      <c r="AQ575" s="54"/>
    </row>
    <row r="576" ht="14.25" customHeight="1">
      <c r="AQ576" s="54"/>
    </row>
    <row r="577" ht="14.25" customHeight="1">
      <c r="AQ577" s="54"/>
    </row>
    <row r="578" ht="14.25" customHeight="1">
      <c r="AQ578" s="54"/>
    </row>
    <row r="579" ht="14.25" customHeight="1">
      <c r="AQ579" s="54"/>
    </row>
    <row r="580" ht="14.25" customHeight="1">
      <c r="AQ580" s="54"/>
    </row>
    <row r="581" ht="14.25" customHeight="1">
      <c r="AQ581" s="54"/>
    </row>
    <row r="582" ht="14.25" customHeight="1">
      <c r="AQ582" s="54"/>
    </row>
    <row r="583" ht="14.25" customHeight="1">
      <c r="AQ583" s="54"/>
    </row>
    <row r="584" ht="14.25" customHeight="1">
      <c r="AQ584" s="54"/>
    </row>
    <row r="585" ht="14.25" customHeight="1">
      <c r="AQ585" s="54"/>
    </row>
    <row r="586" ht="14.25" customHeight="1">
      <c r="AQ586" s="54"/>
    </row>
    <row r="587" ht="14.25" customHeight="1">
      <c r="AQ587" s="54"/>
    </row>
    <row r="588" ht="14.25" customHeight="1">
      <c r="AQ588" s="54"/>
    </row>
    <row r="589" ht="14.25" customHeight="1">
      <c r="AQ589" s="54"/>
    </row>
    <row r="590" ht="14.25" customHeight="1">
      <c r="AQ590" s="54"/>
    </row>
    <row r="591" ht="14.25" customHeight="1">
      <c r="AQ591" s="54"/>
    </row>
    <row r="592" ht="14.25" customHeight="1">
      <c r="AQ592" s="54"/>
    </row>
    <row r="593" ht="14.25" customHeight="1">
      <c r="AQ593" s="54"/>
    </row>
    <row r="594" ht="14.25" customHeight="1">
      <c r="AQ594" s="54"/>
    </row>
    <row r="595" ht="14.25" customHeight="1">
      <c r="AQ595" s="54"/>
    </row>
    <row r="596" ht="14.25" customHeight="1">
      <c r="AQ596" s="54"/>
    </row>
    <row r="597" ht="14.25" customHeight="1">
      <c r="AQ597" s="54"/>
    </row>
    <row r="598" ht="14.25" customHeight="1">
      <c r="AQ598" s="54"/>
    </row>
    <row r="599" ht="14.25" customHeight="1">
      <c r="AQ599" s="54"/>
    </row>
    <row r="600" ht="14.25" customHeight="1">
      <c r="AQ600" s="54"/>
    </row>
    <row r="601" ht="14.25" customHeight="1">
      <c r="AQ601" s="54"/>
    </row>
    <row r="602" ht="14.25" customHeight="1">
      <c r="AQ602" s="54"/>
    </row>
    <row r="603" ht="14.25" customHeight="1">
      <c r="AQ603" s="54"/>
    </row>
    <row r="604" ht="14.25" customHeight="1">
      <c r="AQ604" s="54"/>
    </row>
    <row r="605" ht="14.25" customHeight="1">
      <c r="AQ605" s="54"/>
    </row>
    <row r="606" ht="14.25" customHeight="1">
      <c r="AQ606" s="54"/>
    </row>
    <row r="607" ht="14.25" customHeight="1">
      <c r="AQ607" s="54"/>
    </row>
    <row r="608" ht="14.25" customHeight="1">
      <c r="AQ608" s="54"/>
    </row>
    <row r="609" ht="14.25" customHeight="1">
      <c r="AQ609" s="54"/>
    </row>
    <row r="610" ht="14.25" customHeight="1">
      <c r="AQ610" s="54"/>
    </row>
    <row r="611" ht="14.25" customHeight="1">
      <c r="AQ611" s="54"/>
    </row>
    <row r="612" ht="14.25" customHeight="1">
      <c r="AQ612" s="54"/>
    </row>
    <row r="613" ht="14.25" customHeight="1">
      <c r="AQ613" s="54"/>
    </row>
    <row r="614" ht="14.25" customHeight="1">
      <c r="AQ614" s="54"/>
    </row>
    <row r="615" ht="14.25" customHeight="1">
      <c r="AQ615" s="54"/>
    </row>
    <row r="616" ht="14.25" customHeight="1">
      <c r="AQ616" s="54"/>
    </row>
    <row r="617" ht="14.25" customHeight="1">
      <c r="AQ617" s="54"/>
    </row>
    <row r="618" ht="14.25" customHeight="1">
      <c r="AQ618" s="54"/>
    </row>
    <row r="619" ht="14.25" customHeight="1">
      <c r="AQ619" s="54"/>
    </row>
    <row r="620" ht="14.25" customHeight="1">
      <c r="AQ620" s="54"/>
    </row>
    <row r="621" ht="14.25" customHeight="1">
      <c r="AQ621" s="54"/>
    </row>
    <row r="622" ht="14.25" customHeight="1">
      <c r="AQ622" s="54"/>
    </row>
    <row r="623" ht="14.25" customHeight="1">
      <c r="AQ623" s="54"/>
    </row>
    <row r="624" ht="14.25" customHeight="1">
      <c r="AQ624" s="54"/>
    </row>
    <row r="625" ht="14.25" customHeight="1">
      <c r="AQ625" s="54"/>
    </row>
    <row r="626" ht="14.25" customHeight="1">
      <c r="AQ626" s="54"/>
    </row>
    <row r="627" ht="14.25" customHeight="1">
      <c r="AQ627" s="54"/>
    </row>
    <row r="628" ht="14.25" customHeight="1">
      <c r="AQ628" s="54"/>
    </row>
    <row r="629" ht="14.25" customHeight="1">
      <c r="AQ629" s="54"/>
    </row>
    <row r="630" ht="14.25" customHeight="1">
      <c r="AQ630" s="54"/>
    </row>
    <row r="631" ht="14.25" customHeight="1">
      <c r="AQ631" s="54"/>
    </row>
    <row r="632" ht="14.25" customHeight="1">
      <c r="AQ632" s="54"/>
    </row>
    <row r="633" ht="14.25" customHeight="1">
      <c r="AQ633" s="54"/>
    </row>
    <row r="634" ht="14.25" customHeight="1">
      <c r="AQ634" s="54"/>
    </row>
    <row r="635" ht="14.25" customHeight="1">
      <c r="AQ635" s="54"/>
    </row>
    <row r="636" ht="14.25" customHeight="1">
      <c r="AQ636" s="54"/>
    </row>
    <row r="637" ht="14.25" customHeight="1">
      <c r="AQ637" s="54"/>
    </row>
    <row r="638" ht="14.25" customHeight="1">
      <c r="AQ638" s="54"/>
    </row>
    <row r="639" ht="14.25" customHeight="1">
      <c r="AQ639" s="54"/>
    </row>
    <row r="640" ht="14.25" customHeight="1">
      <c r="AQ640" s="54"/>
    </row>
    <row r="641" ht="14.25" customHeight="1">
      <c r="AQ641" s="54"/>
    </row>
    <row r="642" ht="14.25" customHeight="1">
      <c r="AQ642" s="54"/>
    </row>
    <row r="643" ht="14.25" customHeight="1">
      <c r="AQ643" s="54"/>
    </row>
    <row r="644" ht="14.25" customHeight="1">
      <c r="AQ644" s="54"/>
    </row>
    <row r="645" ht="14.25" customHeight="1">
      <c r="AQ645" s="54"/>
    </row>
    <row r="646" ht="14.25" customHeight="1">
      <c r="AQ646" s="54"/>
    </row>
    <row r="647" ht="14.25" customHeight="1">
      <c r="AQ647" s="54"/>
    </row>
    <row r="648" ht="14.25" customHeight="1">
      <c r="AQ648" s="54"/>
    </row>
    <row r="649" ht="14.25" customHeight="1">
      <c r="AQ649" s="54"/>
    </row>
    <row r="650" ht="14.25" customHeight="1">
      <c r="AQ650" s="54"/>
    </row>
    <row r="651" ht="14.25" customHeight="1">
      <c r="AQ651" s="54"/>
    </row>
    <row r="652" ht="14.25" customHeight="1">
      <c r="AQ652" s="54"/>
    </row>
    <row r="653" ht="14.25" customHeight="1">
      <c r="AQ653" s="54"/>
    </row>
    <row r="654" ht="14.25" customHeight="1">
      <c r="AQ654" s="54"/>
    </row>
    <row r="655" ht="14.25" customHeight="1">
      <c r="AQ655" s="54"/>
    </row>
    <row r="656" ht="14.25" customHeight="1">
      <c r="AQ656" s="54"/>
    </row>
    <row r="657" ht="14.25" customHeight="1">
      <c r="AQ657" s="54"/>
    </row>
    <row r="658" ht="14.25" customHeight="1">
      <c r="AQ658" s="54"/>
    </row>
    <row r="659" ht="14.25" customHeight="1">
      <c r="AQ659" s="54"/>
    </row>
    <row r="660" ht="14.25" customHeight="1">
      <c r="AQ660" s="54"/>
    </row>
    <row r="661" ht="14.25" customHeight="1">
      <c r="AQ661" s="54"/>
    </row>
    <row r="662" ht="14.25" customHeight="1">
      <c r="AQ662" s="54"/>
    </row>
    <row r="663" ht="14.25" customHeight="1">
      <c r="AQ663" s="54"/>
    </row>
    <row r="664" ht="14.25" customHeight="1">
      <c r="AQ664" s="54"/>
    </row>
    <row r="665" ht="14.25" customHeight="1">
      <c r="AQ665" s="54"/>
    </row>
    <row r="666" ht="14.25" customHeight="1">
      <c r="AQ666" s="54"/>
    </row>
    <row r="667" ht="14.25" customHeight="1">
      <c r="AQ667" s="54"/>
    </row>
    <row r="668" ht="14.25" customHeight="1">
      <c r="AQ668" s="54"/>
    </row>
    <row r="669" ht="14.25" customHeight="1">
      <c r="AQ669" s="54"/>
    </row>
    <row r="670" ht="14.25" customHeight="1">
      <c r="AQ670" s="54"/>
    </row>
    <row r="671" ht="14.25" customHeight="1">
      <c r="AQ671" s="54"/>
    </row>
    <row r="672" ht="14.25" customHeight="1">
      <c r="AQ672" s="54"/>
    </row>
    <row r="673" ht="14.25" customHeight="1">
      <c r="AQ673" s="54"/>
    </row>
    <row r="674" ht="14.25" customHeight="1">
      <c r="AQ674" s="54"/>
    </row>
    <row r="675" ht="14.25" customHeight="1">
      <c r="AQ675" s="54"/>
    </row>
    <row r="676" ht="14.25" customHeight="1">
      <c r="AQ676" s="54"/>
    </row>
    <row r="677" ht="14.25" customHeight="1">
      <c r="AQ677" s="54"/>
    </row>
    <row r="678" ht="14.25" customHeight="1">
      <c r="AQ678" s="54"/>
    </row>
    <row r="679" ht="14.25" customHeight="1">
      <c r="AQ679" s="54"/>
    </row>
    <row r="680" ht="14.25" customHeight="1">
      <c r="AQ680" s="54"/>
    </row>
    <row r="681" ht="14.25" customHeight="1">
      <c r="AQ681" s="54"/>
    </row>
    <row r="682" ht="14.25" customHeight="1">
      <c r="AQ682" s="54"/>
    </row>
    <row r="683" ht="14.25" customHeight="1">
      <c r="AQ683" s="54"/>
    </row>
    <row r="684" ht="14.25" customHeight="1">
      <c r="AQ684" s="54"/>
    </row>
    <row r="685" ht="14.25" customHeight="1">
      <c r="AQ685" s="54"/>
    </row>
    <row r="686" ht="14.25" customHeight="1">
      <c r="AQ686" s="54"/>
    </row>
    <row r="687" ht="14.25" customHeight="1">
      <c r="AQ687" s="54"/>
    </row>
    <row r="688" ht="14.25" customHeight="1">
      <c r="AQ688" s="54"/>
    </row>
    <row r="689" ht="14.25" customHeight="1">
      <c r="AQ689" s="54"/>
    </row>
    <row r="690" ht="14.25" customHeight="1">
      <c r="AQ690" s="54"/>
    </row>
    <row r="691" ht="14.25" customHeight="1">
      <c r="AQ691" s="54"/>
    </row>
    <row r="692" ht="14.25" customHeight="1">
      <c r="AQ692" s="54"/>
    </row>
    <row r="693" ht="14.25" customHeight="1">
      <c r="AQ693" s="54"/>
    </row>
    <row r="694" ht="14.25" customHeight="1">
      <c r="AQ694" s="54"/>
    </row>
    <row r="695" ht="14.25" customHeight="1">
      <c r="AQ695" s="54"/>
    </row>
    <row r="696" ht="14.25" customHeight="1">
      <c r="AQ696" s="54"/>
    </row>
    <row r="697" ht="14.25" customHeight="1">
      <c r="AQ697" s="54"/>
    </row>
    <row r="698" ht="14.25" customHeight="1">
      <c r="AQ698" s="54"/>
    </row>
    <row r="699" ht="14.25" customHeight="1">
      <c r="AQ699" s="54"/>
    </row>
    <row r="700" ht="14.25" customHeight="1">
      <c r="AQ700" s="54"/>
    </row>
    <row r="701" ht="14.25" customHeight="1">
      <c r="AQ701" s="54"/>
    </row>
    <row r="702" ht="14.25" customHeight="1">
      <c r="AQ702" s="54"/>
    </row>
    <row r="703" ht="14.25" customHeight="1">
      <c r="AQ703" s="54"/>
    </row>
    <row r="704" ht="14.25" customHeight="1">
      <c r="AQ704" s="54"/>
    </row>
    <row r="705" ht="14.25" customHeight="1">
      <c r="AQ705" s="54"/>
    </row>
    <row r="706" ht="14.25" customHeight="1">
      <c r="AQ706" s="54"/>
    </row>
    <row r="707" ht="14.25" customHeight="1">
      <c r="AQ707" s="54"/>
    </row>
    <row r="708" ht="14.25" customHeight="1">
      <c r="AQ708" s="54"/>
    </row>
    <row r="709" ht="14.25" customHeight="1">
      <c r="AQ709" s="54"/>
    </row>
    <row r="710" ht="14.25" customHeight="1">
      <c r="AQ710" s="54"/>
    </row>
    <row r="711" ht="14.25" customHeight="1">
      <c r="AQ711" s="54"/>
    </row>
    <row r="712" ht="14.25" customHeight="1">
      <c r="AQ712" s="54"/>
    </row>
    <row r="713" ht="14.25" customHeight="1">
      <c r="AQ713" s="54"/>
    </row>
    <row r="714" ht="14.25" customHeight="1">
      <c r="AQ714" s="54"/>
    </row>
    <row r="715" ht="14.25" customHeight="1">
      <c r="AQ715" s="54"/>
    </row>
    <row r="716" ht="14.25" customHeight="1">
      <c r="AQ716" s="54"/>
    </row>
    <row r="717" ht="14.25" customHeight="1">
      <c r="AQ717" s="54"/>
    </row>
    <row r="718" ht="14.25" customHeight="1">
      <c r="AQ718" s="54"/>
    </row>
    <row r="719" ht="14.25" customHeight="1">
      <c r="AQ719" s="54"/>
    </row>
    <row r="720" ht="14.25" customHeight="1">
      <c r="AQ720" s="54"/>
    </row>
    <row r="721" ht="14.25" customHeight="1">
      <c r="AQ721" s="54"/>
    </row>
    <row r="722" ht="14.25" customHeight="1">
      <c r="AQ722" s="54"/>
    </row>
    <row r="723" ht="14.25" customHeight="1">
      <c r="AQ723" s="54"/>
    </row>
    <row r="724" ht="14.25" customHeight="1">
      <c r="AQ724" s="54"/>
    </row>
    <row r="725" ht="14.25" customHeight="1">
      <c r="AQ725" s="54"/>
    </row>
    <row r="726" ht="14.25" customHeight="1">
      <c r="AQ726" s="54"/>
    </row>
    <row r="727" ht="14.25" customHeight="1">
      <c r="AQ727" s="54"/>
    </row>
    <row r="728" ht="14.25" customHeight="1">
      <c r="AQ728" s="54"/>
    </row>
    <row r="729" ht="14.25" customHeight="1">
      <c r="AQ729" s="54"/>
    </row>
    <row r="730" ht="14.25" customHeight="1">
      <c r="AQ730" s="54"/>
    </row>
    <row r="731" ht="14.25" customHeight="1">
      <c r="AQ731" s="54"/>
    </row>
    <row r="732" ht="14.25" customHeight="1">
      <c r="AQ732" s="54"/>
    </row>
    <row r="733" ht="14.25" customHeight="1">
      <c r="AQ733" s="54"/>
    </row>
    <row r="734" ht="14.25" customHeight="1">
      <c r="AQ734" s="54"/>
    </row>
    <row r="735" ht="14.25" customHeight="1">
      <c r="AQ735" s="54"/>
    </row>
    <row r="736" ht="14.25" customHeight="1">
      <c r="AQ736" s="54"/>
    </row>
    <row r="737" ht="14.25" customHeight="1">
      <c r="AQ737" s="54"/>
    </row>
    <row r="738" ht="14.25" customHeight="1">
      <c r="AQ738" s="54"/>
    </row>
    <row r="739" ht="14.25" customHeight="1">
      <c r="AQ739" s="54"/>
    </row>
    <row r="740" ht="14.25" customHeight="1">
      <c r="AQ740" s="54"/>
    </row>
    <row r="741" ht="14.25" customHeight="1">
      <c r="AQ741" s="54"/>
    </row>
    <row r="742" ht="14.25" customHeight="1">
      <c r="AQ742" s="54"/>
    </row>
    <row r="743" ht="14.25" customHeight="1">
      <c r="AQ743" s="54"/>
    </row>
    <row r="744" ht="14.25" customHeight="1">
      <c r="AQ744" s="54"/>
    </row>
    <row r="745" ht="14.25" customHeight="1">
      <c r="AQ745" s="54"/>
    </row>
    <row r="746" ht="14.25" customHeight="1">
      <c r="AQ746" s="54"/>
    </row>
    <row r="747" ht="14.25" customHeight="1">
      <c r="AQ747" s="54"/>
    </row>
    <row r="748" ht="14.25" customHeight="1">
      <c r="AQ748" s="54"/>
    </row>
    <row r="749" ht="14.25" customHeight="1">
      <c r="AQ749" s="54"/>
    </row>
    <row r="750" ht="14.25" customHeight="1">
      <c r="AQ750" s="54"/>
    </row>
    <row r="751" ht="14.25" customHeight="1">
      <c r="AQ751" s="54"/>
    </row>
    <row r="752" ht="14.25" customHeight="1">
      <c r="AQ752" s="54"/>
    </row>
    <row r="753" ht="14.25" customHeight="1">
      <c r="AQ753" s="54"/>
    </row>
    <row r="754" ht="14.25" customHeight="1">
      <c r="AQ754" s="54"/>
    </row>
    <row r="755" ht="14.25" customHeight="1">
      <c r="AQ755" s="54"/>
    </row>
    <row r="756" ht="14.25" customHeight="1">
      <c r="AQ756" s="54"/>
    </row>
    <row r="757" ht="14.25" customHeight="1">
      <c r="AQ757" s="54"/>
    </row>
    <row r="758" ht="14.25" customHeight="1">
      <c r="AQ758" s="54"/>
    </row>
    <row r="759" ht="14.25" customHeight="1">
      <c r="AQ759" s="54"/>
    </row>
    <row r="760" ht="14.25" customHeight="1">
      <c r="AQ760" s="54"/>
    </row>
    <row r="761" ht="14.25" customHeight="1">
      <c r="AQ761" s="54"/>
    </row>
    <row r="762" ht="14.25" customHeight="1">
      <c r="AQ762" s="54"/>
    </row>
    <row r="763" ht="14.25" customHeight="1">
      <c r="AQ763" s="54"/>
    </row>
    <row r="764" ht="14.25" customHeight="1">
      <c r="AQ764" s="54"/>
    </row>
    <row r="765" ht="14.25" customHeight="1">
      <c r="AQ765" s="54"/>
    </row>
    <row r="766" ht="14.25" customHeight="1">
      <c r="AQ766" s="54"/>
    </row>
    <row r="767" ht="14.25" customHeight="1">
      <c r="AQ767" s="54"/>
    </row>
    <row r="768" ht="14.25" customHeight="1">
      <c r="AQ768" s="54"/>
    </row>
    <row r="769" ht="14.25" customHeight="1">
      <c r="AQ769" s="54"/>
    </row>
    <row r="770" ht="14.25" customHeight="1">
      <c r="AQ770" s="54"/>
    </row>
    <row r="771" ht="14.25" customHeight="1">
      <c r="AQ771" s="54"/>
    </row>
    <row r="772" ht="14.25" customHeight="1">
      <c r="AQ772" s="54"/>
    </row>
    <row r="773" ht="14.25" customHeight="1">
      <c r="AQ773" s="54"/>
    </row>
    <row r="774" ht="14.25" customHeight="1">
      <c r="AQ774" s="54"/>
    </row>
    <row r="775" ht="14.25" customHeight="1">
      <c r="AQ775" s="54"/>
    </row>
    <row r="776" ht="14.25" customHeight="1">
      <c r="AQ776" s="54"/>
    </row>
    <row r="777" ht="14.25" customHeight="1">
      <c r="AQ777" s="54"/>
    </row>
    <row r="778" ht="14.25" customHeight="1">
      <c r="AQ778" s="54"/>
    </row>
    <row r="779" ht="14.25" customHeight="1">
      <c r="AQ779" s="54"/>
    </row>
    <row r="780" ht="14.25" customHeight="1">
      <c r="AQ780" s="54"/>
    </row>
    <row r="781" ht="14.25" customHeight="1">
      <c r="AQ781" s="54"/>
    </row>
    <row r="782" ht="14.25" customHeight="1">
      <c r="AQ782" s="54"/>
    </row>
    <row r="783" ht="14.25" customHeight="1">
      <c r="AQ783" s="54"/>
    </row>
    <row r="784" ht="14.25" customHeight="1">
      <c r="AQ784" s="54"/>
    </row>
    <row r="785" ht="14.25" customHeight="1">
      <c r="AQ785" s="54"/>
    </row>
    <row r="786" ht="14.25" customHeight="1">
      <c r="AQ786" s="54"/>
    </row>
    <row r="787" ht="14.25" customHeight="1">
      <c r="AQ787" s="54"/>
    </row>
    <row r="788" ht="14.25" customHeight="1">
      <c r="AQ788" s="54"/>
    </row>
    <row r="789" ht="14.25" customHeight="1">
      <c r="AQ789" s="54"/>
    </row>
    <row r="790" ht="14.25" customHeight="1">
      <c r="AQ790" s="54"/>
    </row>
    <row r="791" ht="14.25" customHeight="1">
      <c r="AQ791" s="54"/>
    </row>
    <row r="792" ht="14.25" customHeight="1">
      <c r="AQ792" s="54"/>
    </row>
    <row r="793" ht="14.25" customHeight="1">
      <c r="AQ793" s="54"/>
    </row>
    <row r="794" ht="14.25" customHeight="1">
      <c r="AQ794" s="54"/>
    </row>
    <row r="795" ht="14.25" customHeight="1">
      <c r="AQ795" s="54"/>
    </row>
    <row r="796" ht="14.25" customHeight="1">
      <c r="AQ796" s="54"/>
    </row>
    <row r="797" ht="14.25" customHeight="1">
      <c r="AQ797" s="54"/>
    </row>
    <row r="798" ht="14.25" customHeight="1">
      <c r="AQ798" s="54"/>
    </row>
    <row r="799" ht="14.25" customHeight="1">
      <c r="AQ799" s="54"/>
    </row>
    <row r="800" ht="14.25" customHeight="1">
      <c r="AQ800" s="54"/>
    </row>
    <row r="801" ht="14.25" customHeight="1">
      <c r="AQ801" s="54"/>
    </row>
    <row r="802" ht="14.25" customHeight="1">
      <c r="AQ802" s="54"/>
    </row>
    <row r="803" ht="14.25" customHeight="1">
      <c r="AQ803" s="54"/>
    </row>
    <row r="804" ht="14.25" customHeight="1">
      <c r="AQ804" s="54"/>
    </row>
    <row r="805" ht="14.25" customHeight="1">
      <c r="AQ805" s="54"/>
    </row>
    <row r="806" ht="14.25" customHeight="1">
      <c r="AQ806" s="54"/>
    </row>
    <row r="807" ht="14.25" customHeight="1">
      <c r="AQ807" s="54"/>
    </row>
    <row r="808" ht="14.25" customHeight="1">
      <c r="AQ808" s="54"/>
    </row>
    <row r="809" ht="14.25" customHeight="1">
      <c r="AQ809" s="54"/>
    </row>
    <row r="810" ht="14.25" customHeight="1">
      <c r="AQ810" s="54"/>
    </row>
    <row r="811" ht="14.25" customHeight="1">
      <c r="AQ811" s="54"/>
    </row>
    <row r="812" ht="14.25" customHeight="1">
      <c r="AQ812" s="54"/>
    </row>
    <row r="813" ht="14.25" customHeight="1">
      <c r="AQ813" s="54"/>
    </row>
    <row r="814" ht="14.25" customHeight="1">
      <c r="AQ814" s="54"/>
    </row>
    <row r="815" ht="14.25" customHeight="1">
      <c r="AQ815" s="54"/>
    </row>
    <row r="816" ht="14.25" customHeight="1">
      <c r="AQ816" s="54"/>
    </row>
    <row r="817" ht="14.25" customHeight="1">
      <c r="AQ817" s="54"/>
    </row>
    <row r="818" ht="14.25" customHeight="1">
      <c r="AQ818" s="54"/>
    </row>
    <row r="819" ht="14.25" customHeight="1">
      <c r="AQ819" s="54"/>
    </row>
    <row r="820" ht="14.25" customHeight="1">
      <c r="AQ820" s="54"/>
    </row>
    <row r="821" ht="14.25" customHeight="1">
      <c r="AQ821" s="54"/>
    </row>
    <row r="822" ht="14.25" customHeight="1">
      <c r="AQ822" s="54"/>
    </row>
    <row r="823" ht="14.25" customHeight="1">
      <c r="AQ823" s="54"/>
    </row>
    <row r="824" ht="14.25" customHeight="1">
      <c r="AQ824" s="54"/>
    </row>
    <row r="825" ht="14.25" customHeight="1">
      <c r="AQ825" s="54"/>
    </row>
    <row r="826" ht="14.25" customHeight="1">
      <c r="AQ826" s="54"/>
    </row>
    <row r="827" ht="14.25" customHeight="1">
      <c r="AQ827" s="54"/>
    </row>
    <row r="828" ht="14.25" customHeight="1">
      <c r="AQ828" s="54"/>
    </row>
    <row r="829" ht="14.25" customHeight="1">
      <c r="AQ829" s="54"/>
    </row>
    <row r="830" ht="14.25" customHeight="1">
      <c r="AQ830" s="54"/>
    </row>
    <row r="831" ht="14.25" customHeight="1">
      <c r="AQ831" s="54"/>
    </row>
    <row r="832" ht="14.25" customHeight="1">
      <c r="AQ832" s="54"/>
    </row>
    <row r="833" ht="14.25" customHeight="1">
      <c r="AQ833" s="54"/>
    </row>
    <row r="834" ht="14.25" customHeight="1">
      <c r="AQ834" s="54"/>
    </row>
    <row r="835" ht="14.25" customHeight="1">
      <c r="AQ835" s="54"/>
    </row>
    <row r="836" ht="14.25" customHeight="1">
      <c r="AQ836" s="54"/>
    </row>
    <row r="837" ht="14.25" customHeight="1">
      <c r="AQ837" s="54"/>
    </row>
    <row r="838" ht="14.25" customHeight="1">
      <c r="AQ838" s="54"/>
    </row>
    <row r="839" ht="14.25" customHeight="1">
      <c r="AQ839" s="54"/>
    </row>
    <row r="840" ht="14.25" customHeight="1">
      <c r="AQ840" s="54"/>
    </row>
    <row r="841" ht="14.25" customHeight="1">
      <c r="AQ841" s="54"/>
    </row>
    <row r="842" ht="14.25" customHeight="1">
      <c r="AQ842" s="54"/>
    </row>
    <row r="843" ht="14.25" customHeight="1">
      <c r="AQ843" s="54"/>
    </row>
    <row r="844" ht="14.25" customHeight="1">
      <c r="AQ844" s="54"/>
    </row>
    <row r="845" ht="14.25" customHeight="1">
      <c r="AQ845" s="54"/>
    </row>
    <row r="846" ht="14.25" customHeight="1">
      <c r="AQ846" s="54"/>
    </row>
    <row r="847" ht="14.25" customHeight="1">
      <c r="AQ847" s="54"/>
    </row>
    <row r="848" ht="14.25" customHeight="1">
      <c r="AQ848" s="54"/>
    </row>
    <row r="849" ht="14.25" customHeight="1">
      <c r="AQ849" s="54"/>
    </row>
    <row r="850" ht="14.25" customHeight="1">
      <c r="AQ850" s="54"/>
    </row>
    <row r="851" ht="14.25" customHeight="1">
      <c r="AQ851" s="54"/>
    </row>
    <row r="852" ht="14.25" customHeight="1">
      <c r="AQ852" s="54"/>
    </row>
    <row r="853" ht="14.25" customHeight="1">
      <c r="AQ853" s="54"/>
    </row>
    <row r="854" ht="14.25" customHeight="1">
      <c r="AQ854" s="54"/>
    </row>
    <row r="855" ht="14.25" customHeight="1">
      <c r="AQ855" s="54"/>
    </row>
    <row r="856" ht="14.25" customHeight="1">
      <c r="AQ856" s="54"/>
    </row>
    <row r="857" ht="14.25" customHeight="1">
      <c r="AQ857" s="54"/>
    </row>
    <row r="858" ht="14.25" customHeight="1">
      <c r="AQ858" s="54"/>
    </row>
    <row r="859" ht="14.25" customHeight="1">
      <c r="AQ859" s="54"/>
    </row>
    <row r="860" ht="14.25" customHeight="1">
      <c r="AQ860" s="54"/>
    </row>
    <row r="861" ht="14.25" customHeight="1">
      <c r="AQ861" s="54"/>
    </row>
    <row r="862" ht="14.25" customHeight="1">
      <c r="AQ862" s="54"/>
    </row>
    <row r="863" ht="14.25" customHeight="1">
      <c r="AQ863" s="54"/>
    </row>
    <row r="864" ht="14.25" customHeight="1">
      <c r="AQ864" s="54"/>
    </row>
    <row r="865" ht="14.25" customHeight="1">
      <c r="AQ865" s="54"/>
    </row>
    <row r="866" ht="14.25" customHeight="1">
      <c r="AQ866" s="54"/>
    </row>
    <row r="867" ht="14.25" customHeight="1">
      <c r="AQ867" s="54"/>
    </row>
    <row r="868" ht="14.25" customHeight="1">
      <c r="AQ868" s="54"/>
    </row>
    <row r="869" ht="14.25" customHeight="1">
      <c r="AQ869" s="54"/>
    </row>
    <row r="870" ht="14.25" customHeight="1">
      <c r="AQ870" s="54"/>
    </row>
    <row r="871" ht="14.25" customHeight="1">
      <c r="AQ871" s="54"/>
    </row>
    <row r="872" ht="14.25" customHeight="1">
      <c r="AQ872" s="54"/>
    </row>
    <row r="873" ht="14.25" customHeight="1">
      <c r="AQ873" s="54"/>
    </row>
    <row r="874" ht="14.25" customHeight="1">
      <c r="AQ874" s="54"/>
    </row>
    <row r="875" ht="14.25" customHeight="1">
      <c r="AQ875" s="54"/>
    </row>
    <row r="876" ht="14.25" customHeight="1">
      <c r="AQ876" s="54"/>
    </row>
    <row r="877" ht="14.25" customHeight="1">
      <c r="AQ877" s="54"/>
    </row>
    <row r="878" ht="14.25" customHeight="1">
      <c r="AQ878" s="54"/>
    </row>
    <row r="879" ht="14.25" customHeight="1">
      <c r="AQ879" s="54"/>
    </row>
    <row r="880" ht="14.25" customHeight="1">
      <c r="AQ880" s="54"/>
    </row>
    <row r="881" ht="14.25" customHeight="1">
      <c r="AQ881" s="54"/>
    </row>
    <row r="882" ht="14.25" customHeight="1">
      <c r="AQ882" s="54"/>
    </row>
    <row r="883" ht="14.25" customHeight="1">
      <c r="AQ883" s="54"/>
    </row>
    <row r="884" ht="14.25" customHeight="1">
      <c r="AQ884" s="54"/>
    </row>
    <row r="885" ht="14.25" customHeight="1">
      <c r="AQ885" s="54"/>
    </row>
    <row r="886" ht="14.25" customHeight="1">
      <c r="AQ886" s="54"/>
    </row>
    <row r="887" ht="14.25" customHeight="1">
      <c r="AQ887" s="54"/>
    </row>
    <row r="888" ht="14.25" customHeight="1">
      <c r="AQ888" s="54"/>
    </row>
    <row r="889" ht="14.25" customHeight="1">
      <c r="AQ889" s="54"/>
    </row>
    <row r="890" ht="14.25" customHeight="1">
      <c r="AQ890" s="54"/>
    </row>
    <row r="891" ht="14.25" customHeight="1">
      <c r="AQ891" s="54"/>
    </row>
    <row r="892" ht="14.25" customHeight="1">
      <c r="AQ892" s="54"/>
    </row>
    <row r="893" ht="14.25" customHeight="1">
      <c r="AQ893" s="54"/>
    </row>
    <row r="894" ht="14.25" customHeight="1">
      <c r="AQ894" s="54"/>
    </row>
    <row r="895" ht="14.25" customHeight="1">
      <c r="AQ895" s="54"/>
    </row>
    <row r="896" ht="14.25" customHeight="1">
      <c r="AQ896" s="54"/>
    </row>
    <row r="897" ht="14.25" customHeight="1">
      <c r="AQ897" s="54"/>
    </row>
    <row r="898" ht="14.25" customHeight="1">
      <c r="AQ898" s="54"/>
    </row>
    <row r="899" ht="14.25" customHeight="1">
      <c r="AQ899" s="54"/>
    </row>
    <row r="900" ht="14.25" customHeight="1">
      <c r="AQ900" s="54"/>
    </row>
    <row r="901" ht="14.25" customHeight="1">
      <c r="AQ901" s="54"/>
    </row>
    <row r="902" ht="14.25" customHeight="1">
      <c r="AQ902" s="54"/>
    </row>
    <row r="903" ht="14.25" customHeight="1">
      <c r="AQ903" s="54"/>
    </row>
    <row r="904" ht="14.25" customHeight="1">
      <c r="AQ904" s="54"/>
    </row>
    <row r="905" ht="14.25" customHeight="1">
      <c r="AQ905" s="54"/>
    </row>
    <row r="906" ht="14.25" customHeight="1">
      <c r="AQ906" s="54"/>
    </row>
    <row r="907" ht="14.25" customHeight="1">
      <c r="AQ907" s="54"/>
    </row>
    <row r="908" ht="14.25" customHeight="1">
      <c r="AQ908" s="54"/>
    </row>
    <row r="909" ht="14.25" customHeight="1">
      <c r="AQ909" s="54"/>
    </row>
    <row r="910" ht="14.25" customHeight="1">
      <c r="AQ910" s="54"/>
    </row>
    <row r="911" ht="14.25" customHeight="1">
      <c r="AQ911" s="54"/>
    </row>
    <row r="912" ht="14.25" customHeight="1">
      <c r="AQ912" s="54"/>
    </row>
    <row r="913" ht="14.25" customHeight="1">
      <c r="AQ913" s="54"/>
    </row>
    <row r="914" ht="14.25" customHeight="1">
      <c r="AQ914" s="54"/>
    </row>
    <row r="915" ht="14.25" customHeight="1">
      <c r="AQ915" s="54"/>
    </row>
    <row r="916" ht="14.25" customHeight="1">
      <c r="AQ916" s="54"/>
    </row>
    <row r="917" ht="14.25" customHeight="1">
      <c r="AQ917" s="54"/>
    </row>
    <row r="918" ht="14.25" customHeight="1">
      <c r="AQ918" s="54"/>
    </row>
    <row r="919" ht="14.25" customHeight="1">
      <c r="AQ919" s="54"/>
    </row>
    <row r="920" ht="14.25" customHeight="1">
      <c r="AQ920" s="54"/>
    </row>
    <row r="921" ht="14.25" customHeight="1">
      <c r="AQ921" s="54"/>
    </row>
    <row r="922" ht="14.25" customHeight="1">
      <c r="AQ922" s="54"/>
    </row>
    <row r="923" ht="14.25" customHeight="1">
      <c r="AQ923" s="54"/>
    </row>
    <row r="924" ht="14.25" customHeight="1">
      <c r="AQ924" s="54"/>
    </row>
    <row r="925" ht="14.25" customHeight="1">
      <c r="AQ925" s="54"/>
    </row>
    <row r="926" ht="14.25" customHeight="1">
      <c r="AQ926" s="54"/>
    </row>
    <row r="927" ht="14.25" customHeight="1">
      <c r="AQ927" s="54"/>
    </row>
    <row r="928" ht="14.25" customHeight="1">
      <c r="AQ928" s="54"/>
    </row>
    <row r="929" ht="14.25" customHeight="1">
      <c r="AQ929" s="54"/>
    </row>
    <row r="930" ht="14.25" customHeight="1">
      <c r="AQ930" s="54"/>
    </row>
    <row r="931" ht="14.25" customHeight="1">
      <c r="AQ931" s="54"/>
    </row>
    <row r="932" ht="14.25" customHeight="1">
      <c r="AQ932" s="54"/>
    </row>
    <row r="933" ht="14.25" customHeight="1">
      <c r="AQ933" s="54"/>
    </row>
    <row r="934" ht="14.25" customHeight="1">
      <c r="AQ934" s="54"/>
    </row>
    <row r="935" ht="14.25" customHeight="1">
      <c r="AQ935" s="54"/>
    </row>
    <row r="936" ht="14.25" customHeight="1">
      <c r="AQ936" s="54"/>
    </row>
    <row r="937" ht="14.25" customHeight="1">
      <c r="AQ937" s="54"/>
    </row>
    <row r="938" ht="14.25" customHeight="1">
      <c r="AQ938" s="54"/>
    </row>
    <row r="939" ht="14.25" customHeight="1">
      <c r="AQ939" s="54"/>
    </row>
    <row r="940" ht="14.25" customHeight="1">
      <c r="AQ940" s="54"/>
    </row>
    <row r="941" ht="14.25" customHeight="1">
      <c r="AQ941" s="54"/>
    </row>
    <row r="942" ht="14.25" customHeight="1">
      <c r="AQ942" s="54"/>
    </row>
    <row r="943" ht="14.25" customHeight="1">
      <c r="AQ943" s="54"/>
    </row>
    <row r="944" ht="14.25" customHeight="1">
      <c r="AQ944" s="54"/>
    </row>
    <row r="945" ht="14.25" customHeight="1">
      <c r="AQ945" s="54"/>
    </row>
    <row r="946" ht="14.25" customHeight="1">
      <c r="AQ946" s="54"/>
    </row>
    <row r="947" ht="14.25" customHeight="1">
      <c r="AQ947" s="54"/>
    </row>
    <row r="948" ht="14.25" customHeight="1">
      <c r="AQ948" s="54"/>
    </row>
    <row r="949" ht="14.25" customHeight="1">
      <c r="AQ949" s="54"/>
    </row>
    <row r="950" ht="14.25" customHeight="1">
      <c r="AQ950" s="54"/>
    </row>
    <row r="951" ht="14.25" customHeight="1">
      <c r="AQ951" s="54"/>
    </row>
    <row r="952" ht="14.25" customHeight="1">
      <c r="AQ952" s="54"/>
    </row>
    <row r="953" ht="14.25" customHeight="1">
      <c r="AQ953" s="54"/>
    </row>
    <row r="954" ht="14.25" customHeight="1">
      <c r="AQ954" s="54"/>
    </row>
    <row r="955" ht="14.25" customHeight="1">
      <c r="AQ955" s="54"/>
    </row>
    <row r="956" ht="14.25" customHeight="1">
      <c r="AQ956" s="54"/>
    </row>
    <row r="957" ht="14.25" customHeight="1">
      <c r="AQ957" s="54"/>
    </row>
    <row r="958" ht="14.25" customHeight="1">
      <c r="AQ958" s="54"/>
    </row>
    <row r="959" ht="14.25" customHeight="1">
      <c r="AQ959" s="54"/>
    </row>
    <row r="960" ht="14.25" customHeight="1">
      <c r="AQ960" s="54"/>
    </row>
    <row r="961" ht="14.25" customHeight="1">
      <c r="AQ961" s="54"/>
    </row>
    <row r="962" ht="14.25" customHeight="1">
      <c r="AQ962" s="54"/>
    </row>
    <row r="963" ht="14.25" customHeight="1">
      <c r="AQ963" s="54"/>
    </row>
    <row r="964" ht="14.25" customHeight="1">
      <c r="AQ964" s="54"/>
    </row>
    <row r="965" ht="14.25" customHeight="1">
      <c r="AQ965" s="54"/>
    </row>
    <row r="966" ht="14.25" customHeight="1">
      <c r="AQ966" s="54"/>
    </row>
    <row r="967" ht="14.25" customHeight="1">
      <c r="AQ967" s="54"/>
    </row>
    <row r="968" ht="14.25" customHeight="1">
      <c r="AQ968" s="54"/>
    </row>
    <row r="969" ht="14.25" customHeight="1">
      <c r="AQ969" s="54"/>
    </row>
    <row r="970" ht="14.25" customHeight="1">
      <c r="AQ970" s="54"/>
    </row>
    <row r="971" ht="14.25" customHeight="1">
      <c r="AQ971" s="54"/>
    </row>
    <row r="972" ht="14.25" customHeight="1">
      <c r="AQ972" s="54"/>
    </row>
    <row r="973" ht="14.25" customHeight="1">
      <c r="AQ973" s="54"/>
    </row>
    <row r="974" ht="14.25" customHeight="1">
      <c r="AQ974" s="54"/>
    </row>
    <row r="975" ht="14.25" customHeight="1">
      <c r="AQ975" s="54"/>
    </row>
    <row r="976" ht="14.25" customHeight="1">
      <c r="AQ976" s="54"/>
    </row>
    <row r="977" ht="14.25" customHeight="1">
      <c r="AQ977" s="54"/>
    </row>
    <row r="978" ht="14.25" customHeight="1">
      <c r="AQ978" s="54"/>
    </row>
    <row r="979" ht="14.25" customHeight="1">
      <c r="AQ979" s="54"/>
    </row>
    <row r="980" ht="14.25" customHeight="1">
      <c r="AQ980" s="54"/>
    </row>
    <row r="981" ht="14.25" customHeight="1">
      <c r="AQ981" s="54"/>
    </row>
    <row r="982" ht="14.25" customHeight="1">
      <c r="AQ982" s="54"/>
    </row>
    <row r="983" ht="14.25" customHeight="1">
      <c r="AQ983" s="54"/>
    </row>
    <row r="984" ht="14.25" customHeight="1">
      <c r="AQ984" s="54"/>
    </row>
    <row r="985" ht="14.25" customHeight="1">
      <c r="AQ985" s="54"/>
    </row>
    <row r="986" ht="14.25" customHeight="1">
      <c r="AQ986" s="54"/>
    </row>
    <row r="987" ht="14.25" customHeight="1">
      <c r="AQ987" s="54"/>
    </row>
    <row r="988" ht="14.25" customHeight="1">
      <c r="AQ988" s="54"/>
    </row>
    <row r="989" ht="14.25" customHeight="1">
      <c r="AQ989" s="54"/>
    </row>
    <row r="990" ht="14.25" customHeight="1">
      <c r="AQ990" s="54"/>
    </row>
    <row r="991" ht="14.25" customHeight="1">
      <c r="AQ991" s="54"/>
    </row>
    <row r="992" ht="14.25" customHeight="1">
      <c r="AQ992" s="54"/>
    </row>
    <row r="993" ht="14.25" customHeight="1">
      <c r="AQ993" s="54"/>
    </row>
    <row r="994" ht="14.25" customHeight="1">
      <c r="AQ994" s="54"/>
    </row>
    <row r="995" ht="14.25" customHeight="1">
      <c r="AQ995" s="54"/>
    </row>
    <row r="996" ht="14.25" customHeight="1">
      <c r="AQ996" s="54"/>
    </row>
    <row r="997" ht="14.25" customHeight="1">
      <c r="AQ997" s="54"/>
    </row>
    <row r="998" ht="14.25" customHeight="1">
      <c r="AQ998" s="54"/>
    </row>
    <row r="999" ht="14.25" customHeight="1">
      <c r="AQ999" s="54"/>
    </row>
    <row r="1000" ht="14.25" customHeight="1">
      <c r="AQ1000" s="54"/>
    </row>
  </sheetData>
  <mergeCells count="2">
    <mergeCell ref="P1:Q1"/>
    <mergeCell ref="R1:S1"/>
  </mergeCells>
  <hyperlinks>
    <hyperlink r:id="rId1" ref="AP2"/>
    <hyperlink r:id="rId2" ref="AP3"/>
    <hyperlink r:id="rId3" ref="AP4"/>
    <hyperlink r:id="rId4" ref="AP5"/>
    <hyperlink r:id="rId5" ref="AP6"/>
    <hyperlink r:id="rId6" ref="AP7"/>
    <hyperlink r:id="rId7" ref="AP8"/>
    <hyperlink r:id="rId8" ref="AP9"/>
    <hyperlink r:id="rId9" ref="AP10"/>
    <hyperlink r:id="rId10" ref="AP11"/>
    <hyperlink r:id="rId11" ref="AP12"/>
    <hyperlink r:id="rId12" ref="AP13"/>
    <hyperlink r:id="rId13" ref="AP14"/>
    <hyperlink r:id="rId14" ref="AP15"/>
    <hyperlink r:id="rId15" ref="AP16"/>
    <hyperlink r:id="rId16" ref="AP17"/>
    <hyperlink r:id="rId17" ref="AP18"/>
    <hyperlink r:id="rId18" ref="AP19"/>
    <hyperlink r:id="rId19" ref="AP20"/>
    <hyperlink r:id="rId20" ref="AP21"/>
    <hyperlink r:id="rId21" ref="AP22"/>
    <hyperlink r:id="rId22" ref="AP24"/>
    <hyperlink r:id="rId23" ref="AP25"/>
    <hyperlink r:id="rId24" ref="AP26"/>
    <hyperlink r:id="rId25" ref="AP27"/>
    <hyperlink r:id="rId26" ref="AP28"/>
    <hyperlink r:id="rId27" ref="AP32"/>
    <hyperlink r:id="rId28" ref="AP33"/>
    <hyperlink r:id="rId29" ref="AP34"/>
    <hyperlink r:id="rId30" ref="AP36"/>
    <hyperlink r:id="rId31" ref="AP37"/>
    <hyperlink r:id="rId32" ref="AP38"/>
    <hyperlink r:id="rId33" ref="AP39"/>
    <hyperlink r:id="rId34" ref="AP40"/>
    <hyperlink r:id="rId35" ref="AP41"/>
    <hyperlink r:id="rId36" ref="AP42"/>
    <hyperlink r:id="rId37" ref="AP43"/>
    <hyperlink r:id="rId38" ref="AP44"/>
    <hyperlink r:id="rId39" ref="AP45"/>
  </hyperlinks>
  <printOptions/>
  <pageMargins bottom="0.75" footer="0.0" header="0.0" left="0.7" right="0.7" top="0.75"/>
  <pageSetup paperSize="5" orientation="portrait"/>
  <drawing r:id="rId40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4.71"/>
    <col customWidth="1" min="2" max="2" width="11.14"/>
    <col customWidth="1" min="3" max="3" width="12.14"/>
    <col customWidth="1" min="4" max="4" width="14.29"/>
    <col customWidth="1" min="5" max="6" width="14.14"/>
    <col customWidth="1" min="7" max="7" width="19.71"/>
    <col customWidth="1" min="8" max="8" width="19.29"/>
    <col customWidth="1" min="9" max="9" width="25.0"/>
    <col customWidth="1" min="10" max="10" width="23.57"/>
    <col customWidth="1" min="11" max="11" width="25.29"/>
    <col customWidth="1" min="12" max="12" width="20.43"/>
    <col customWidth="1" min="13" max="13" width="10.14"/>
    <col customWidth="1" min="14" max="14" width="19.43"/>
    <col customWidth="1" min="15" max="15" width="11.43"/>
    <col customWidth="1" min="16" max="16" width="11.86"/>
    <col customWidth="1" min="17" max="17" width="11.57"/>
    <col customWidth="1" min="18" max="18" width="9.86"/>
    <col customWidth="1" min="19" max="19" width="11.43"/>
    <col customWidth="1" min="20" max="20" width="12.14"/>
    <col customWidth="1" min="21" max="21" width="5.29"/>
    <col customWidth="1" min="22" max="22" width="7.71"/>
    <col customWidth="1" min="23" max="23" width="4.71"/>
    <col customWidth="1" min="24" max="24" width="15.14"/>
    <col customWidth="1" min="25" max="25" width="12.43"/>
    <col customWidth="1" min="26" max="26" width="15.29"/>
    <col customWidth="1" min="27" max="27" width="13.43"/>
    <col customWidth="1" min="28" max="28" width="15.29"/>
    <col customWidth="1" min="29" max="29" width="12.43"/>
    <col customWidth="1" min="30" max="30" width="11.14"/>
    <col customWidth="1" min="31" max="31" width="19.71"/>
    <col customWidth="1" min="32" max="32" width="10.43"/>
    <col customWidth="1" min="33" max="33" width="15.86"/>
    <col customWidth="1" min="34" max="35" width="20.86"/>
    <col customWidth="1" min="36" max="36" width="11.71"/>
    <col customWidth="1" min="37" max="37" width="12.43"/>
    <col customWidth="1" min="38" max="38" width="9.86"/>
    <col customWidth="1" min="39" max="39" width="53.14"/>
    <col customWidth="1" min="40" max="40" width="35.86"/>
    <col customWidth="1" min="41" max="41" width="35.57"/>
    <col customWidth="1" min="42" max="42" width="26.71"/>
    <col customWidth="1" min="43" max="43" width="25.0"/>
    <col customWidth="1" min="44" max="44" width="33.71"/>
    <col customWidth="1" min="45" max="45" width="23.14"/>
    <col customWidth="1" min="46" max="48" width="14.29"/>
    <col customWidth="1" min="49" max="49" width="19.57"/>
    <col customWidth="1" min="50" max="51" width="19.14"/>
    <col customWidth="1" min="52" max="52" width="16.29"/>
    <col customWidth="1" min="53" max="53" width="19.14"/>
    <col customWidth="1" min="54" max="54" width="23.0"/>
    <col customWidth="1" min="55" max="55" width="12.0"/>
  </cols>
  <sheetData>
    <row r="1" ht="45.75" customHeight="1">
      <c r="A1" s="127" t="s">
        <v>1</v>
      </c>
      <c r="B1" s="127" t="s">
        <v>2</v>
      </c>
      <c r="C1" s="127" t="s">
        <v>3</v>
      </c>
      <c r="D1" s="127" t="s">
        <v>4</v>
      </c>
      <c r="E1" s="128" t="s">
        <v>5</v>
      </c>
      <c r="F1" s="128" t="s">
        <v>6</v>
      </c>
      <c r="G1" s="127" t="s">
        <v>7</v>
      </c>
      <c r="H1" s="127" t="s">
        <v>7</v>
      </c>
      <c r="I1" s="127"/>
      <c r="J1" s="127" t="s">
        <v>8</v>
      </c>
      <c r="K1" s="127" t="s">
        <v>10</v>
      </c>
      <c r="L1" s="127" t="s">
        <v>11</v>
      </c>
      <c r="M1" s="127" t="s">
        <v>12</v>
      </c>
      <c r="N1" s="127" t="s">
        <v>13</v>
      </c>
      <c r="O1" s="127" t="s">
        <v>14</v>
      </c>
      <c r="P1" s="129" t="s">
        <v>15</v>
      </c>
      <c r="Q1" s="9"/>
      <c r="R1" s="129" t="s">
        <v>16</v>
      </c>
      <c r="S1" s="9"/>
      <c r="T1" s="127" t="s">
        <v>17</v>
      </c>
      <c r="U1" s="127" t="s">
        <v>18</v>
      </c>
      <c r="V1" s="127" t="s">
        <v>19</v>
      </c>
      <c r="W1" s="127" t="s">
        <v>20</v>
      </c>
      <c r="X1" s="127" t="s">
        <v>21</v>
      </c>
      <c r="Y1" s="127" t="s">
        <v>22</v>
      </c>
      <c r="Z1" s="127" t="s">
        <v>23</v>
      </c>
      <c r="AA1" s="127" t="s">
        <v>24</v>
      </c>
      <c r="AB1" s="127" t="s">
        <v>23</v>
      </c>
      <c r="AC1" s="127" t="s">
        <v>26</v>
      </c>
      <c r="AD1" s="127" t="s">
        <v>27</v>
      </c>
      <c r="AE1" s="128" t="s">
        <v>28</v>
      </c>
      <c r="AF1" s="127" t="s">
        <v>29</v>
      </c>
      <c r="AG1" s="127" t="s">
        <v>30</v>
      </c>
      <c r="AH1" s="130" t="s">
        <v>31</v>
      </c>
      <c r="AI1" s="130" t="s">
        <v>32</v>
      </c>
      <c r="AJ1" s="127" t="s">
        <v>33</v>
      </c>
      <c r="AK1" s="127" t="s">
        <v>34</v>
      </c>
      <c r="AL1" s="127" t="s">
        <v>35</v>
      </c>
      <c r="AM1" s="127" t="s">
        <v>36</v>
      </c>
      <c r="AN1" s="127" t="s">
        <v>37</v>
      </c>
      <c r="AO1" s="127" t="s">
        <v>38</v>
      </c>
      <c r="AP1" s="127" t="s">
        <v>39</v>
      </c>
      <c r="AQ1" s="128" t="s">
        <v>40</v>
      </c>
      <c r="AR1" s="127" t="s">
        <v>41</v>
      </c>
      <c r="AS1" s="127" t="s">
        <v>42</v>
      </c>
      <c r="AT1" s="127" t="s">
        <v>43</v>
      </c>
      <c r="AU1" s="127" t="s">
        <v>44</v>
      </c>
      <c r="AV1" s="127" t="s">
        <v>45</v>
      </c>
      <c r="AW1" s="128" t="s">
        <v>46</v>
      </c>
      <c r="AX1" s="127" t="s">
        <v>47</v>
      </c>
      <c r="AY1" s="127" t="s">
        <v>48</v>
      </c>
      <c r="AZ1" s="127" t="s">
        <v>49</v>
      </c>
      <c r="BA1" s="127" t="s">
        <v>50</v>
      </c>
      <c r="BB1" s="127" t="s">
        <v>886</v>
      </c>
      <c r="BC1" s="127" t="s">
        <v>887</v>
      </c>
    </row>
    <row r="2" ht="14.25" customHeight="1">
      <c r="A2" s="14">
        <v>1.0</v>
      </c>
      <c r="B2" s="15" t="s">
        <v>888</v>
      </c>
      <c r="C2" s="15" t="s">
        <v>889</v>
      </c>
      <c r="D2" s="15" t="s">
        <v>890</v>
      </c>
      <c r="E2" s="17" t="s">
        <v>308</v>
      </c>
      <c r="F2" s="17"/>
      <c r="G2" s="132" t="str">
        <f t="shared" ref="G2:G17" si="1">CONCATENATE(B2,", ",C2," ",E2,".")</f>
        <v>Aranda, Jay-belle B.</v>
      </c>
      <c r="H2" s="132" t="str">
        <f t="shared" ref="H2:H5" si="2">CONCATENATE(C2," ",E2,". ",B2)</f>
        <v>Jay-belle B. Aranda</v>
      </c>
      <c r="I2" s="132" t="str">
        <f t="shared" ref="I2:I17" si="3">CONCATENATE(B2,", ",C2," ",D2)</f>
        <v>Aranda, Jay-belle Bosque</v>
      </c>
      <c r="J2" s="19" t="s">
        <v>577</v>
      </c>
      <c r="K2" s="19" t="s">
        <v>537</v>
      </c>
      <c r="L2" s="19" t="s">
        <v>57</v>
      </c>
      <c r="M2" s="133" t="s">
        <v>58</v>
      </c>
      <c r="N2" s="109">
        <v>1.051622019E9</v>
      </c>
      <c r="O2" s="134">
        <v>44697.0</v>
      </c>
      <c r="P2" s="134"/>
      <c r="Q2" s="134"/>
      <c r="R2" s="134"/>
      <c r="S2" s="134"/>
      <c r="T2" s="135">
        <f t="shared" ref="T2:T21" si="4">TODAY()</f>
        <v>46132</v>
      </c>
      <c r="U2" s="136">
        <f t="shared" ref="U2:U21" si="5">DATEDIF(O2,T2,"y")</f>
        <v>3</v>
      </c>
      <c r="V2" s="133">
        <f t="shared" ref="V2:V21" si="6">DATEDIF(O2,T2,"ym")</f>
        <v>11</v>
      </c>
      <c r="W2" s="133">
        <f t="shared" ref="W2:W21" si="7">DATEDIF(O2,T2,"MD")</f>
        <v>4</v>
      </c>
      <c r="X2" s="137">
        <v>44697.0</v>
      </c>
      <c r="Y2" s="133"/>
      <c r="Z2" s="133"/>
      <c r="AA2" s="133"/>
      <c r="AB2" s="133"/>
      <c r="AC2" s="138"/>
      <c r="AD2" s="138"/>
      <c r="AE2" s="139"/>
      <c r="AF2" s="139"/>
      <c r="AG2" s="133" t="s">
        <v>59</v>
      </c>
      <c r="AH2" s="140" t="s">
        <v>891</v>
      </c>
      <c r="AI2" s="140"/>
      <c r="AJ2" s="109" t="s">
        <v>107</v>
      </c>
      <c r="AK2" s="109">
        <v>32327.0</v>
      </c>
      <c r="AL2" s="141">
        <f t="shared" ref="AL2:AL21" si="8">((TODAY()-AK2)/365)</f>
        <v>37.82191781</v>
      </c>
      <c r="AM2" s="142" t="s">
        <v>892</v>
      </c>
      <c r="AN2" s="132"/>
      <c r="AO2" s="143">
        <v>9.174706849E9</v>
      </c>
      <c r="AP2" s="144" t="s">
        <v>893</v>
      </c>
      <c r="AQ2" s="132" t="s">
        <v>110</v>
      </c>
      <c r="AR2" s="132" t="s">
        <v>894</v>
      </c>
      <c r="AS2" s="109" t="s">
        <v>895</v>
      </c>
      <c r="AT2" s="109" t="s">
        <v>896</v>
      </c>
      <c r="AU2" s="109" t="s">
        <v>897</v>
      </c>
      <c r="AV2" s="109" t="s">
        <v>898</v>
      </c>
      <c r="AW2" s="133"/>
      <c r="AX2" s="145" t="s">
        <v>899</v>
      </c>
      <c r="AY2" s="133" t="s">
        <v>73</v>
      </c>
      <c r="AZ2" s="146">
        <v>9.177728699E9</v>
      </c>
      <c r="BA2" s="132" t="s">
        <v>900</v>
      </c>
      <c r="BB2" s="86" t="s">
        <v>901</v>
      </c>
      <c r="BC2" s="86">
        <v>44731.0</v>
      </c>
    </row>
    <row r="3" ht="15.75" customHeight="1">
      <c r="A3" s="14">
        <v>2.0</v>
      </c>
      <c r="B3" s="157" t="s">
        <v>1268</v>
      </c>
      <c r="C3" s="158" t="s">
        <v>1269</v>
      </c>
      <c r="D3" s="158" t="s">
        <v>1270</v>
      </c>
      <c r="E3" s="133" t="s">
        <v>87</v>
      </c>
      <c r="F3" s="133"/>
      <c r="G3" s="132" t="str">
        <f t="shared" si="1"/>
        <v>Bandibas, Jesrel L.</v>
      </c>
      <c r="H3" s="132" t="str">
        <f t="shared" si="2"/>
        <v>Jesrel L. Bandibas</v>
      </c>
      <c r="I3" s="132" t="str">
        <f t="shared" si="3"/>
        <v>Bandibas, Jesrel Llemit</v>
      </c>
      <c r="J3" s="133" t="s">
        <v>82</v>
      </c>
      <c r="K3" s="133" t="s">
        <v>191</v>
      </c>
      <c r="L3" s="133" t="s">
        <v>16</v>
      </c>
      <c r="M3" s="133" t="s">
        <v>105</v>
      </c>
      <c r="N3" s="133">
        <v>1.051122143E9</v>
      </c>
      <c r="O3" s="133">
        <v>44692.0</v>
      </c>
      <c r="P3" s="133"/>
      <c r="Q3" s="133"/>
      <c r="R3" s="133">
        <v>44692.0</v>
      </c>
      <c r="S3" s="133">
        <v>44875.0</v>
      </c>
      <c r="T3" s="159">
        <f t="shared" si="4"/>
        <v>46132</v>
      </c>
      <c r="U3" s="133">
        <f t="shared" si="5"/>
        <v>3</v>
      </c>
      <c r="V3" s="133">
        <f t="shared" si="6"/>
        <v>11</v>
      </c>
      <c r="W3" s="133">
        <f t="shared" si="7"/>
        <v>9</v>
      </c>
      <c r="X3" s="133"/>
      <c r="Y3" s="133"/>
      <c r="Z3" s="133"/>
      <c r="AA3" s="133"/>
      <c r="AB3" s="133"/>
      <c r="AC3" s="133">
        <v>14006.75</v>
      </c>
      <c r="AD3" s="133"/>
      <c r="AE3" s="133">
        <v>14006.75</v>
      </c>
      <c r="AF3" s="160">
        <v>537.0</v>
      </c>
      <c r="AG3" s="133" t="s">
        <v>178</v>
      </c>
      <c r="AH3" s="140"/>
      <c r="AI3" s="140"/>
      <c r="AJ3" s="133" t="s">
        <v>62</v>
      </c>
      <c r="AK3" s="133">
        <v>32827.0</v>
      </c>
      <c r="AL3" s="160">
        <f t="shared" si="8"/>
        <v>36.45205479</v>
      </c>
      <c r="AM3" s="142" t="s">
        <v>1271</v>
      </c>
      <c r="AN3" s="142" t="s">
        <v>1272</v>
      </c>
      <c r="AO3" s="143">
        <v>9.27588203E9</v>
      </c>
      <c r="AP3" s="161" t="s">
        <v>1273</v>
      </c>
      <c r="AQ3" s="26" t="s">
        <v>110</v>
      </c>
      <c r="AR3" s="26" t="s">
        <v>298</v>
      </c>
      <c r="AS3" s="162" t="s">
        <v>1274</v>
      </c>
      <c r="AT3" s="162" t="s">
        <v>1275</v>
      </c>
      <c r="AU3" s="163" t="s">
        <v>1276</v>
      </c>
      <c r="AV3" s="162" t="s">
        <v>1277</v>
      </c>
      <c r="AW3" s="133"/>
      <c r="AX3" s="19" t="s">
        <v>1278</v>
      </c>
      <c r="AY3" s="19" t="s">
        <v>623</v>
      </c>
      <c r="AZ3" s="64">
        <v>9.166205455E9</v>
      </c>
      <c r="BA3" s="132" t="s">
        <v>900</v>
      </c>
      <c r="BB3" s="86"/>
      <c r="BC3" s="86">
        <v>44734.0</v>
      </c>
    </row>
    <row r="4" ht="14.25" customHeight="1">
      <c r="A4" s="14">
        <v>3.0</v>
      </c>
      <c r="B4" s="15" t="s">
        <v>902</v>
      </c>
      <c r="C4" s="15" t="s">
        <v>903</v>
      </c>
      <c r="D4" s="15" t="s">
        <v>904</v>
      </c>
      <c r="E4" s="17" t="s">
        <v>450</v>
      </c>
      <c r="F4" s="17"/>
      <c r="G4" s="16" t="str">
        <f t="shared" si="1"/>
        <v>Bautista, Warlito I.</v>
      </c>
      <c r="H4" s="16" t="str">
        <f t="shared" si="2"/>
        <v>Warlito I. Bautista</v>
      </c>
      <c r="I4" s="26" t="str">
        <f t="shared" si="3"/>
        <v>Bautista, Warlito Ilagan</v>
      </c>
      <c r="J4" s="19" t="s">
        <v>905</v>
      </c>
      <c r="K4" s="19" t="s">
        <v>508</v>
      </c>
      <c r="L4" s="19" t="s">
        <v>16</v>
      </c>
      <c r="M4" s="19" t="s">
        <v>58</v>
      </c>
      <c r="N4" s="17">
        <v>1.060622253E9</v>
      </c>
      <c r="O4" s="20">
        <v>44718.0</v>
      </c>
      <c r="P4" s="20"/>
      <c r="Q4" s="20"/>
      <c r="R4" s="20"/>
      <c r="S4" s="20">
        <v>43702.0</v>
      </c>
      <c r="T4" s="20">
        <f t="shared" si="4"/>
        <v>46132</v>
      </c>
      <c r="U4" s="21">
        <f t="shared" si="5"/>
        <v>3</v>
      </c>
      <c r="V4" s="19">
        <f t="shared" si="6"/>
        <v>10</v>
      </c>
      <c r="W4" s="19">
        <f t="shared" si="7"/>
        <v>14</v>
      </c>
      <c r="X4" s="74"/>
      <c r="Y4" s="16"/>
      <c r="Z4" s="16"/>
      <c r="AA4" s="16"/>
      <c r="AB4" s="16"/>
      <c r="AC4" s="23"/>
      <c r="AD4" s="23"/>
      <c r="AE4" s="147"/>
      <c r="AF4" s="147"/>
      <c r="AG4" s="19" t="s">
        <v>59</v>
      </c>
      <c r="AH4" s="24"/>
      <c r="AI4" s="24"/>
      <c r="AJ4" s="19" t="s">
        <v>107</v>
      </c>
      <c r="AK4" s="19">
        <v>32711.0</v>
      </c>
      <c r="AL4" s="25">
        <f t="shared" si="8"/>
        <v>36.76986301</v>
      </c>
      <c r="AM4" s="26" t="s">
        <v>906</v>
      </c>
      <c r="AN4" s="26"/>
      <c r="AO4" s="71">
        <v>9.557840469E9</v>
      </c>
      <c r="AP4" s="28" t="s">
        <v>907</v>
      </c>
      <c r="AQ4" s="26" t="s">
        <v>110</v>
      </c>
      <c r="AR4" s="26" t="s">
        <v>908</v>
      </c>
      <c r="AS4" s="19" t="s">
        <v>909</v>
      </c>
      <c r="AT4" s="19" t="s">
        <v>910</v>
      </c>
      <c r="AU4" s="19" t="s">
        <v>911</v>
      </c>
      <c r="AV4" s="19" t="s">
        <v>912</v>
      </c>
      <c r="AW4" s="16"/>
      <c r="AX4" s="16" t="s">
        <v>913</v>
      </c>
      <c r="AY4" s="19" t="s">
        <v>117</v>
      </c>
      <c r="AZ4" s="64">
        <v>9.058563506E9</v>
      </c>
      <c r="BA4" s="86" t="s">
        <v>914</v>
      </c>
      <c r="BB4" s="86" t="s">
        <v>914</v>
      </c>
      <c r="BC4" s="86">
        <v>44748.0</v>
      </c>
    </row>
    <row r="5" ht="14.25" customHeight="1">
      <c r="A5" s="14">
        <v>4.0</v>
      </c>
      <c r="B5" s="16" t="s">
        <v>1279</v>
      </c>
      <c r="C5" s="16" t="s">
        <v>1280</v>
      </c>
      <c r="D5" s="16" t="s">
        <v>1281</v>
      </c>
      <c r="E5" s="19" t="s">
        <v>132</v>
      </c>
      <c r="F5" s="19"/>
      <c r="G5" s="16" t="str">
        <f t="shared" si="1"/>
        <v>Dipad, Roi John  C.</v>
      </c>
      <c r="H5" s="16" t="str">
        <f t="shared" si="2"/>
        <v>Roi John  C. Dipad</v>
      </c>
      <c r="I5" s="26" t="str">
        <f t="shared" si="3"/>
        <v>Dipad, Roi John  Ciriaco</v>
      </c>
      <c r="J5" s="19" t="s">
        <v>82</v>
      </c>
      <c r="K5" s="19" t="s">
        <v>191</v>
      </c>
      <c r="L5" s="19" t="s">
        <v>16</v>
      </c>
      <c r="M5" s="19" t="s">
        <v>105</v>
      </c>
      <c r="N5" s="19">
        <v>1.051322242E9</v>
      </c>
      <c r="O5" s="19">
        <v>44694.0</v>
      </c>
      <c r="P5" s="19">
        <v>44678.0</v>
      </c>
      <c r="Q5" s="19">
        <v>44693.0</v>
      </c>
      <c r="R5" s="19">
        <v>44694.0</v>
      </c>
      <c r="S5" s="19">
        <v>44877.0</v>
      </c>
      <c r="T5" s="61">
        <f t="shared" si="4"/>
        <v>46132</v>
      </c>
      <c r="U5" s="19">
        <f t="shared" si="5"/>
        <v>3</v>
      </c>
      <c r="V5" s="19">
        <f t="shared" si="6"/>
        <v>11</v>
      </c>
      <c r="W5" s="19">
        <f t="shared" si="7"/>
        <v>7</v>
      </c>
      <c r="X5" s="19"/>
      <c r="Y5" s="19"/>
      <c r="Z5" s="19"/>
      <c r="AA5" s="19"/>
      <c r="AB5" s="19"/>
      <c r="AC5" s="22">
        <v>14867.5</v>
      </c>
      <c r="AD5" s="19"/>
      <c r="AE5" s="22">
        <v>14867.5</v>
      </c>
      <c r="AF5" s="62">
        <v>570.0</v>
      </c>
      <c r="AG5" s="19" t="s">
        <v>178</v>
      </c>
      <c r="AH5" s="24" t="s">
        <v>1282</v>
      </c>
      <c r="AI5" s="19" t="s">
        <v>61</v>
      </c>
      <c r="AJ5" s="19" t="s">
        <v>62</v>
      </c>
      <c r="AK5" s="19">
        <v>35575.0</v>
      </c>
      <c r="AL5" s="62">
        <f t="shared" si="8"/>
        <v>28.92328767</v>
      </c>
      <c r="AM5" s="26" t="s">
        <v>1283</v>
      </c>
      <c r="AN5" s="26" t="s">
        <v>1284</v>
      </c>
      <c r="AO5" s="19">
        <v>9.21583673E9</v>
      </c>
      <c r="AP5" s="28" t="s">
        <v>1285</v>
      </c>
      <c r="AQ5" s="26" t="s">
        <v>110</v>
      </c>
      <c r="AR5" s="16" t="s">
        <v>139</v>
      </c>
      <c r="AS5" s="64" t="s">
        <v>1286</v>
      </c>
      <c r="AT5" s="64" t="s">
        <v>1287</v>
      </c>
      <c r="AU5" s="64" t="s">
        <v>1288</v>
      </c>
      <c r="AV5" s="64" t="s">
        <v>1289</v>
      </c>
      <c r="AW5" s="19"/>
      <c r="AX5" s="26" t="s">
        <v>1290</v>
      </c>
      <c r="AY5" s="19" t="s">
        <v>1291</v>
      </c>
      <c r="AZ5" s="64">
        <v>9.168956374E9</v>
      </c>
      <c r="BA5" s="86" t="s">
        <v>914</v>
      </c>
      <c r="BB5" s="16" t="s">
        <v>914</v>
      </c>
      <c r="BC5" s="86">
        <v>44859.0</v>
      </c>
    </row>
    <row r="6" ht="14.25" customHeight="1">
      <c r="A6" s="14">
        <v>5.0</v>
      </c>
      <c r="B6" s="16" t="s">
        <v>1292</v>
      </c>
      <c r="C6" s="26" t="s">
        <v>1293</v>
      </c>
      <c r="D6" s="16"/>
      <c r="E6" s="19"/>
      <c r="F6" s="19"/>
      <c r="G6" s="16" t="str">
        <f t="shared" si="1"/>
        <v>Zamora, Jedrec .</v>
      </c>
      <c r="H6" s="16" t="str">
        <f>CONCATENATE(C6," ",E6,,B6)</f>
        <v>Jedrec Zamora</v>
      </c>
      <c r="I6" s="26" t="str">
        <f t="shared" si="3"/>
        <v>Zamora, Jedrec </v>
      </c>
      <c r="J6" s="19" t="s">
        <v>82</v>
      </c>
      <c r="K6" s="19" t="s">
        <v>191</v>
      </c>
      <c r="L6" s="19" t="s">
        <v>57</v>
      </c>
      <c r="M6" s="19" t="s">
        <v>105</v>
      </c>
      <c r="N6" s="19">
        <v>1.050422206E9</v>
      </c>
      <c r="O6" s="19">
        <v>44685.0</v>
      </c>
      <c r="P6" s="19"/>
      <c r="Q6" s="19"/>
      <c r="R6" s="19"/>
      <c r="S6" s="19"/>
      <c r="T6" s="61">
        <f t="shared" si="4"/>
        <v>46132</v>
      </c>
      <c r="U6" s="19">
        <f t="shared" si="5"/>
        <v>3</v>
      </c>
      <c r="V6" s="19">
        <f t="shared" si="6"/>
        <v>11</v>
      </c>
      <c r="W6" s="19">
        <f t="shared" si="7"/>
        <v>16</v>
      </c>
      <c r="X6" s="19">
        <v>44685.0</v>
      </c>
      <c r="Y6" s="19"/>
      <c r="Z6" s="19"/>
      <c r="AA6" s="19"/>
      <c r="AB6" s="19"/>
      <c r="AC6" s="22">
        <v>14867.5</v>
      </c>
      <c r="AD6" s="19"/>
      <c r="AE6" s="22">
        <v>14867.5</v>
      </c>
      <c r="AF6" s="62">
        <v>570.0</v>
      </c>
      <c r="AG6" s="19" t="s">
        <v>178</v>
      </c>
      <c r="AH6" s="24"/>
      <c r="AI6" s="19" t="s">
        <v>61</v>
      </c>
      <c r="AJ6" s="19" t="s">
        <v>62</v>
      </c>
      <c r="AK6" s="19">
        <v>34137.0</v>
      </c>
      <c r="AL6" s="62">
        <f t="shared" si="8"/>
        <v>32.8630137</v>
      </c>
      <c r="AM6" s="26" t="s">
        <v>1294</v>
      </c>
      <c r="AN6" s="26" t="s">
        <v>1295</v>
      </c>
      <c r="AO6" s="19">
        <v>9.776746024E9</v>
      </c>
      <c r="AP6" s="28" t="s">
        <v>1296</v>
      </c>
      <c r="AQ6" s="26" t="s">
        <v>66</v>
      </c>
      <c r="AR6" s="16" t="s">
        <v>568</v>
      </c>
      <c r="AS6" s="64" t="s">
        <v>1297</v>
      </c>
      <c r="AT6" s="64" t="s">
        <v>1298</v>
      </c>
      <c r="AU6" s="64" t="s">
        <v>1299</v>
      </c>
      <c r="AV6" s="64" t="s">
        <v>1300</v>
      </c>
      <c r="AW6" s="19"/>
      <c r="AX6" s="26" t="s">
        <v>1301</v>
      </c>
      <c r="AY6" s="19" t="s">
        <v>73</v>
      </c>
      <c r="AZ6" s="19">
        <v>9.273305213E9</v>
      </c>
      <c r="BA6" s="16" t="s">
        <v>900</v>
      </c>
      <c r="BB6" s="16" t="s">
        <v>1302</v>
      </c>
      <c r="BC6" s="86">
        <v>44870.0</v>
      </c>
    </row>
    <row r="7" ht="14.25" customHeight="1">
      <c r="A7" s="14">
        <v>6.0</v>
      </c>
      <c r="B7" s="16" t="s">
        <v>1303</v>
      </c>
      <c r="C7" s="16" t="s">
        <v>75</v>
      </c>
      <c r="D7" s="16" t="s">
        <v>1304</v>
      </c>
      <c r="E7" s="19" t="s">
        <v>87</v>
      </c>
      <c r="F7" s="19"/>
      <c r="G7" s="16" t="str">
        <f t="shared" si="1"/>
        <v>Tangco, Mark L.</v>
      </c>
      <c r="H7" s="16" t="str">
        <f t="shared" ref="H7:H17" si="9">CONCATENATE(C7," ",E7,". ",B7)</f>
        <v>Mark L. Tangco</v>
      </c>
      <c r="I7" s="26" t="str">
        <f t="shared" si="3"/>
        <v>Tangco, Mark Lara</v>
      </c>
      <c r="J7" s="19" t="s">
        <v>1305</v>
      </c>
      <c r="K7" s="19" t="s">
        <v>161</v>
      </c>
      <c r="L7" s="19" t="s">
        <v>16</v>
      </c>
      <c r="M7" s="19" t="s">
        <v>105</v>
      </c>
      <c r="N7" s="19">
        <v>1.061122251E9</v>
      </c>
      <c r="O7" s="19">
        <v>44723.0</v>
      </c>
      <c r="P7" s="19">
        <v>44707.0</v>
      </c>
      <c r="Q7" s="19">
        <v>44722.0</v>
      </c>
      <c r="R7" s="19">
        <v>44723.0</v>
      </c>
      <c r="S7" s="19">
        <v>44905.0</v>
      </c>
      <c r="T7" s="61">
        <f t="shared" si="4"/>
        <v>46132</v>
      </c>
      <c r="U7" s="19">
        <f t="shared" si="5"/>
        <v>3</v>
      </c>
      <c r="V7" s="19">
        <f t="shared" si="6"/>
        <v>10</v>
      </c>
      <c r="W7" s="19">
        <f t="shared" si="7"/>
        <v>9</v>
      </c>
      <c r="X7" s="19"/>
      <c r="Y7" s="19"/>
      <c r="Z7" s="19"/>
      <c r="AA7" s="19"/>
      <c r="AB7" s="19"/>
      <c r="AC7" s="22">
        <v>14867.5</v>
      </c>
      <c r="AD7" s="19"/>
      <c r="AE7" s="22">
        <v>14867.5</v>
      </c>
      <c r="AF7" s="62">
        <v>570.0</v>
      </c>
      <c r="AG7" s="19" t="s">
        <v>178</v>
      </c>
      <c r="AH7" s="24"/>
      <c r="AI7" s="19" t="s">
        <v>61</v>
      </c>
      <c r="AJ7" s="19" t="s">
        <v>62</v>
      </c>
      <c r="AK7" s="19">
        <v>35334.0</v>
      </c>
      <c r="AL7" s="62">
        <f t="shared" si="8"/>
        <v>29.58356164</v>
      </c>
      <c r="AM7" s="26" t="s">
        <v>1306</v>
      </c>
      <c r="AN7" s="26" t="s">
        <v>1307</v>
      </c>
      <c r="AO7" s="19">
        <v>9.362149679E9</v>
      </c>
      <c r="AP7" s="28" t="s">
        <v>1308</v>
      </c>
      <c r="AQ7" s="16" t="s">
        <v>110</v>
      </c>
      <c r="AR7" s="16" t="s">
        <v>139</v>
      </c>
      <c r="AS7" s="64" t="s">
        <v>1309</v>
      </c>
      <c r="AT7" s="64" t="s">
        <v>1310</v>
      </c>
      <c r="AU7" s="64" t="s">
        <v>1311</v>
      </c>
      <c r="AV7" s="64" t="s">
        <v>1312</v>
      </c>
      <c r="AW7" s="16"/>
      <c r="AX7" s="26" t="s">
        <v>1313</v>
      </c>
      <c r="AY7" s="19" t="s">
        <v>318</v>
      </c>
      <c r="AZ7" s="19">
        <v>9.977820272E9</v>
      </c>
      <c r="BA7" s="16" t="s">
        <v>914</v>
      </c>
      <c r="BB7" s="16" t="s">
        <v>914</v>
      </c>
      <c r="BC7" s="16">
        <v>44905.0</v>
      </c>
    </row>
    <row r="8" ht="14.25" customHeight="1">
      <c r="A8" s="14">
        <v>7.0</v>
      </c>
      <c r="B8" s="16" t="s">
        <v>915</v>
      </c>
      <c r="C8" s="16" t="s">
        <v>916</v>
      </c>
      <c r="D8" s="16" t="s">
        <v>917</v>
      </c>
      <c r="E8" s="17" t="s">
        <v>132</v>
      </c>
      <c r="F8" s="17"/>
      <c r="G8" s="16" t="str">
        <f t="shared" si="1"/>
        <v>Cayao, Kristine Ghay C.</v>
      </c>
      <c r="H8" s="16" t="str">
        <f t="shared" si="9"/>
        <v>Kristine Ghay C. Cayao</v>
      </c>
      <c r="I8" s="26" t="str">
        <f t="shared" si="3"/>
        <v>Cayao, Kristine Ghay Crucena</v>
      </c>
      <c r="J8" s="19" t="s">
        <v>133</v>
      </c>
      <c r="K8" s="19" t="s">
        <v>56</v>
      </c>
      <c r="L8" s="19" t="s">
        <v>16</v>
      </c>
      <c r="M8" s="19" t="s">
        <v>58</v>
      </c>
      <c r="N8" s="19">
        <v>1.053022249E9</v>
      </c>
      <c r="O8" s="20">
        <v>44711.0</v>
      </c>
      <c r="P8" s="20">
        <v>44693.0</v>
      </c>
      <c r="Q8" s="20">
        <v>44710.0</v>
      </c>
      <c r="R8" s="20">
        <v>44711.0</v>
      </c>
      <c r="S8" s="20">
        <v>44894.0</v>
      </c>
      <c r="T8" s="20">
        <f t="shared" si="4"/>
        <v>46132</v>
      </c>
      <c r="U8" s="21">
        <f t="shared" si="5"/>
        <v>3</v>
      </c>
      <c r="V8" s="19">
        <f t="shared" si="6"/>
        <v>10</v>
      </c>
      <c r="W8" s="19">
        <f t="shared" si="7"/>
        <v>21</v>
      </c>
      <c r="X8" s="19"/>
      <c r="Y8" s="16"/>
      <c r="Z8" s="16"/>
      <c r="AA8" s="16"/>
      <c r="AB8" s="16"/>
      <c r="AC8" s="22">
        <v>14867.5</v>
      </c>
      <c r="AD8" s="23"/>
      <c r="AE8" s="22">
        <f>SUM(AC8:AD8)</f>
        <v>14867.5</v>
      </c>
      <c r="AF8" s="22">
        <v>570.0</v>
      </c>
      <c r="AG8" s="19" t="s">
        <v>178</v>
      </c>
      <c r="AH8" s="24"/>
      <c r="AI8" s="24" t="s">
        <v>135</v>
      </c>
      <c r="AJ8" s="19" t="s">
        <v>107</v>
      </c>
      <c r="AK8" s="19">
        <v>32863.0</v>
      </c>
      <c r="AL8" s="25">
        <f t="shared" si="8"/>
        <v>36.35342466</v>
      </c>
      <c r="AM8" s="26" t="s">
        <v>918</v>
      </c>
      <c r="AN8" s="26" t="s">
        <v>919</v>
      </c>
      <c r="AO8" s="71">
        <v>9.659380558E9</v>
      </c>
      <c r="AP8" s="28" t="s">
        <v>920</v>
      </c>
      <c r="AQ8" s="16" t="s">
        <v>110</v>
      </c>
      <c r="AR8" s="16" t="s">
        <v>921</v>
      </c>
      <c r="AS8" s="19" t="s">
        <v>922</v>
      </c>
      <c r="AT8" s="19" t="s">
        <v>923</v>
      </c>
      <c r="AU8" s="19" t="s">
        <v>924</v>
      </c>
      <c r="AV8" s="19" t="s">
        <v>925</v>
      </c>
      <c r="AW8" s="16"/>
      <c r="AX8" s="16" t="s">
        <v>926</v>
      </c>
      <c r="AY8" s="64" t="s">
        <v>213</v>
      </c>
      <c r="AZ8" s="19">
        <v>9.977898302E9</v>
      </c>
      <c r="BA8" s="86" t="s">
        <v>914</v>
      </c>
      <c r="BB8" s="86" t="s">
        <v>914</v>
      </c>
      <c r="BC8" s="86">
        <v>44894.0</v>
      </c>
    </row>
    <row r="9" ht="14.25" customHeight="1">
      <c r="A9" s="14">
        <v>8.0</v>
      </c>
      <c r="B9" s="16" t="s">
        <v>1314</v>
      </c>
      <c r="C9" s="16" t="s">
        <v>1315</v>
      </c>
      <c r="D9" s="16" t="s">
        <v>1316</v>
      </c>
      <c r="E9" s="19" t="s">
        <v>295</v>
      </c>
      <c r="F9" s="19"/>
      <c r="G9" s="16" t="str">
        <f t="shared" si="1"/>
        <v>Lirio, Ronan V.</v>
      </c>
      <c r="H9" s="16" t="str">
        <f t="shared" si="9"/>
        <v>Ronan V. Lirio</v>
      </c>
      <c r="I9" s="26" t="str">
        <f t="shared" si="3"/>
        <v>Lirio, Ronan Villanueva</v>
      </c>
      <c r="J9" s="19" t="s">
        <v>563</v>
      </c>
      <c r="K9" s="19" t="s">
        <v>104</v>
      </c>
      <c r="L9" s="19" t="s">
        <v>57</v>
      </c>
      <c r="M9" s="19" t="s">
        <v>105</v>
      </c>
      <c r="N9" s="19">
        <v>1.050422062E9</v>
      </c>
      <c r="O9" s="19">
        <v>44685.0</v>
      </c>
      <c r="P9" s="19"/>
      <c r="Q9" s="19"/>
      <c r="R9" s="19"/>
      <c r="S9" s="19"/>
      <c r="T9" s="61">
        <f t="shared" si="4"/>
        <v>46132</v>
      </c>
      <c r="U9" s="19">
        <f t="shared" si="5"/>
        <v>3</v>
      </c>
      <c r="V9" s="19">
        <f t="shared" si="6"/>
        <v>11</v>
      </c>
      <c r="W9" s="19">
        <f t="shared" si="7"/>
        <v>16</v>
      </c>
      <c r="X9" s="19">
        <v>44685.0</v>
      </c>
      <c r="Y9" s="19"/>
      <c r="Z9" s="19"/>
      <c r="AA9" s="19"/>
      <c r="AB9" s="19"/>
      <c r="AC9" s="22">
        <v>14867.5</v>
      </c>
      <c r="AD9" s="19"/>
      <c r="AE9" s="22">
        <v>14867.5</v>
      </c>
      <c r="AF9" s="62">
        <v>570.0</v>
      </c>
      <c r="AG9" s="19" t="s">
        <v>178</v>
      </c>
      <c r="AH9" s="24"/>
      <c r="AI9" s="19" t="s">
        <v>61</v>
      </c>
      <c r="AJ9" s="19" t="s">
        <v>107</v>
      </c>
      <c r="AK9" s="19">
        <v>34792.0</v>
      </c>
      <c r="AL9" s="62">
        <f t="shared" si="8"/>
        <v>31.06849315</v>
      </c>
      <c r="AM9" s="26" t="s">
        <v>1317</v>
      </c>
      <c r="AN9" s="26" t="s">
        <v>1318</v>
      </c>
      <c r="AO9" s="19">
        <v>9.060424671E9</v>
      </c>
      <c r="AP9" s="28" t="s">
        <v>1319</v>
      </c>
      <c r="AQ9" s="16" t="s">
        <v>110</v>
      </c>
      <c r="AR9" s="16" t="s">
        <v>139</v>
      </c>
      <c r="AS9" s="64" t="s">
        <v>1320</v>
      </c>
      <c r="AT9" s="64" t="s">
        <v>1321</v>
      </c>
      <c r="AU9" s="64" t="s">
        <v>1322</v>
      </c>
      <c r="AV9" s="64" t="s">
        <v>1323</v>
      </c>
      <c r="AW9" s="19"/>
      <c r="AX9" s="26" t="s">
        <v>1324</v>
      </c>
      <c r="AY9" s="19" t="s">
        <v>117</v>
      </c>
      <c r="AZ9" s="19">
        <v>9.098598E9</v>
      </c>
      <c r="BA9" s="16" t="s">
        <v>900</v>
      </c>
      <c r="BB9" s="16" t="s">
        <v>1302</v>
      </c>
      <c r="BC9" s="86">
        <v>44915.0</v>
      </c>
    </row>
    <row r="10" ht="14.25" customHeight="1">
      <c r="A10" s="14">
        <v>9.0</v>
      </c>
      <c r="B10" s="16" t="s">
        <v>927</v>
      </c>
      <c r="C10" s="16" t="s">
        <v>928</v>
      </c>
      <c r="D10" s="16" t="s">
        <v>929</v>
      </c>
      <c r="E10" s="17" t="s">
        <v>394</v>
      </c>
      <c r="F10" s="17"/>
      <c r="G10" s="16" t="str">
        <f t="shared" si="1"/>
        <v>Frias, Farrah Lovely S.</v>
      </c>
      <c r="H10" s="16" t="str">
        <f t="shared" si="9"/>
        <v>Farrah Lovely S. Frias</v>
      </c>
      <c r="I10" s="26" t="str">
        <f t="shared" si="3"/>
        <v>Frias, Farrah Lovely Sanchez</v>
      </c>
      <c r="J10" s="19" t="s">
        <v>82</v>
      </c>
      <c r="K10" s="19" t="s">
        <v>335</v>
      </c>
      <c r="L10" s="19" t="s">
        <v>16</v>
      </c>
      <c r="M10" s="19" t="s">
        <v>58</v>
      </c>
      <c r="N10" s="19">
        <v>1.072222258E9</v>
      </c>
      <c r="O10" s="20">
        <v>44764.0</v>
      </c>
      <c r="P10" s="20">
        <v>44748.0</v>
      </c>
      <c r="Q10" s="20">
        <v>44763.0</v>
      </c>
      <c r="R10" s="20">
        <v>44764.0</v>
      </c>
      <c r="S10" s="20">
        <v>44947.0</v>
      </c>
      <c r="T10" s="20">
        <f t="shared" si="4"/>
        <v>46132</v>
      </c>
      <c r="U10" s="21">
        <f t="shared" si="5"/>
        <v>3</v>
      </c>
      <c r="V10" s="19">
        <f t="shared" si="6"/>
        <v>8</v>
      </c>
      <c r="W10" s="19">
        <f t="shared" si="7"/>
        <v>29</v>
      </c>
      <c r="X10" s="74"/>
      <c r="Y10" s="16"/>
      <c r="Z10" s="16"/>
      <c r="AA10" s="16"/>
      <c r="AB10" s="16"/>
      <c r="AC10" s="22">
        <v>14867.5</v>
      </c>
      <c r="AD10" s="23"/>
      <c r="AE10" s="22">
        <f t="shared" ref="AE10:AE12" si="10">SUM(AC10:AD10)</f>
        <v>14867.5</v>
      </c>
      <c r="AF10" s="22">
        <v>570.0</v>
      </c>
      <c r="AG10" s="19" t="s">
        <v>178</v>
      </c>
      <c r="AH10" s="24" t="s">
        <v>930</v>
      </c>
      <c r="AI10" s="24" t="s">
        <v>135</v>
      </c>
      <c r="AJ10" s="19" t="s">
        <v>62</v>
      </c>
      <c r="AK10" s="19">
        <v>36248.0</v>
      </c>
      <c r="AL10" s="25">
        <f t="shared" si="8"/>
        <v>27.07945205</v>
      </c>
      <c r="AM10" s="26" t="s">
        <v>931</v>
      </c>
      <c r="AN10" s="26"/>
      <c r="AO10" s="19">
        <v>9.095097844E9</v>
      </c>
      <c r="AP10" s="75" t="s">
        <v>932</v>
      </c>
      <c r="AQ10" s="16" t="s">
        <v>110</v>
      </c>
      <c r="AR10" s="16" t="s">
        <v>933</v>
      </c>
      <c r="AS10" s="19" t="s">
        <v>934</v>
      </c>
      <c r="AT10" s="19" t="s">
        <v>935</v>
      </c>
      <c r="AU10" s="19" t="s">
        <v>936</v>
      </c>
      <c r="AV10" s="19" t="s">
        <v>937</v>
      </c>
      <c r="AW10" s="16"/>
      <c r="AX10" s="16" t="s">
        <v>938</v>
      </c>
      <c r="AY10" s="19" t="s">
        <v>213</v>
      </c>
      <c r="AZ10" s="19">
        <v>9.070887057E9</v>
      </c>
      <c r="BA10" s="86" t="s">
        <v>900</v>
      </c>
      <c r="BB10" s="16" t="s">
        <v>939</v>
      </c>
      <c r="BC10" s="86">
        <v>44911.0</v>
      </c>
    </row>
    <row r="11" ht="14.25" customHeight="1">
      <c r="A11" s="14">
        <v>10.0</v>
      </c>
      <c r="B11" s="16" t="s">
        <v>940</v>
      </c>
      <c r="C11" s="16" t="s">
        <v>941</v>
      </c>
      <c r="D11" s="16" t="s">
        <v>942</v>
      </c>
      <c r="E11" s="17" t="s">
        <v>943</v>
      </c>
      <c r="F11" s="17"/>
      <c r="G11" s="16" t="str">
        <f t="shared" si="1"/>
        <v>Linart, Kristine O.</v>
      </c>
      <c r="H11" s="16" t="str">
        <f t="shared" si="9"/>
        <v>Kristine O. Linart</v>
      </c>
      <c r="I11" s="26" t="str">
        <f t="shared" si="3"/>
        <v>Linart, Kristine Ogalina</v>
      </c>
      <c r="J11" s="19" t="s">
        <v>944</v>
      </c>
      <c r="K11" s="19" t="s">
        <v>508</v>
      </c>
      <c r="L11" s="19" t="s">
        <v>57</v>
      </c>
      <c r="M11" s="19" t="s">
        <v>58</v>
      </c>
      <c r="N11" s="17">
        <v>1.022619178E9</v>
      </c>
      <c r="O11" s="20">
        <v>43522.0</v>
      </c>
      <c r="P11" s="20"/>
      <c r="Q11" s="20"/>
      <c r="R11" s="20">
        <v>43522.0</v>
      </c>
      <c r="S11" s="20">
        <v>43702.0</v>
      </c>
      <c r="T11" s="20">
        <f t="shared" si="4"/>
        <v>46132</v>
      </c>
      <c r="U11" s="21">
        <f t="shared" si="5"/>
        <v>7</v>
      </c>
      <c r="V11" s="19">
        <f t="shared" si="6"/>
        <v>1</v>
      </c>
      <c r="W11" s="19">
        <f t="shared" si="7"/>
        <v>25</v>
      </c>
      <c r="X11" s="74">
        <v>43703.0</v>
      </c>
      <c r="Y11" s="16"/>
      <c r="Z11" s="16"/>
      <c r="AA11" s="16"/>
      <c r="AB11" s="16"/>
      <c r="AC11" s="22">
        <v>20303.75</v>
      </c>
      <c r="AD11" s="23"/>
      <c r="AE11" s="22">
        <f t="shared" si="10"/>
        <v>20303.75</v>
      </c>
      <c r="AF11" s="22">
        <v>667.52</v>
      </c>
      <c r="AG11" s="19" t="s">
        <v>59</v>
      </c>
      <c r="AH11" s="24" t="s">
        <v>945</v>
      </c>
      <c r="AI11" s="24" t="s">
        <v>135</v>
      </c>
      <c r="AJ11" s="19" t="s">
        <v>62</v>
      </c>
      <c r="AK11" s="19">
        <v>35733.0</v>
      </c>
      <c r="AL11" s="25">
        <f t="shared" si="8"/>
        <v>28.49041096</v>
      </c>
      <c r="AM11" s="26" t="s">
        <v>946</v>
      </c>
      <c r="AN11" s="26"/>
      <c r="AO11" s="71">
        <v>9.199685237E9</v>
      </c>
      <c r="AP11" s="28" t="s">
        <v>947</v>
      </c>
      <c r="AQ11" s="16" t="s">
        <v>110</v>
      </c>
      <c r="AR11" s="26" t="s">
        <v>948</v>
      </c>
      <c r="AS11" s="19" t="s">
        <v>949</v>
      </c>
      <c r="AT11" s="19" t="s">
        <v>950</v>
      </c>
      <c r="AU11" s="19" t="s">
        <v>951</v>
      </c>
      <c r="AV11" s="19" t="s">
        <v>952</v>
      </c>
      <c r="AW11" s="16"/>
      <c r="AX11" s="16" t="s">
        <v>953</v>
      </c>
      <c r="AY11" s="19" t="s">
        <v>213</v>
      </c>
      <c r="AZ11" s="19">
        <v>9.395545397E9</v>
      </c>
      <c r="BA11" s="132" t="s">
        <v>900</v>
      </c>
      <c r="BB11" s="16" t="s">
        <v>954</v>
      </c>
      <c r="BC11" s="86">
        <v>44834.0</v>
      </c>
    </row>
    <row r="12" ht="14.25" customHeight="1">
      <c r="A12" s="14">
        <v>11.0</v>
      </c>
      <c r="B12" s="15" t="s">
        <v>955</v>
      </c>
      <c r="C12" s="15" t="s">
        <v>956</v>
      </c>
      <c r="D12" s="15" t="s">
        <v>957</v>
      </c>
      <c r="E12" s="17" t="s">
        <v>308</v>
      </c>
      <c r="F12" s="17"/>
      <c r="G12" s="16" t="str">
        <f t="shared" si="1"/>
        <v>Olmedo, Dianne Gel B.</v>
      </c>
      <c r="H12" s="16" t="str">
        <f t="shared" si="9"/>
        <v>Dianne Gel B. Olmedo</v>
      </c>
      <c r="I12" s="26" t="str">
        <f t="shared" si="3"/>
        <v>Olmedo, Dianne Gel Balintos</v>
      </c>
      <c r="J12" s="19" t="s">
        <v>958</v>
      </c>
      <c r="K12" s="19" t="s">
        <v>959</v>
      </c>
      <c r="L12" s="19" t="s">
        <v>57</v>
      </c>
      <c r="M12" s="19" t="s">
        <v>58</v>
      </c>
      <c r="N12" s="19">
        <v>1.10071921E9</v>
      </c>
      <c r="O12" s="20">
        <v>43745.0</v>
      </c>
      <c r="P12" s="19"/>
      <c r="Q12" s="19"/>
      <c r="R12" s="19">
        <v>43745.0</v>
      </c>
      <c r="S12" s="19">
        <v>43927.0</v>
      </c>
      <c r="T12" s="20">
        <f t="shared" si="4"/>
        <v>46132</v>
      </c>
      <c r="U12" s="21">
        <f t="shared" si="5"/>
        <v>6</v>
      </c>
      <c r="V12" s="19">
        <f t="shared" si="6"/>
        <v>6</v>
      </c>
      <c r="W12" s="19">
        <f t="shared" si="7"/>
        <v>13</v>
      </c>
      <c r="X12" s="74">
        <v>44274.0</v>
      </c>
      <c r="Y12" s="16"/>
      <c r="Z12" s="16"/>
      <c r="AA12" s="16"/>
      <c r="AB12" s="16"/>
      <c r="AC12" s="22">
        <v>18328.75</v>
      </c>
      <c r="AD12" s="23"/>
      <c r="AE12" s="22">
        <f t="shared" si="10"/>
        <v>18328.75</v>
      </c>
      <c r="AF12" s="22">
        <v>602.59</v>
      </c>
      <c r="AG12" s="19" t="s">
        <v>59</v>
      </c>
      <c r="AH12" s="24" t="s">
        <v>960</v>
      </c>
      <c r="AI12" s="24" t="s">
        <v>135</v>
      </c>
      <c r="AJ12" s="19" t="s">
        <v>62</v>
      </c>
      <c r="AK12" s="19">
        <v>35732.0</v>
      </c>
      <c r="AL12" s="25">
        <f t="shared" si="8"/>
        <v>28.49315068</v>
      </c>
      <c r="AM12" s="53" t="s">
        <v>961</v>
      </c>
      <c r="AN12" s="26"/>
      <c r="AO12" s="19">
        <v>9.777008557E9</v>
      </c>
      <c r="AP12" s="28" t="s">
        <v>962</v>
      </c>
      <c r="AQ12" s="16" t="s">
        <v>110</v>
      </c>
      <c r="AR12" s="16" t="s">
        <v>963</v>
      </c>
      <c r="AS12" s="19" t="s">
        <v>964</v>
      </c>
      <c r="AT12" s="19" t="s">
        <v>965</v>
      </c>
      <c r="AU12" s="19" t="s">
        <v>966</v>
      </c>
      <c r="AV12" s="19" t="s">
        <v>967</v>
      </c>
      <c r="AW12" s="16"/>
      <c r="AX12" s="16" t="s">
        <v>968</v>
      </c>
      <c r="AY12" s="19" t="s">
        <v>213</v>
      </c>
      <c r="AZ12" s="19">
        <v>9.174146455E9</v>
      </c>
      <c r="BA12" s="86" t="s">
        <v>900</v>
      </c>
      <c r="BB12" s="86" t="s">
        <v>954</v>
      </c>
      <c r="BC12" s="86">
        <v>44942.0</v>
      </c>
    </row>
    <row r="13" ht="14.25" customHeight="1">
      <c r="A13" s="14">
        <v>12.0</v>
      </c>
      <c r="B13" s="16" t="s">
        <v>690</v>
      </c>
      <c r="C13" s="16" t="s">
        <v>1325</v>
      </c>
      <c r="D13" s="16" t="s">
        <v>1326</v>
      </c>
      <c r="E13" s="19" t="s">
        <v>132</v>
      </c>
      <c r="F13" s="19"/>
      <c r="G13" s="16" t="str">
        <f t="shared" si="1"/>
        <v>Tolentino, Kelvin C.</v>
      </c>
      <c r="H13" s="16" t="str">
        <f t="shared" si="9"/>
        <v>Kelvin C. Tolentino</v>
      </c>
      <c r="I13" s="26" t="str">
        <f t="shared" si="3"/>
        <v>Tolentino, Kelvin Calimag</v>
      </c>
      <c r="J13" s="19" t="s">
        <v>82</v>
      </c>
      <c r="K13" s="19" t="s">
        <v>191</v>
      </c>
      <c r="L13" s="19" t="s">
        <v>16</v>
      </c>
      <c r="M13" s="19" t="s">
        <v>105</v>
      </c>
      <c r="N13" s="19">
        <v>1.112322267E9</v>
      </c>
      <c r="O13" s="19">
        <v>44888.0</v>
      </c>
      <c r="P13" s="19">
        <v>44872.0</v>
      </c>
      <c r="Q13" s="19">
        <v>44887.0</v>
      </c>
      <c r="R13" s="19">
        <v>44888.0</v>
      </c>
      <c r="S13" s="19">
        <v>45068.0</v>
      </c>
      <c r="T13" s="61">
        <f t="shared" si="4"/>
        <v>46132</v>
      </c>
      <c r="U13" s="19">
        <f t="shared" si="5"/>
        <v>3</v>
      </c>
      <c r="V13" s="19">
        <f t="shared" si="6"/>
        <v>4</v>
      </c>
      <c r="W13" s="19">
        <f t="shared" si="7"/>
        <v>28</v>
      </c>
      <c r="X13" s="19"/>
      <c r="Y13" s="19"/>
      <c r="Z13" s="19"/>
      <c r="AA13" s="19"/>
      <c r="AB13" s="19"/>
      <c r="AC13" s="22">
        <v>14867.5</v>
      </c>
      <c r="AD13" s="19"/>
      <c r="AE13" s="22">
        <v>14867.5</v>
      </c>
      <c r="AF13" s="62">
        <v>570.0</v>
      </c>
      <c r="AG13" s="19" t="s">
        <v>178</v>
      </c>
      <c r="AH13" s="24"/>
      <c r="AI13" s="19" t="s">
        <v>61</v>
      </c>
      <c r="AJ13" s="19" t="s">
        <v>62</v>
      </c>
      <c r="AK13" s="19">
        <v>34891.0</v>
      </c>
      <c r="AL13" s="62">
        <f t="shared" si="8"/>
        <v>30.79726027</v>
      </c>
      <c r="AM13" s="26" t="s">
        <v>1327</v>
      </c>
      <c r="AN13" s="26" t="s">
        <v>1328</v>
      </c>
      <c r="AO13" s="19">
        <v>9.15131823E9</v>
      </c>
      <c r="AP13" s="75" t="s">
        <v>1329</v>
      </c>
      <c r="AQ13" s="16" t="s">
        <v>110</v>
      </c>
      <c r="AR13" s="16" t="s">
        <v>1330</v>
      </c>
      <c r="AS13" s="19" t="s">
        <v>1331</v>
      </c>
      <c r="AT13" s="19" t="s">
        <v>1332</v>
      </c>
      <c r="AU13" s="19" t="s">
        <v>1333</v>
      </c>
      <c r="AV13" s="19" t="s">
        <v>1334</v>
      </c>
      <c r="AW13" s="16"/>
      <c r="AX13" s="16" t="s">
        <v>1335</v>
      </c>
      <c r="AY13" s="19" t="s">
        <v>213</v>
      </c>
      <c r="AZ13" s="19">
        <v>9.567320899E9</v>
      </c>
      <c r="BA13" s="16" t="s">
        <v>1336</v>
      </c>
      <c r="BB13" s="16" t="s">
        <v>983</v>
      </c>
      <c r="BC13" s="16">
        <v>44985.0</v>
      </c>
    </row>
    <row r="14" ht="14.25" customHeight="1">
      <c r="A14" s="14">
        <v>13.0</v>
      </c>
      <c r="B14" s="15" t="s">
        <v>969</v>
      </c>
      <c r="C14" s="15" t="s">
        <v>970</v>
      </c>
      <c r="D14" s="15" t="s">
        <v>971</v>
      </c>
      <c r="E14" s="17" t="s">
        <v>943</v>
      </c>
      <c r="F14" s="17"/>
      <c r="G14" s="16" t="str">
        <f t="shared" si="1"/>
        <v>Abud, Camille Joyce O.</v>
      </c>
      <c r="H14" s="16" t="str">
        <f t="shared" si="9"/>
        <v>Camille Joyce O. Abud</v>
      </c>
      <c r="I14" s="26" t="str">
        <f t="shared" si="3"/>
        <v>Abud, Camille Joyce Olivar</v>
      </c>
      <c r="J14" s="19" t="s">
        <v>972</v>
      </c>
      <c r="K14" s="19" t="s">
        <v>959</v>
      </c>
      <c r="L14" s="19" t="s">
        <v>16</v>
      </c>
      <c r="M14" s="19" t="s">
        <v>58</v>
      </c>
      <c r="N14" s="19">
        <v>1.011923273E9</v>
      </c>
      <c r="O14" s="20">
        <v>44945.0</v>
      </c>
      <c r="P14" s="19">
        <v>44945.0</v>
      </c>
      <c r="Q14" s="19">
        <v>44958.0</v>
      </c>
      <c r="R14" s="19">
        <v>44945.0</v>
      </c>
      <c r="S14" s="19">
        <v>45125.0</v>
      </c>
      <c r="T14" s="20">
        <f t="shared" si="4"/>
        <v>46132</v>
      </c>
      <c r="U14" s="21">
        <f t="shared" si="5"/>
        <v>3</v>
      </c>
      <c r="V14" s="19">
        <f t="shared" si="6"/>
        <v>3</v>
      </c>
      <c r="W14" s="19">
        <f t="shared" si="7"/>
        <v>1</v>
      </c>
      <c r="X14" s="74">
        <v>44274.0</v>
      </c>
      <c r="Y14" s="16"/>
      <c r="Z14" s="16"/>
      <c r="AA14" s="16"/>
      <c r="AB14" s="16"/>
      <c r="AC14" s="22">
        <v>17500.0</v>
      </c>
      <c r="AD14" s="23"/>
      <c r="AE14" s="22">
        <f t="shared" ref="AE14:AE15" si="11">SUM(AC14:AD14)</f>
        <v>17500</v>
      </c>
      <c r="AF14" s="22">
        <v>575.34</v>
      </c>
      <c r="AG14" s="19" t="s">
        <v>59</v>
      </c>
      <c r="AH14" s="24"/>
      <c r="AI14" s="24" t="s">
        <v>135</v>
      </c>
      <c r="AJ14" s="19" t="s">
        <v>62</v>
      </c>
      <c r="AK14" s="19">
        <v>36327.0</v>
      </c>
      <c r="AL14" s="25">
        <f t="shared" si="8"/>
        <v>26.8630137</v>
      </c>
      <c r="AM14" s="53" t="s">
        <v>973</v>
      </c>
      <c r="AN14" s="26"/>
      <c r="AO14" s="19">
        <v>9.773817853E9</v>
      </c>
      <c r="AP14" s="75" t="s">
        <v>974</v>
      </c>
      <c r="AQ14" s="16" t="s">
        <v>110</v>
      </c>
      <c r="AR14" s="16" t="s">
        <v>975</v>
      </c>
      <c r="AS14" s="19" t="s">
        <v>976</v>
      </c>
      <c r="AT14" s="19" t="s">
        <v>977</v>
      </c>
      <c r="AU14" s="19" t="s">
        <v>978</v>
      </c>
      <c r="AV14" s="19" t="s">
        <v>979</v>
      </c>
      <c r="AW14" s="16"/>
      <c r="AX14" s="16" t="s">
        <v>980</v>
      </c>
      <c r="AY14" s="19" t="s">
        <v>981</v>
      </c>
      <c r="AZ14" s="19">
        <v>9.458517237E9</v>
      </c>
      <c r="BA14" s="16" t="s">
        <v>982</v>
      </c>
      <c r="BB14" s="86" t="s">
        <v>983</v>
      </c>
      <c r="BC14" s="86">
        <v>44976.0</v>
      </c>
    </row>
    <row r="15" ht="14.25" customHeight="1">
      <c r="A15" s="14">
        <v>14.0</v>
      </c>
      <c r="B15" s="16" t="s">
        <v>984</v>
      </c>
      <c r="C15" s="16" t="s">
        <v>985</v>
      </c>
      <c r="D15" s="16" t="s">
        <v>986</v>
      </c>
      <c r="E15" s="17" t="s">
        <v>81</v>
      </c>
      <c r="F15" s="17"/>
      <c r="G15" s="16" t="str">
        <f t="shared" si="1"/>
        <v>Fiecas, Dan Kloyd F.</v>
      </c>
      <c r="H15" s="16" t="str">
        <f t="shared" si="9"/>
        <v>Dan Kloyd F. Fiecas</v>
      </c>
      <c r="I15" s="26" t="str">
        <f t="shared" si="3"/>
        <v>Fiecas, Dan Kloyd Faigao</v>
      </c>
      <c r="J15" s="19" t="s">
        <v>944</v>
      </c>
      <c r="K15" s="19" t="s">
        <v>508</v>
      </c>
      <c r="L15" s="19" t="s">
        <v>57</v>
      </c>
      <c r="M15" s="19" t="s">
        <v>58</v>
      </c>
      <c r="N15" s="19">
        <v>1.080222259E9</v>
      </c>
      <c r="O15" s="20">
        <v>44775.0</v>
      </c>
      <c r="P15" s="105"/>
      <c r="Q15" s="105"/>
      <c r="R15" s="20">
        <v>44775.0</v>
      </c>
      <c r="S15" s="20">
        <v>44593.0</v>
      </c>
      <c r="T15" s="20">
        <f t="shared" si="4"/>
        <v>46132</v>
      </c>
      <c r="U15" s="21">
        <f t="shared" si="5"/>
        <v>3</v>
      </c>
      <c r="V15" s="19">
        <f t="shared" si="6"/>
        <v>8</v>
      </c>
      <c r="W15" s="19">
        <f t="shared" si="7"/>
        <v>18</v>
      </c>
      <c r="X15" s="74">
        <v>44959.0</v>
      </c>
      <c r="Y15" s="16"/>
      <c r="Z15" s="16"/>
      <c r="AA15" s="16"/>
      <c r="AB15" s="16"/>
      <c r="AC15" s="22">
        <v>18375.0</v>
      </c>
      <c r="AD15" s="23"/>
      <c r="AE15" s="22">
        <f t="shared" si="11"/>
        <v>18375</v>
      </c>
      <c r="AF15" s="22">
        <f>AC15*12/365</f>
        <v>604.109589</v>
      </c>
      <c r="AG15" s="19" t="s">
        <v>59</v>
      </c>
      <c r="AH15" s="24" t="s">
        <v>987</v>
      </c>
      <c r="AI15" s="24" t="s">
        <v>61</v>
      </c>
      <c r="AJ15" s="19" t="s">
        <v>62</v>
      </c>
      <c r="AK15" s="19">
        <v>36337.0</v>
      </c>
      <c r="AL15" s="25">
        <f t="shared" si="8"/>
        <v>26.83561644</v>
      </c>
      <c r="AM15" s="26" t="s">
        <v>988</v>
      </c>
      <c r="AN15" s="26" t="s">
        <v>784</v>
      </c>
      <c r="AO15" s="108">
        <v>9.76066532E9</v>
      </c>
      <c r="AP15" s="75" t="s">
        <v>989</v>
      </c>
      <c r="AQ15" s="16" t="s">
        <v>110</v>
      </c>
      <c r="AR15" s="16" t="s">
        <v>990</v>
      </c>
      <c r="AS15" s="19" t="s">
        <v>991</v>
      </c>
      <c r="AT15" s="19" t="s">
        <v>992</v>
      </c>
      <c r="AU15" s="19" t="s">
        <v>993</v>
      </c>
      <c r="AV15" s="19" t="s">
        <v>994</v>
      </c>
      <c r="AW15" s="16"/>
      <c r="AX15" s="16" t="s">
        <v>995</v>
      </c>
      <c r="AY15" s="19" t="s">
        <v>213</v>
      </c>
      <c r="AZ15" s="19">
        <v>9.065690241E9</v>
      </c>
      <c r="BA15" s="86" t="s">
        <v>900</v>
      </c>
      <c r="BB15" s="86" t="s">
        <v>954</v>
      </c>
      <c r="BC15" s="86">
        <v>44995.0</v>
      </c>
    </row>
    <row r="16" ht="14.25" customHeight="1">
      <c r="A16" s="14">
        <v>15.0</v>
      </c>
      <c r="B16" s="16" t="s">
        <v>1337</v>
      </c>
      <c r="C16" s="16" t="s">
        <v>1338</v>
      </c>
      <c r="D16" s="16" t="s">
        <v>1339</v>
      </c>
      <c r="E16" s="19" t="s">
        <v>418</v>
      </c>
      <c r="F16" s="19"/>
      <c r="G16" s="16" t="str">
        <f t="shared" si="1"/>
        <v>Erandio, James P.</v>
      </c>
      <c r="H16" s="16" t="str">
        <f t="shared" si="9"/>
        <v>James P. Erandio</v>
      </c>
      <c r="I16" s="26" t="str">
        <f t="shared" si="3"/>
        <v>Erandio, James Pelayo</v>
      </c>
      <c r="J16" s="19" t="s">
        <v>82</v>
      </c>
      <c r="K16" s="19" t="s">
        <v>191</v>
      </c>
      <c r="L16" s="19" t="s">
        <v>16</v>
      </c>
      <c r="M16" s="19" t="s">
        <v>105</v>
      </c>
      <c r="N16" s="19">
        <v>1.091722265E9</v>
      </c>
      <c r="O16" s="19">
        <v>44821.0</v>
      </c>
      <c r="P16" s="19">
        <v>44805.0</v>
      </c>
      <c r="Q16" s="19">
        <v>44820.0</v>
      </c>
      <c r="R16" s="19">
        <v>44821.0</v>
      </c>
      <c r="S16" s="19">
        <v>45001.0</v>
      </c>
      <c r="T16" s="61">
        <f t="shared" si="4"/>
        <v>46132</v>
      </c>
      <c r="U16" s="19">
        <f t="shared" si="5"/>
        <v>3</v>
      </c>
      <c r="V16" s="19">
        <f t="shared" si="6"/>
        <v>7</v>
      </c>
      <c r="W16" s="19">
        <f t="shared" si="7"/>
        <v>3</v>
      </c>
      <c r="X16" s="19"/>
      <c r="Y16" s="19"/>
      <c r="Z16" s="19"/>
      <c r="AA16" s="19"/>
      <c r="AB16" s="19"/>
      <c r="AC16" s="22">
        <v>14867.5</v>
      </c>
      <c r="AD16" s="19"/>
      <c r="AE16" s="22">
        <v>14867.5</v>
      </c>
      <c r="AF16" s="62">
        <v>570.0</v>
      </c>
      <c r="AG16" s="19" t="s">
        <v>178</v>
      </c>
      <c r="AH16" s="24" t="s">
        <v>1340</v>
      </c>
      <c r="AI16" s="19" t="s">
        <v>61</v>
      </c>
      <c r="AJ16" s="19" t="s">
        <v>62</v>
      </c>
      <c r="AK16" s="19">
        <v>36637.0</v>
      </c>
      <c r="AL16" s="62">
        <f t="shared" si="8"/>
        <v>26.01369863</v>
      </c>
      <c r="AM16" s="26" t="s">
        <v>1341</v>
      </c>
      <c r="AN16" s="26"/>
      <c r="AO16" s="19">
        <v>9.777587089E9</v>
      </c>
      <c r="AP16" s="75" t="s">
        <v>1342</v>
      </c>
      <c r="AQ16" s="16" t="s">
        <v>110</v>
      </c>
      <c r="AR16" s="16" t="s">
        <v>298</v>
      </c>
      <c r="AS16" s="19" t="s">
        <v>1343</v>
      </c>
      <c r="AT16" s="19" t="s">
        <v>1344</v>
      </c>
      <c r="AU16" s="19" t="s">
        <v>1345</v>
      </c>
      <c r="AV16" s="19" t="s">
        <v>1346</v>
      </c>
      <c r="AW16" s="16"/>
      <c r="AX16" s="16" t="s">
        <v>1347</v>
      </c>
      <c r="AY16" s="19" t="s">
        <v>318</v>
      </c>
      <c r="AZ16" s="19">
        <v>9.551895692E9</v>
      </c>
      <c r="BA16" s="16" t="s">
        <v>914</v>
      </c>
      <c r="BB16" s="86" t="s">
        <v>914</v>
      </c>
      <c r="BC16" s="171">
        <v>45001.0</v>
      </c>
    </row>
    <row r="17" ht="14.25" customHeight="1">
      <c r="A17" s="14">
        <v>16.0</v>
      </c>
      <c r="B17" s="15" t="s">
        <v>996</v>
      </c>
      <c r="C17" s="15" t="s">
        <v>997</v>
      </c>
      <c r="D17" s="15" t="s">
        <v>998</v>
      </c>
      <c r="E17" s="17" t="s">
        <v>87</v>
      </c>
      <c r="F17" s="17"/>
      <c r="G17" s="16" t="str">
        <f t="shared" si="1"/>
        <v>De Guia, Angelica L.</v>
      </c>
      <c r="H17" s="16" t="str">
        <f t="shared" si="9"/>
        <v>Angelica L. De Guia</v>
      </c>
      <c r="I17" s="16" t="str">
        <f t="shared" si="3"/>
        <v>De Guia, Angelica Loro</v>
      </c>
      <c r="J17" s="19" t="s">
        <v>550</v>
      </c>
      <c r="K17" s="19" t="s">
        <v>451</v>
      </c>
      <c r="L17" s="19" t="s">
        <v>57</v>
      </c>
      <c r="M17" s="19" t="s">
        <v>58</v>
      </c>
      <c r="N17" s="19">
        <v>1.110518153E9</v>
      </c>
      <c r="O17" s="20">
        <v>43409.0</v>
      </c>
      <c r="P17" s="90"/>
      <c r="Q17" s="90"/>
      <c r="R17" s="19">
        <v>43409.0</v>
      </c>
      <c r="S17" s="19">
        <v>43589.0</v>
      </c>
      <c r="T17" s="20">
        <f t="shared" si="4"/>
        <v>46132</v>
      </c>
      <c r="U17" s="21">
        <f t="shared" si="5"/>
        <v>7</v>
      </c>
      <c r="V17" s="19">
        <f t="shared" si="6"/>
        <v>5</v>
      </c>
      <c r="W17" s="19">
        <f t="shared" si="7"/>
        <v>15</v>
      </c>
      <c r="X17" s="74">
        <v>43590.0</v>
      </c>
      <c r="Y17" s="16"/>
      <c r="Z17" s="16"/>
      <c r="AA17" s="16"/>
      <c r="AB17" s="16"/>
      <c r="AC17" s="22">
        <v>20303.75</v>
      </c>
      <c r="AD17" s="23"/>
      <c r="AE17" s="22">
        <f t="shared" ref="AE17:AE21" si="12">SUM(AC17:AD17)</f>
        <v>20303.75</v>
      </c>
      <c r="AF17" s="22">
        <v>667.52</v>
      </c>
      <c r="AG17" s="19" t="s">
        <v>59</v>
      </c>
      <c r="AH17" s="24" t="s">
        <v>999</v>
      </c>
      <c r="AI17" s="24" t="s">
        <v>135</v>
      </c>
      <c r="AJ17" s="19" t="s">
        <v>62</v>
      </c>
      <c r="AK17" s="19">
        <v>35168.0</v>
      </c>
      <c r="AL17" s="25">
        <f t="shared" si="8"/>
        <v>30.03835616</v>
      </c>
      <c r="AM17" s="149" t="s">
        <v>1000</v>
      </c>
      <c r="AN17" s="16"/>
      <c r="AO17" s="71">
        <v>9.302532062E9</v>
      </c>
      <c r="AP17" s="89" t="s">
        <v>1001</v>
      </c>
      <c r="AQ17" s="16" t="s">
        <v>110</v>
      </c>
      <c r="AR17" s="26" t="s">
        <v>526</v>
      </c>
      <c r="AS17" s="19" t="s">
        <v>1002</v>
      </c>
      <c r="AT17" s="19" t="s">
        <v>1003</v>
      </c>
      <c r="AU17" s="19" t="s">
        <v>1004</v>
      </c>
      <c r="AV17" s="19" t="s">
        <v>1005</v>
      </c>
      <c r="AW17" s="16"/>
      <c r="AX17" s="16" t="s">
        <v>1006</v>
      </c>
      <c r="AY17" s="19" t="s">
        <v>701</v>
      </c>
      <c r="AZ17" s="19">
        <v>9.561281319E9</v>
      </c>
      <c r="BA17" s="86" t="s">
        <v>900</v>
      </c>
      <c r="BB17" s="86" t="s">
        <v>954</v>
      </c>
      <c r="BC17" s="171">
        <v>45071.0</v>
      </c>
    </row>
    <row r="18" ht="14.25" customHeight="1">
      <c r="A18" s="14">
        <v>17.0</v>
      </c>
      <c r="B18" s="16" t="s">
        <v>1007</v>
      </c>
      <c r="C18" s="16" t="s">
        <v>1008</v>
      </c>
      <c r="D18" s="16" t="s">
        <v>1009</v>
      </c>
      <c r="E18" s="17" t="s">
        <v>943</v>
      </c>
      <c r="F18" s="17"/>
      <c r="G18" s="16" t="str">
        <f>CONCATENATE(B18," ",F18,", ",C18," ",E18,".")</f>
        <v>Anector , Christopher O.</v>
      </c>
      <c r="H18" s="16" t="str">
        <f>CONCATENATE(C18," ",E18,". ",B18," ",F18)</f>
        <v>Christopher O. Anector </v>
      </c>
      <c r="I18" s="16" t="str">
        <f>CONCATENATE(B18," ",F18,", ",C18," ",D18)</f>
        <v>Anector , Christopher Ortiguesa</v>
      </c>
      <c r="J18" s="19" t="s">
        <v>219</v>
      </c>
      <c r="K18" s="19" t="s">
        <v>161</v>
      </c>
      <c r="L18" s="19" t="s">
        <v>16</v>
      </c>
      <c r="M18" s="19" t="s">
        <v>58</v>
      </c>
      <c r="N18" s="109">
        <v>1.010623271E9</v>
      </c>
      <c r="O18" s="20">
        <v>44932.0</v>
      </c>
      <c r="P18" s="110"/>
      <c r="Q18" s="20"/>
      <c r="R18" s="20"/>
      <c r="S18" s="20"/>
      <c r="T18" s="20">
        <f t="shared" si="4"/>
        <v>46132</v>
      </c>
      <c r="U18" s="21">
        <f t="shared" si="5"/>
        <v>3</v>
      </c>
      <c r="V18" s="19">
        <f t="shared" si="6"/>
        <v>3</v>
      </c>
      <c r="W18" s="19">
        <f t="shared" si="7"/>
        <v>14</v>
      </c>
      <c r="X18" s="74"/>
      <c r="Y18" s="16"/>
      <c r="Z18" s="16"/>
      <c r="AA18" s="16"/>
      <c r="AB18" s="16"/>
      <c r="AC18" s="22">
        <v>14867.5</v>
      </c>
      <c r="AD18" s="23"/>
      <c r="AE18" s="22">
        <f t="shared" si="12"/>
        <v>14867.5</v>
      </c>
      <c r="AF18" s="22">
        <v>570.0</v>
      </c>
      <c r="AG18" s="19" t="s">
        <v>178</v>
      </c>
      <c r="AH18" s="24" t="s">
        <v>1010</v>
      </c>
      <c r="AI18" s="24" t="s">
        <v>61</v>
      </c>
      <c r="AJ18" s="19" t="s">
        <v>62</v>
      </c>
      <c r="AK18" s="19">
        <v>31674.0</v>
      </c>
      <c r="AL18" s="25">
        <f t="shared" si="8"/>
        <v>39.6109589</v>
      </c>
      <c r="AM18" s="19" t="s">
        <v>1011</v>
      </c>
      <c r="AN18" s="16" t="s">
        <v>1012</v>
      </c>
      <c r="AO18" s="108">
        <v>9.566493666E9</v>
      </c>
      <c r="AP18" s="75" t="s">
        <v>1013</v>
      </c>
      <c r="AQ18" s="16" t="s">
        <v>352</v>
      </c>
      <c r="AR18" s="16" t="s">
        <v>1014</v>
      </c>
      <c r="AS18" s="19" t="s">
        <v>1015</v>
      </c>
      <c r="AT18" s="19" t="s">
        <v>1016</v>
      </c>
      <c r="AU18" s="19" t="s">
        <v>1017</v>
      </c>
      <c r="AV18" s="19" t="s">
        <v>1018</v>
      </c>
      <c r="AW18" s="16"/>
      <c r="AX18" s="16" t="s">
        <v>1019</v>
      </c>
      <c r="AY18" s="19" t="s">
        <v>213</v>
      </c>
      <c r="AZ18" s="19">
        <v>9.267131176E9</v>
      </c>
      <c r="BA18" s="86" t="s">
        <v>900</v>
      </c>
      <c r="BB18" s="86" t="s">
        <v>954</v>
      </c>
      <c r="BC18" s="171">
        <v>45092.0</v>
      </c>
    </row>
    <row r="19" ht="14.25" customHeight="1">
      <c r="A19" s="14">
        <v>18.0</v>
      </c>
      <c r="B19" s="15" t="s">
        <v>1031</v>
      </c>
      <c r="C19" s="15" t="s">
        <v>1032</v>
      </c>
      <c r="D19" s="15" t="s">
        <v>1033</v>
      </c>
      <c r="E19" s="17" t="s">
        <v>379</v>
      </c>
      <c r="F19" s="17"/>
      <c r="G19" s="16" t="str">
        <f t="shared" ref="G19:G21" si="13">CONCATENATE(B19,", ",C19," ",E19,".")</f>
        <v>Delumen, Helen G.</v>
      </c>
      <c r="H19" s="16" t="str">
        <f t="shared" ref="H19:H21" si="14">CONCATENATE(C19," ",E19,". ",B19)</f>
        <v>Helen G. Delumen</v>
      </c>
      <c r="I19" s="16" t="str">
        <f t="shared" ref="I19:I21" si="15">CONCATENATE(B19,", ",C19," ",D19)</f>
        <v>Delumen, Helen Galvan</v>
      </c>
      <c r="J19" s="19" t="s">
        <v>1034</v>
      </c>
      <c r="K19" s="19" t="s">
        <v>508</v>
      </c>
      <c r="L19" s="19" t="s">
        <v>57</v>
      </c>
      <c r="M19" s="19" t="s">
        <v>58</v>
      </c>
      <c r="N19" s="19">
        <v>1.100118346E9</v>
      </c>
      <c r="O19" s="20">
        <v>42744.0</v>
      </c>
      <c r="P19" s="20"/>
      <c r="Q19" s="20"/>
      <c r="R19" s="20">
        <v>42744.0</v>
      </c>
      <c r="S19" s="20">
        <v>42924.0</v>
      </c>
      <c r="T19" s="20">
        <f t="shared" si="4"/>
        <v>46132</v>
      </c>
      <c r="U19" s="21">
        <f t="shared" si="5"/>
        <v>9</v>
      </c>
      <c r="V19" s="19">
        <f t="shared" si="6"/>
        <v>3</v>
      </c>
      <c r="W19" s="19">
        <f t="shared" si="7"/>
        <v>11</v>
      </c>
      <c r="X19" s="74">
        <v>42925.0</v>
      </c>
      <c r="Y19" s="15"/>
      <c r="Z19" s="15"/>
      <c r="AA19" s="15"/>
      <c r="AB19" s="15"/>
      <c r="AC19" s="78">
        <v>25003.75</v>
      </c>
      <c r="AD19" s="150"/>
      <c r="AE19" s="22">
        <f t="shared" si="12"/>
        <v>25003.75</v>
      </c>
      <c r="AF19" s="19">
        <v>822.04</v>
      </c>
      <c r="AG19" s="19" t="s">
        <v>59</v>
      </c>
      <c r="AH19" s="80" t="s">
        <v>1035</v>
      </c>
      <c r="AI19" s="24" t="s">
        <v>135</v>
      </c>
      <c r="AJ19" s="19" t="s">
        <v>107</v>
      </c>
      <c r="AK19" s="19">
        <v>28126.0</v>
      </c>
      <c r="AL19" s="25">
        <f t="shared" si="8"/>
        <v>49.33150685</v>
      </c>
      <c r="AM19" s="19" t="s">
        <v>1036</v>
      </c>
      <c r="AN19" s="15"/>
      <c r="AO19" s="71">
        <v>9.086715911E9</v>
      </c>
      <c r="AP19" s="89" t="s">
        <v>1037</v>
      </c>
      <c r="AQ19" s="16" t="s">
        <v>110</v>
      </c>
      <c r="AR19" s="93" t="s">
        <v>1038</v>
      </c>
      <c r="AS19" s="19" t="s">
        <v>1039</v>
      </c>
      <c r="AT19" s="19" t="s">
        <v>1040</v>
      </c>
      <c r="AU19" s="19" t="s">
        <v>1041</v>
      </c>
      <c r="AV19" s="19" t="s">
        <v>1042</v>
      </c>
      <c r="AW19" s="15"/>
      <c r="AX19" s="15" t="s">
        <v>1043</v>
      </c>
      <c r="AY19" s="17" t="s">
        <v>635</v>
      </c>
      <c r="AZ19" s="17">
        <v>9.086862804E9</v>
      </c>
      <c r="BA19" s="86" t="s">
        <v>900</v>
      </c>
      <c r="BB19" s="86" t="s">
        <v>954</v>
      </c>
      <c r="BC19" s="171">
        <v>45122.0</v>
      </c>
    </row>
    <row r="20" ht="14.25" customHeight="1">
      <c r="A20" s="14">
        <v>23.0</v>
      </c>
      <c r="B20" s="15" t="s">
        <v>216</v>
      </c>
      <c r="C20" s="15" t="s">
        <v>1020</v>
      </c>
      <c r="D20" s="15" t="s">
        <v>1021</v>
      </c>
      <c r="E20" s="17" t="s">
        <v>54</v>
      </c>
      <c r="F20" s="17"/>
      <c r="G20" s="16" t="str">
        <f t="shared" si="13"/>
        <v>Marasigan, Lourenze D.</v>
      </c>
      <c r="H20" s="16" t="str">
        <f t="shared" si="14"/>
        <v>Lourenze D. Marasigan</v>
      </c>
      <c r="I20" s="16" t="str">
        <f t="shared" si="15"/>
        <v>Marasigan, Lourenze De Leon</v>
      </c>
      <c r="J20" s="19" t="s">
        <v>1022</v>
      </c>
      <c r="K20" s="19" t="s">
        <v>56</v>
      </c>
      <c r="L20" s="19" t="s">
        <v>57</v>
      </c>
      <c r="M20" s="19" t="s">
        <v>58</v>
      </c>
      <c r="N20" s="19">
        <v>1.051622179E9</v>
      </c>
      <c r="O20" s="20">
        <v>44697.0</v>
      </c>
      <c r="P20" s="20"/>
      <c r="Q20" s="20"/>
      <c r="R20" s="20"/>
      <c r="S20" s="20"/>
      <c r="T20" s="20">
        <f t="shared" si="4"/>
        <v>46132</v>
      </c>
      <c r="U20" s="21">
        <f t="shared" si="5"/>
        <v>3</v>
      </c>
      <c r="V20" s="19">
        <f t="shared" si="6"/>
        <v>11</v>
      </c>
      <c r="W20" s="19">
        <f t="shared" si="7"/>
        <v>4</v>
      </c>
      <c r="X20" s="74">
        <v>44697.0</v>
      </c>
      <c r="Y20" s="16"/>
      <c r="Z20" s="16"/>
      <c r="AA20" s="16"/>
      <c r="AB20" s="16"/>
      <c r="AC20" s="22">
        <v>17337.5</v>
      </c>
      <c r="AD20" s="23"/>
      <c r="AE20" s="22">
        <f t="shared" si="12"/>
        <v>17337.5</v>
      </c>
      <c r="AF20" s="22">
        <v>570.0</v>
      </c>
      <c r="AG20" s="19" t="s">
        <v>59</v>
      </c>
      <c r="AH20" s="24" t="s">
        <v>1023</v>
      </c>
      <c r="AI20" s="24" t="s">
        <v>61</v>
      </c>
      <c r="AJ20" s="19" t="s">
        <v>62</v>
      </c>
      <c r="AK20" s="19">
        <v>34888.0</v>
      </c>
      <c r="AL20" s="25">
        <f t="shared" si="8"/>
        <v>30.80547945</v>
      </c>
      <c r="AM20" s="19" t="s">
        <v>1024</v>
      </c>
      <c r="AN20" s="16"/>
      <c r="AO20" s="88">
        <v>9.262431891E9</v>
      </c>
      <c r="AP20" s="89" t="s">
        <v>1025</v>
      </c>
      <c r="AQ20" s="16" t="s">
        <v>66</v>
      </c>
      <c r="AR20" s="16" t="s">
        <v>568</v>
      </c>
      <c r="AS20" s="19" t="s">
        <v>1026</v>
      </c>
      <c r="AT20" s="19" t="s">
        <v>1027</v>
      </c>
      <c r="AU20" s="19" t="s">
        <v>1028</v>
      </c>
      <c r="AV20" s="19" t="s">
        <v>1029</v>
      </c>
      <c r="AW20" s="16"/>
      <c r="AX20" s="16" t="s">
        <v>1030</v>
      </c>
      <c r="AY20" s="16" t="s">
        <v>73</v>
      </c>
      <c r="AZ20" s="16">
        <v>9.169523251E9</v>
      </c>
      <c r="BA20" s="86" t="s">
        <v>900</v>
      </c>
      <c r="BB20" s="86" t="s">
        <v>954</v>
      </c>
      <c r="BC20" s="171">
        <v>45122.0</v>
      </c>
    </row>
    <row r="21" ht="14.25" customHeight="1">
      <c r="A21" s="19">
        <v>5.0</v>
      </c>
      <c r="B21" s="16" t="s">
        <v>1348</v>
      </c>
      <c r="C21" s="16" t="s">
        <v>1349</v>
      </c>
      <c r="D21" s="16" t="s">
        <v>1350</v>
      </c>
      <c r="E21" s="19" t="s">
        <v>943</v>
      </c>
      <c r="F21" s="19"/>
      <c r="G21" s="16" t="str">
        <f t="shared" si="13"/>
        <v>Palazo, Elizabeth O.</v>
      </c>
      <c r="H21" s="16" t="str">
        <f t="shared" si="14"/>
        <v>Elizabeth O. Palazo</v>
      </c>
      <c r="I21" s="16" t="str">
        <f t="shared" si="15"/>
        <v>Palazo, Elizabeth Onia</v>
      </c>
      <c r="J21" s="19" t="s">
        <v>133</v>
      </c>
      <c r="K21" s="19" t="s">
        <v>104</v>
      </c>
      <c r="L21" s="19" t="s">
        <v>57</v>
      </c>
      <c r="M21" s="19" t="s">
        <v>105</v>
      </c>
      <c r="N21" s="19">
        <v>1.052022246E9</v>
      </c>
      <c r="O21" s="19">
        <v>44701.0</v>
      </c>
      <c r="P21" s="19">
        <v>44685.0</v>
      </c>
      <c r="Q21" s="19">
        <v>44700.0</v>
      </c>
      <c r="R21" s="19">
        <v>44701.0</v>
      </c>
      <c r="S21" s="19">
        <v>44884.0</v>
      </c>
      <c r="T21" s="61">
        <f t="shared" si="4"/>
        <v>46132</v>
      </c>
      <c r="U21" s="19">
        <f t="shared" si="5"/>
        <v>3</v>
      </c>
      <c r="V21" s="19">
        <f t="shared" si="6"/>
        <v>11</v>
      </c>
      <c r="W21" s="19">
        <f t="shared" si="7"/>
        <v>0</v>
      </c>
      <c r="X21" s="19">
        <v>44885.0</v>
      </c>
      <c r="Y21" s="19"/>
      <c r="Z21" s="19"/>
      <c r="AA21" s="19"/>
      <c r="AB21" s="19"/>
      <c r="AC21" s="22">
        <f>17337.5+1216.66</f>
        <v>18554.16</v>
      </c>
      <c r="AD21" s="19"/>
      <c r="AE21" s="22">
        <f t="shared" si="12"/>
        <v>18554.16</v>
      </c>
      <c r="AF21" s="62">
        <f>AE21*12/365</f>
        <v>609.9997808</v>
      </c>
      <c r="AG21" s="19" t="s">
        <v>59</v>
      </c>
      <c r="AH21" s="24" t="s">
        <v>1351</v>
      </c>
      <c r="AI21" s="19" t="s">
        <v>135</v>
      </c>
      <c r="AJ21" s="19" t="s">
        <v>62</v>
      </c>
      <c r="AK21" s="19">
        <v>34814.0</v>
      </c>
      <c r="AL21" s="62">
        <f t="shared" si="8"/>
        <v>31.00821918</v>
      </c>
      <c r="AM21" s="26" t="s">
        <v>1352</v>
      </c>
      <c r="AN21" s="26" t="s">
        <v>1353</v>
      </c>
      <c r="AO21" s="19">
        <v>9.307900218E9</v>
      </c>
      <c r="AP21" s="63" t="s">
        <v>1354</v>
      </c>
      <c r="AQ21" s="16" t="s">
        <v>110</v>
      </c>
      <c r="AR21" s="16" t="s">
        <v>1355</v>
      </c>
      <c r="AS21" s="64" t="s">
        <v>1356</v>
      </c>
      <c r="AT21" s="64" t="s">
        <v>1357</v>
      </c>
      <c r="AU21" s="64" t="s">
        <v>1358</v>
      </c>
      <c r="AV21" s="64" t="s">
        <v>1359</v>
      </c>
      <c r="AW21" s="19"/>
      <c r="AX21" s="26" t="s">
        <v>1360</v>
      </c>
      <c r="AY21" s="19" t="s">
        <v>318</v>
      </c>
      <c r="AZ21" s="19">
        <v>9.198965808E9</v>
      </c>
      <c r="BA21" s="86" t="s">
        <v>900</v>
      </c>
      <c r="BB21" s="86" t="s">
        <v>939</v>
      </c>
      <c r="BC21" s="171">
        <v>45133.0</v>
      </c>
    </row>
    <row r="22" ht="14.25" customHeight="1">
      <c r="AQ22" s="54"/>
    </row>
    <row r="23" ht="14.25" customHeight="1">
      <c r="AQ23" s="54"/>
    </row>
    <row r="24" ht="14.25" customHeight="1">
      <c r="AQ24" s="54"/>
    </row>
    <row r="25" ht="14.25" customHeight="1">
      <c r="AQ25" s="54"/>
    </row>
    <row r="26" ht="14.25" customHeight="1">
      <c r="AQ26" s="54"/>
    </row>
    <row r="27" ht="14.25" customHeight="1">
      <c r="AQ27" s="54"/>
    </row>
    <row r="28" ht="14.25" customHeight="1">
      <c r="AQ28" s="54"/>
    </row>
    <row r="29" ht="14.25" customHeight="1">
      <c r="AQ29" s="54"/>
    </row>
    <row r="30" ht="14.25" customHeight="1">
      <c r="AQ30" s="54"/>
    </row>
    <row r="31" ht="14.25" customHeight="1">
      <c r="AQ31" s="54"/>
    </row>
    <row r="32" ht="14.25" customHeight="1">
      <c r="AQ32" s="54"/>
    </row>
    <row r="33" ht="14.25" customHeight="1">
      <c r="AQ33" s="54"/>
    </row>
    <row r="34" ht="14.25" customHeight="1">
      <c r="AQ34" s="54"/>
    </row>
    <row r="35" ht="14.25" customHeight="1">
      <c r="AQ35" s="54"/>
    </row>
    <row r="36" ht="14.25" customHeight="1">
      <c r="AQ36" s="54"/>
    </row>
    <row r="37" ht="14.25" customHeight="1">
      <c r="AQ37" s="54"/>
    </row>
    <row r="38" ht="14.25" customHeight="1">
      <c r="AQ38" s="54"/>
    </row>
    <row r="39" ht="14.25" customHeight="1">
      <c r="AQ39" s="54"/>
    </row>
    <row r="40" ht="14.25" customHeight="1">
      <c r="AQ40" s="54"/>
    </row>
    <row r="41" ht="14.25" customHeight="1">
      <c r="AQ41" s="54"/>
    </row>
    <row r="42" ht="14.25" customHeight="1">
      <c r="AQ42" s="54"/>
    </row>
    <row r="43" ht="14.25" customHeight="1">
      <c r="AQ43" s="54"/>
    </row>
    <row r="44" ht="14.25" customHeight="1">
      <c r="AQ44" s="54"/>
    </row>
    <row r="45" ht="14.25" customHeight="1">
      <c r="AQ45" s="54"/>
    </row>
    <row r="46" ht="14.25" customHeight="1">
      <c r="AQ46" s="54"/>
    </row>
    <row r="47" ht="14.25" customHeight="1">
      <c r="AQ47" s="54"/>
    </row>
    <row r="48" ht="14.25" customHeight="1">
      <c r="AQ48" s="54"/>
    </row>
    <row r="49" ht="14.25" customHeight="1">
      <c r="AQ49" s="54"/>
    </row>
    <row r="50" ht="14.25" customHeight="1">
      <c r="AQ50" s="54"/>
    </row>
    <row r="51" ht="14.25" customHeight="1">
      <c r="AQ51" s="54"/>
    </row>
    <row r="52" ht="14.25" customHeight="1">
      <c r="AQ52" s="54"/>
    </row>
    <row r="53" ht="14.25" customHeight="1">
      <c r="AQ53" s="54"/>
    </row>
    <row r="54" ht="14.25" customHeight="1">
      <c r="AQ54" s="54"/>
    </row>
    <row r="55" ht="14.25" customHeight="1">
      <c r="AQ55" s="54"/>
    </row>
    <row r="56" ht="14.25" customHeight="1">
      <c r="AQ56" s="54"/>
    </row>
    <row r="57" ht="14.25" customHeight="1">
      <c r="AQ57" s="54"/>
    </row>
    <row r="58" ht="14.25" customHeight="1">
      <c r="AQ58" s="54"/>
    </row>
    <row r="59" ht="14.25" customHeight="1">
      <c r="AQ59" s="54"/>
    </row>
    <row r="60" ht="14.25" customHeight="1">
      <c r="AQ60" s="54"/>
    </row>
    <row r="61" ht="14.25" customHeight="1">
      <c r="AQ61" s="54"/>
    </row>
    <row r="62" ht="14.25" customHeight="1">
      <c r="AQ62" s="54"/>
    </row>
    <row r="63" ht="14.25" customHeight="1">
      <c r="AQ63" s="54"/>
    </row>
    <row r="64" ht="14.25" customHeight="1">
      <c r="AQ64" s="54"/>
    </row>
    <row r="65" ht="14.25" customHeight="1">
      <c r="AQ65" s="54"/>
    </row>
    <row r="66" ht="14.25" customHeight="1">
      <c r="AQ66" s="54"/>
    </row>
    <row r="67" ht="14.25" customHeight="1">
      <c r="AQ67" s="54"/>
    </row>
    <row r="68" ht="14.25" customHeight="1">
      <c r="AQ68" s="54"/>
    </row>
    <row r="69" ht="14.25" customHeight="1">
      <c r="AQ69" s="54"/>
    </row>
    <row r="70" ht="14.25" customHeight="1">
      <c r="AQ70" s="54"/>
    </row>
    <row r="71" ht="14.25" customHeight="1">
      <c r="AQ71" s="54"/>
    </row>
    <row r="72" ht="14.25" customHeight="1">
      <c r="AQ72" s="54"/>
    </row>
    <row r="73" ht="14.25" customHeight="1">
      <c r="AQ73" s="54"/>
    </row>
    <row r="74" ht="14.25" customHeight="1">
      <c r="AQ74" s="54"/>
    </row>
    <row r="75" ht="14.25" customHeight="1">
      <c r="AQ75" s="54"/>
    </row>
    <row r="76" ht="14.25" customHeight="1">
      <c r="AQ76" s="54"/>
    </row>
    <row r="77" ht="14.25" customHeight="1">
      <c r="AQ77" s="54"/>
    </row>
    <row r="78" ht="14.25" customHeight="1">
      <c r="AQ78" s="54"/>
    </row>
    <row r="79" ht="14.25" customHeight="1">
      <c r="AQ79" s="54"/>
    </row>
    <row r="80" ht="14.25" customHeight="1">
      <c r="AQ80" s="54"/>
    </row>
    <row r="81" ht="14.25" customHeight="1">
      <c r="AQ81" s="54"/>
    </row>
    <row r="82" ht="14.25" customHeight="1">
      <c r="AQ82" s="54"/>
    </row>
    <row r="83" ht="14.25" customHeight="1">
      <c r="AQ83" s="54"/>
    </row>
    <row r="84" ht="14.25" customHeight="1">
      <c r="AQ84" s="54"/>
    </row>
    <row r="85" ht="14.25" customHeight="1">
      <c r="AQ85" s="54"/>
    </row>
    <row r="86" ht="14.25" customHeight="1">
      <c r="AQ86" s="54"/>
    </row>
    <row r="87" ht="14.25" customHeight="1">
      <c r="AQ87" s="54"/>
    </row>
    <row r="88" ht="14.25" customHeight="1">
      <c r="AQ88" s="54"/>
    </row>
    <row r="89" ht="14.25" customHeight="1">
      <c r="AQ89" s="54"/>
    </row>
    <row r="90" ht="14.25" customHeight="1">
      <c r="AQ90" s="54"/>
    </row>
    <row r="91" ht="14.25" customHeight="1">
      <c r="AQ91" s="54"/>
    </row>
    <row r="92" ht="14.25" customHeight="1">
      <c r="AQ92" s="54"/>
    </row>
    <row r="93" ht="14.25" customHeight="1">
      <c r="AQ93" s="54"/>
    </row>
    <row r="94" ht="14.25" customHeight="1">
      <c r="AQ94" s="54"/>
    </row>
    <row r="95" ht="14.25" customHeight="1">
      <c r="AQ95" s="54"/>
    </row>
    <row r="96" ht="14.25" customHeight="1">
      <c r="AQ96" s="54"/>
    </row>
    <row r="97" ht="14.25" customHeight="1">
      <c r="AQ97" s="54"/>
    </row>
    <row r="98" ht="14.25" customHeight="1">
      <c r="AQ98" s="54"/>
    </row>
    <row r="99" ht="14.25" customHeight="1">
      <c r="AQ99" s="54"/>
    </row>
    <row r="100" ht="14.25" customHeight="1">
      <c r="AQ100" s="54"/>
    </row>
    <row r="101" ht="14.25" customHeight="1">
      <c r="AQ101" s="54"/>
    </row>
    <row r="102" ht="14.25" customHeight="1">
      <c r="AQ102" s="54"/>
    </row>
    <row r="103" ht="14.25" customHeight="1">
      <c r="AQ103" s="54"/>
    </row>
    <row r="104" ht="14.25" customHeight="1">
      <c r="AQ104" s="54"/>
    </row>
    <row r="105" ht="14.25" customHeight="1">
      <c r="AQ105" s="54"/>
    </row>
    <row r="106" ht="14.25" customHeight="1">
      <c r="AQ106" s="54"/>
    </row>
    <row r="107" ht="14.25" customHeight="1">
      <c r="AQ107" s="54"/>
    </row>
    <row r="108" ht="14.25" customHeight="1">
      <c r="AQ108" s="54"/>
    </row>
    <row r="109" ht="14.25" customHeight="1">
      <c r="AQ109" s="54"/>
    </row>
    <row r="110" ht="14.25" customHeight="1">
      <c r="AQ110" s="54"/>
    </row>
    <row r="111" ht="14.25" customHeight="1">
      <c r="AQ111" s="54"/>
    </row>
    <row r="112" ht="14.25" customHeight="1">
      <c r="AQ112" s="54"/>
    </row>
    <row r="113" ht="14.25" customHeight="1">
      <c r="AQ113" s="54"/>
    </row>
    <row r="114" ht="14.25" customHeight="1">
      <c r="AQ114" s="54"/>
    </row>
    <row r="115" ht="14.25" customHeight="1">
      <c r="AQ115" s="54"/>
    </row>
    <row r="116" ht="14.25" customHeight="1">
      <c r="AQ116" s="54"/>
    </row>
    <row r="117" ht="14.25" customHeight="1">
      <c r="AQ117" s="54"/>
    </row>
    <row r="118" ht="14.25" customHeight="1">
      <c r="AQ118" s="54"/>
    </row>
    <row r="119" ht="14.25" customHeight="1">
      <c r="AQ119" s="54"/>
    </row>
    <row r="120" ht="14.25" customHeight="1">
      <c r="AQ120" s="54"/>
    </row>
    <row r="121" ht="14.25" customHeight="1">
      <c r="AQ121" s="54"/>
    </row>
    <row r="122" ht="14.25" customHeight="1">
      <c r="AQ122" s="54"/>
    </row>
    <row r="123" ht="14.25" customHeight="1">
      <c r="AQ123" s="54"/>
    </row>
    <row r="124" ht="14.25" customHeight="1">
      <c r="AQ124" s="54"/>
    </row>
    <row r="125" ht="14.25" customHeight="1">
      <c r="AQ125" s="54"/>
    </row>
    <row r="126" ht="14.25" customHeight="1">
      <c r="AQ126" s="54"/>
    </row>
    <row r="127" ht="14.25" customHeight="1">
      <c r="AQ127" s="54"/>
    </row>
    <row r="128" ht="14.25" customHeight="1">
      <c r="AQ128" s="54"/>
    </row>
    <row r="129" ht="14.25" customHeight="1">
      <c r="AQ129" s="54"/>
    </row>
    <row r="130" ht="14.25" customHeight="1">
      <c r="AQ130" s="54"/>
    </row>
    <row r="131" ht="14.25" customHeight="1">
      <c r="AQ131" s="54"/>
    </row>
    <row r="132" ht="14.25" customHeight="1">
      <c r="AQ132" s="54"/>
    </row>
    <row r="133" ht="14.25" customHeight="1">
      <c r="AQ133" s="54"/>
    </row>
    <row r="134" ht="14.25" customHeight="1">
      <c r="AQ134" s="54"/>
    </row>
    <row r="135" ht="14.25" customHeight="1">
      <c r="AQ135" s="54"/>
    </row>
    <row r="136" ht="14.25" customHeight="1">
      <c r="AQ136" s="54"/>
    </row>
    <row r="137" ht="14.25" customHeight="1">
      <c r="AQ137" s="54"/>
    </row>
    <row r="138" ht="14.25" customHeight="1">
      <c r="AQ138" s="54"/>
    </row>
    <row r="139" ht="14.25" customHeight="1">
      <c r="AQ139" s="54"/>
    </row>
    <row r="140" ht="14.25" customHeight="1">
      <c r="AQ140" s="54"/>
    </row>
    <row r="141" ht="14.25" customHeight="1">
      <c r="AQ141" s="54"/>
    </row>
    <row r="142" ht="14.25" customHeight="1">
      <c r="AQ142" s="54"/>
    </row>
    <row r="143" ht="14.25" customHeight="1">
      <c r="AQ143" s="54"/>
    </row>
    <row r="144" ht="14.25" customHeight="1">
      <c r="AQ144" s="54"/>
    </row>
    <row r="145" ht="14.25" customHeight="1">
      <c r="AQ145" s="54"/>
    </row>
    <row r="146" ht="14.25" customHeight="1">
      <c r="AQ146" s="54"/>
    </row>
    <row r="147" ht="14.25" customHeight="1">
      <c r="AQ147" s="54"/>
    </row>
    <row r="148" ht="14.25" customHeight="1">
      <c r="AQ148" s="54"/>
    </row>
    <row r="149" ht="14.25" customHeight="1">
      <c r="AQ149" s="54"/>
    </row>
    <row r="150" ht="14.25" customHeight="1">
      <c r="AQ150" s="54"/>
    </row>
    <row r="151" ht="14.25" customHeight="1">
      <c r="AQ151" s="54"/>
    </row>
    <row r="152" ht="14.25" customHeight="1">
      <c r="AQ152" s="54"/>
    </row>
    <row r="153" ht="14.25" customHeight="1">
      <c r="AQ153" s="54"/>
    </row>
    <row r="154" ht="14.25" customHeight="1">
      <c r="AQ154" s="54"/>
    </row>
    <row r="155" ht="14.25" customHeight="1">
      <c r="AQ155" s="54"/>
    </row>
    <row r="156" ht="14.25" customHeight="1">
      <c r="AQ156" s="54"/>
    </row>
    <row r="157" ht="14.25" customHeight="1">
      <c r="AQ157" s="54"/>
    </row>
    <row r="158" ht="14.25" customHeight="1">
      <c r="AQ158" s="54"/>
    </row>
    <row r="159" ht="14.25" customHeight="1">
      <c r="AQ159" s="54"/>
    </row>
    <row r="160" ht="14.25" customHeight="1">
      <c r="AQ160" s="54"/>
    </row>
    <row r="161" ht="14.25" customHeight="1">
      <c r="AQ161" s="54"/>
    </row>
    <row r="162" ht="14.25" customHeight="1">
      <c r="AQ162" s="54"/>
    </row>
    <row r="163" ht="14.25" customHeight="1">
      <c r="AQ163" s="54"/>
    </row>
    <row r="164" ht="14.25" customHeight="1">
      <c r="AQ164" s="54"/>
    </row>
    <row r="165" ht="14.25" customHeight="1">
      <c r="AQ165" s="54"/>
    </row>
    <row r="166" ht="14.25" customHeight="1">
      <c r="AQ166" s="54"/>
    </row>
    <row r="167" ht="14.25" customHeight="1">
      <c r="AQ167" s="54"/>
    </row>
    <row r="168" ht="14.25" customHeight="1">
      <c r="AQ168" s="54"/>
    </row>
    <row r="169" ht="14.25" customHeight="1">
      <c r="AQ169" s="54"/>
    </row>
    <row r="170" ht="14.25" customHeight="1">
      <c r="AQ170" s="54"/>
    </row>
    <row r="171" ht="14.25" customHeight="1">
      <c r="AQ171" s="54"/>
    </row>
    <row r="172" ht="14.25" customHeight="1">
      <c r="AQ172" s="54"/>
    </row>
    <row r="173" ht="14.25" customHeight="1">
      <c r="AQ173" s="54"/>
    </row>
    <row r="174" ht="14.25" customHeight="1">
      <c r="AQ174" s="54"/>
    </row>
    <row r="175" ht="14.25" customHeight="1">
      <c r="AQ175" s="54"/>
    </row>
    <row r="176" ht="14.25" customHeight="1">
      <c r="AQ176" s="54"/>
    </row>
    <row r="177" ht="14.25" customHeight="1">
      <c r="AQ177" s="54"/>
    </row>
    <row r="178" ht="14.25" customHeight="1">
      <c r="AQ178" s="54"/>
    </row>
    <row r="179" ht="14.25" customHeight="1">
      <c r="AQ179" s="54"/>
    </row>
    <row r="180" ht="14.25" customHeight="1">
      <c r="AQ180" s="54"/>
    </row>
    <row r="181" ht="14.25" customHeight="1">
      <c r="AQ181" s="54"/>
    </row>
    <row r="182" ht="14.25" customHeight="1">
      <c r="AQ182" s="54"/>
    </row>
    <row r="183" ht="14.25" customHeight="1">
      <c r="AQ183" s="54"/>
    </row>
    <row r="184" ht="14.25" customHeight="1">
      <c r="AQ184" s="54"/>
    </row>
    <row r="185" ht="14.25" customHeight="1">
      <c r="AQ185" s="54"/>
    </row>
    <row r="186" ht="14.25" customHeight="1">
      <c r="AQ186" s="54"/>
    </row>
    <row r="187" ht="14.25" customHeight="1">
      <c r="AQ187" s="54"/>
    </row>
    <row r="188" ht="14.25" customHeight="1">
      <c r="AQ188" s="54"/>
    </row>
    <row r="189" ht="14.25" customHeight="1">
      <c r="AQ189" s="54"/>
    </row>
    <row r="190" ht="14.25" customHeight="1">
      <c r="AQ190" s="54"/>
    </row>
    <row r="191" ht="14.25" customHeight="1">
      <c r="AQ191" s="54"/>
    </row>
    <row r="192" ht="14.25" customHeight="1">
      <c r="AQ192" s="54"/>
    </row>
    <row r="193" ht="14.25" customHeight="1">
      <c r="AQ193" s="54"/>
    </row>
    <row r="194" ht="14.25" customHeight="1">
      <c r="AQ194" s="54"/>
    </row>
    <row r="195" ht="14.25" customHeight="1">
      <c r="AQ195" s="54"/>
    </row>
    <row r="196" ht="14.25" customHeight="1">
      <c r="AQ196" s="54"/>
    </row>
    <row r="197" ht="14.25" customHeight="1">
      <c r="AQ197" s="54"/>
    </row>
    <row r="198" ht="14.25" customHeight="1">
      <c r="AQ198" s="54"/>
    </row>
    <row r="199" ht="14.25" customHeight="1">
      <c r="AQ199" s="54"/>
    </row>
    <row r="200" ht="14.25" customHeight="1">
      <c r="AQ200" s="54"/>
    </row>
    <row r="201" ht="14.25" customHeight="1">
      <c r="AQ201" s="54"/>
    </row>
    <row r="202" ht="14.25" customHeight="1">
      <c r="AQ202" s="54"/>
    </row>
    <row r="203" ht="14.25" customHeight="1">
      <c r="AQ203" s="54"/>
    </row>
    <row r="204" ht="14.25" customHeight="1">
      <c r="AQ204" s="54"/>
    </row>
    <row r="205" ht="14.25" customHeight="1">
      <c r="AQ205" s="54"/>
    </row>
    <row r="206" ht="14.25" customHeight="1">
      <c r="AQ206" s="54"/>
    </row>
    <row r="207" ht="14.25" customHeight="1">
      <c r="AQ207" s="54"/>
    </row>
    <row r="208" ht="14.25" customHeight="1">
      <c r="AQ208" s="54"/>
    </row>
    <row r="209" ht="14.25" customHeight="1">
      <c r="AQ209" s="54"/>
    </row>
    <row r="210" ht="14.25" customHeight="1">
      <c r="AQ210" s="54"/>
    </row>
    <row r="211" ht="14.25" customHeight="1">
      <c r="AQ211" s="54"/>
    </row>
    <row r="212" ht="14.25" customHeight="1">
      <c r="AQ212" s="54"/>
    </row>
    <row r="213" ht="14.25" customHeight="1">
      <c r="AQ213" s="54"/>
    </row>
    <row r="214" ht="14.25" customHeight="1">
      <c r="AQ214" s="54"/>
    </row>
    <row r="215" ht="14.25" customHeight="1">
      <c r="AQ215" s="54"/>
    </row>
    <row r="216" ht="14.25" customHeight="1">
      <c r="AQ216" s="54"/>
    </row>
    <row r="217" ht="14.25" customHeight="1">
      <c r="AQ217" s="54"/>
    </row>
    <row r="218" ht="14.25" customHeight="1">
      <c r="AQ218" s="54"/>
    </row>
    <row r="219" ht="14.25" customHeight="1">
      <c r="AQ219" s="54"/>
    </row>
    <row r="220" ht="14.25" customHeight="1">
      <c r="AQ220" s="54"/>
    </row>
    <row r="221" ht="14.25" customHeight="1">
      <c r="AQ221" s="54"/>
    </row>
    <row r="222" ht="14.25" customHeight="1">
      <c r="AQ222" s="54"/>
    </row>
    <row r="223" ht="14.25" customHeight="1">
      <c r="AQ223" s="54"/>
    </row>
    <row r="224" ht="14.25" customHeight="1">
      <c r="AQ224" s="54"/>
    </row>
    <row r="225" ht="14.25" customHeight="1">
      <c r="AQ225" s="54"/>
    </row>
    <row r="226" ht="14.25" customHeight="1">
      <c r="AQ226" s="54"/>
    </row>
    <row r="227" ht="14.25" customHeight="1">
      <c r="AQ227" s="54"/>
    </row>
    <row r="228" ht="14.25" customHeight="1">
      <c r="AQ228" s="54"/>
    </row>
    <row r="229" ht="14.25" customHeight="1">
      <c r="AQ229" s="54"/>
    </row>
    <row r="230" ht="14.25" customHeight="1">
      <c r="AQ230" s="54"/>
    </row>
    <row r="231" ht="14.25" customHeight="1">
      <c r="AQ231" s="54"/>
    </row>
    <row r="232" ht="14.25" customHeight="1">
      <c r="AQ232" s="54"/>
    </row>
    <row r="233" ht="14.25" customHeight="1">
      <c r="AQ233" s="54"/>
    </row>
    <row r="234" ht="14.25" customHeight="1">
      <c r="AQ234" s="54"/>
    </row>
    <row r="235" ht="14.25" customHeight="1">
      <c r="AQ235" s="54"/>
    </row>
    <row r="236" ht="14.25" customHeight="1">
      <c r="AQ236" s="54"/>
    </row>
    <row r="237" ht="14.25" customHeight="1">
      <c r="AQ237" s="54"/>
    </row>
    <row r="238" ht="14.25" customHeight="1">
      <c r="AQ238" s="54"/>
    </row>
    <row r="239" ht="14.25" customHeight="1">
      <c r="AQ239" s="54"/>
    </row>
    <row r="240" ht="14.25" customHeight="1">
      <c r="AQ240" s="54"/>
    </row>
    <row r="241" ht="14.25" customHeight="1">
      <c r="AQ241" s="54"/>
    </row>
    <row r="242" ht="14.25" customHeight="1">
      <c r="AQ242" s="54"/>
    </row>
    <row r="243" ht="14.25" customHeight="1">
      <c r="AQ243" s="54"/>
    </row>
    <row r="244" ht="14.25" customHeight="1">
      <c r="AQ244" s="54"/>
    </row>
    <row r="245" ht="14.25" customHeight="1">
      <c r="AQ245" s="54"/>
    </row>
    <row r="246" ht="14.25" customHeight="1">
      <c r="AQ246" s="54"/>
    </row>
    <row r="247" ht="14.25" customHeight="1">
      <c r="AQ247" s="54"/>
    </row>
    <row r="248" ht="14.25" customHeight="1">
      <c r="AQ248" s="54"/>
    </row>
    <row r="249" ht="14.25" customHeight="1">
      <c r="AQ249" s="54"/>
    </row>
    <row r="250" ht="14.25" customHeight="1">
      <c r="AQ250" s="54"/>
    </row>
    <row r="251" ht="14.25" customHeight="1">
      <c r="AQ251" s="54"/>
    </row>
    <row r="252" ht="14.25" customHeight="1">
      <c r="AQ252" s="54"/>
    </row>
    <row r="253" ht="14.25" customHeight="1">
      <c r="AQ253" s="54"/>
    </row>
    <row r="254" ht="14.25" customHeight="1">
      <c r="AQ254" s="54"/>
    </row>
    <row r="255" ht="14.25" customHeight="1">
      <c r="AQ255" s="54"/>
    </row>
    <row r="256" ht="14.25" customHeight="1">
      <c r="AQ256" s="54"/>
    </row>
    <row r="257" ht="14.25" customHeight="1">
      <c r="AQ257" s="54"/>
    </row>
    <row r="258" ht="14.25" customHeight="1">
      <c r="AQ258" s="54"/>
    </row>
    <row r="259" ht="14.25" customHeight="1">
      <c r="AQ259" s="54"/>
    </row>
    <row r="260" ht="14.25" customHeight="1">
      <c r="AQ260" s="54"/>
    </row>
    <row r="261" ht="14.25" customHeight="1">
      <c r="AQ261" s="54"/>
    </row>
    <row r="262" ht="14.25" customHeight="1">
      <c r="AQ262" s="54"/>
    </row>
    <row r="263" ht="14.25" customHeight="1">
      <c r="AQ263" s="54"/>
    </row>
    <row r="264" ht="14.25" customHeight="1">
      <c r="AQ264" s="54"/>
    </row>
    <row r="265" ht="14.25" customHeight="1">
      <c r="AQ265" s="54"/>
    </row>
    <row r="266" ht="14.25" customHeight="1">
      <c r="AQ266" s="54"/>
    </row>
    <row r="267" ht="14.25" customHeight="1">
      <c r="AQ267" s="54"/>
    </row>
    <row r="268" ht="14.25" customHeight="1">
      <c r="AQ268" s="54"/>
    </row>
    <row r="269" ht="14.25" customHeight="1">
      <c r="AQ269" s="54"/>
    </row>
    <row r="270" ht="14.25" customHeight="1">
      <c r="AQ270" s="54"/>
    </row>
    <row r="271" ht="14.25" customHeight="1">
      <c r="AQ271" s="54"/>
    </row>
    <row r="272" ht="14.25" customHeight="1">
      <c r="AQ272" s="54"/>
    </row>
    <row r="273" ht="14.25" customHeight="1">
      <c r="AQ273" s="54"/>
    </row>
    <row r="274" ht="14.25" customHeight="1">
      <c r="AQ274" s="54"/>
    </row>
    <row r="275" ht="14.25" customHeight="1">
      <c r="AQ275" s="54"/>
    </row>
    <row r="276" ht="14.25" customHeight="1">
      <c r="AQ276" s="54"/>
    </row>
    <row r="277" ht="14.25" customHeight="1">
      <c r="AQ277" s="54"/>
    </row>
    <row r="278" ht="14.25" customHeight="1">
      <c r="AQ278" s="54"/>
    </row>
    <row r="279" ht="14.25" customHeight="1">
      <c r="AQ279" s="54"/>
    </row>
    <row r="280" ht="14.25" customHeight="1">
      <c r="AQ280" s="54"/>
    </row>
    <row r="281" ht="14.25" customHeight="1">
      <c r="AQ281" s="54"/>
    </row>
    <row r="282" ht="14.25" customHeight="1">
      <c r="AQ282" s="54"/>
    </row>
    <row r="283" ht="14.25" customHeight="1">
      <c r="AQ283" s="54"/>
    </row>
    <row r="284" ht="14.25" customHeight="1">
      <c r="AQ284" s="54"/>
    </row>
    <row r="285" ht="14.25" customHeight="1">
      <c r="AQ285" s="54"/>
    </row>
    <row r="286" ht="14.25" customHeight="1">
      <c r="AQ286" s="54"/>
    </row>
    <row r="287" ht="14.25" customHeight="1">
      <c r="AQ287" s="54"/>
    </row>
    <row r="288" ht="14.25" customHeight="1">
      <c r="AQ288" s="54"/>
    </row>
    <row r="289" ht="14.25" customHeight="1">
      <c r="AQ289" s="54"/>
    </row>
    <row r="290" ht="14.25" customHeight="1">
      <c r="AQ290" s="54"/>
    </row>
    <row r="291" ht="14.25" customHeight="1">
      <c r="AQ291" s="54"/>
    </row>
    <row r="292" ht="14.25" customHeight="1">
      <c r="AQ292" s="54"/>
    </row>
    <row r="293" ht="14.25" customHeight="1">
      <c r="AQ293" s="54"/>
    </row>
    <row r="294" ht="14.25" customHeight="1">
      <c r="AQ294" s="54"/>
    </row>
    <row r="295" ht="14.25" customHeight="1">
      <c r="AQ295" s="54"/>
    </row>
    <row r="296" ht="14.25" customHeight="1">
      <c r="AQ296" s="54"/>
    </row>
    <row r="297" ht="14.25" customHeight="1">
      <c r="AQ297" s="54"/>
    </row>
    <row r="298" ht="14.25" customHeight="1">
      <c r="AQ298" s="54"/>
    </row>
    <row r="299" ht="14.25" customHeight="1">
      <c r="AQ299" s="54"/>
    </row>
    <row r="300" ht="14.25" customHeight="1">
      <c r="AQ300" s="54"/>
    </row>
    <row r="301" ht="14.25" customHeight="1">
      <c r="AQ301" s="54"/>
    </row>
    <row r="302" ht="14.25" customHeight="1">
      <c r="AQ302" s="54"/>
    </row>
    <row r="303" ht="14.25" customHeight="1">
      <c r="AQ303" s="54"/>
    </row>
    <row r="304" ht="14.25" customHeight="1">
      <c r="AQ304" s="54"/>
    </row>
    <row r="305" ht="14.25" customHeight="1">
      <c r="AQ305" s="54"/>
    </row>
    <row r="306" ht="14.25" customHeight="1">
      <c r="AQ306" s="54"/>
    </row>
    <row r="307" ht="14.25" customHeight="1">
      <c r="AQ307" s="54"/>
    </row>
    <row r="308" ht="14.25" customHeight="1">
      <c r="AQ308" s="54"/>
    </row>
    <row r="309" ht="14.25" customHeight="1">
      <c r="AQ309" s="54"/>
    </row>
    <row r="310" ht="14.25" customHeight="1">
      <c r="AQ310" s="54"/>
    </row>
    <row r="311" ht="14.25" customHeight="1">
      <c r="AQ311" s="54"/>
    </row>
    <row r="312" ht="14.25" customHeight="1">
      <c r="AQ312" s="54"/>
    </row>
    <row r="313" ht="14.25" customHeight="1">
      <c r="AQ313" s="54"/>
    </row>
    <row r="314" ht="14.25" customHeight="1">
      <c r="AQ314" s="54"/>
    </row>
    <row r="315" ht="14.25" customHeight="1">
      <c r="AQ315" s="54"/>
    </row>
    <row r="316" ht="14.25" customHeight="1">
      <c r="AQ316" s="54"/>
    </row>
    <row r="317" ht="14.25" customHeight="1">
      <c r="AQ317" s="54"/>
    </row>
    <row r="318" ht="14.25" customHeight="1">
      <c r="AQ318" s="54"/>
    </row>
    <row r="319" ht="14.25" customHeight="1">
      <c r="AQ319" s="54"/>
    </row>
    <row r="320" ht="14.25" customHeight="1">
      <c r="AQ320" s="54"/>
    </row>
    <row r="321" ht="14.25" customHeight="1">
      <c r="AQ321" s="54"/>
    </row>
    <row r="322" ht="14.25" customHeight="1">
      <c r="AQ322" s="54"/>
    </row>
    <row r="323" ht="14.25" customHeight="1">
      <c r="AQ323" s="54"/>
    </row>
    <row r="324" ht="14.25" customHeight="1">
      <c r="AQ324" s="54"/>
    </row>
    <row r="325" ht="14.25" customHeight="1">
      <c r="AQ325" s="54"/>
    </row>
    <row r="326" ht="14.25" customHeight="1">
      <c r="AQ326" s="54"/>
    </row>
    <row r="327" ht="14.25" customHeight="1">
      <c r="AQ327" s="54"/>
    </row>
    <row r="328" ht="14.25" customHeight="1">
      <c r="AQ328" s="54"/>
    </row>
    <row r="329" ht="14.25" customHeight="1">
      <c r="AQ329" s="54"/>
    </row>
    <row r="330" ht="14.25" customHeight="1">
      <c r="AQ330" s="54"/>
    </row>
    <row r="331" ht="14.25" customHeight="1">
      <c r="AQ331" s="54"/>
    </row>
    <row r="332" ht="14.25" customHeight="1">
      <c r="AQ332" s="54"/>
    </row>
    <row r="333" ht="14.25" customHeight="1">
      <c r="AQ333" s="54"/>
    </row>
    <row r="334" ht="14.25" customHeight="1">
      <c r="AQ334" s="54"/>
    </row>
    <row r="335" ht="14.25" customHeight="1">
      <c r="AQ335" s="54"/>
    </row>
    <row r="336" ht="14.25" customHeight="1">
      <c r="AQ336" s="54"/>
    </row>
    <row r="337" ht="14.25" customHeight="1">
      <c r="AQ337" s="54"/>
    </row>
    <row r="338" ht="14.25" customHeight="1">
      <c r="AQ338" s="54"/>
    </row>
    <row r="339" ht="14.25" customHeight="1">
      <c r="AQ339" s="54"/>
    </row>
    <row r="340" ht="14.25" customHeight="1">
      <c r="AQ340" s="54"/>
    </row>
    <row r="341" ht="14.25" customHeight="1">
      <c r="AQ341" s="54"/>
    </row>
    <row r="342" ht="14.25" customHeight="1">
      <c r="AQ342" s="54"/>
    </row>
    <row r="343" ht="14.25" customHeight="1">
      <c r="AQ343" s="54"/>
    </row>
    <row r="344" ht="14.25" customHeight="1">
      <c r="AQ344" s="54"/>
    </row>
    <row r="345" ht="14.25" customHeight="1">
      <c r="AQ345" s="54"/>
    </row>
    <row r="346" ht="14.25" customHeight="1">
      <c r="AQ346" s="54"/>
    </row>
    <row r="347" ht="14.25" customHeight="1">
      <c r="AQ347" s="54"/>
    </row>
    <row r="348" ht="14.25" customHeight="1">
      <c r="AQ348" s="54"/>
    </row>
    <row r="349" ht="14.25" customHeight="1">
      <c r="AQ349" s="54"/>
    </row>
    <row r="350" ht="14.25" customHeight="1">
      <c r="AQ350" s="54"/>
    </row>
    <row r="351" ht="14.25" customHeight="1">
      <c r="AQ351" s="54"/>
    </row>
    <row r="352" ht="14.25" customHeight="1">
      <c r="AQ352" s="54"/>
    </row>
    <row r="353" ht="14.25" customHeight="1">
      <c r="AQ353" s="54"/>
    </row>
    <row r="354" ht="14.25" customHeight="1">
      <c r="AQ354" s="54"/>
    </row>
    <row r="355" ht="14.25" customHeight="1">
      <c r="AQ355" s="54"/>
    </row>
    <row r="356" ht="14.25" customHeight="1">
      <c r="AQ356" s="54"/>
    </row>
    <row r="357" ht="14.25" customHeight="1">
      <c r="AQ357" s="54"/>
    </row>
    <row r="358" ht="14.25" customHeight="1">
      <c r="AQ358" s="54"/>
    </row>
    <row r="359" ht="14.25" customHeight="1">
      <c r="AQ359" s="54"/>
    </row>
    <row r="360" ht="14.25" customHeight="1">
      <c r="AQ360" s="54"/>
    </row>
    <row r="361" ht="14.25" customHeight="1">
      <c r="AQ361" s="54"/>
    </row>
    <row r="362" ht="14.25" customHeight="1">
      <c r="AQ362" s="54"/>
    </row>
    <row r="363" ht="14.25" customHeight="1">
      <c r="AQ363" s="54"/>
    </row>
    <row r="364" ht="14.25" customHeight="1">
      <c r="AQ364" s="54"/>
    </row>
    <row r="365" ht="14.25" customHeight="1">
      <c r="AQ365" s="54"/>
    </row>
    <row r="366" ht="14.25" customHeight="1">
      <c r="AQ366" s="54"/>
    </row>
    <row r="367" ht="14.25" customHeight="1">
      <c r="AQ367" s="54"/>
    </row>
    <row r="368" ht="14.25" customHeight="1">
      <c r="AQ368" s="54"/>
    </row>
    <row r="369" ht="14.25" customHeight="1">
      <c r="AQ369" s="54"/>
    </row>
    <row r="370" ht="14.25" customHeight="1">
      <c r="AQ370" s="54"/>
    </row>
    <row r="371" ht="14.25" customHeight="1">
      <c r="AQ371" s="54"/>
    </row>
    <row r="372" ht="14.25" customHeight="1">
      <c r="AQ372" s="54"/>
    </row>
    <row r="373" ht="14.25" customHeight="1">
      <c r="AQ373" s="54"/>
    </row>
    <row r="374" ht="14.25" customHeight="1">
      <c r="AQ374" s="54"/>
    </row>
    <row r="375" ht="14.25" customHeight="1">
      <c r="AQ375" s="54"/>
    </row>
    <row r="376" ht="14.25" customHeight="1">
      <c r="AQ376" s="54"/>
    </row>
    <row r="377" ht="14.25" customHeight="1">
      <c r="AQ377" s="54"/>
    </row>
    <row r="378" ht="14.25" customHeight="1">
      <c r="AQ378" s="54"/>
    </row>
    <row r="379" ht="14.25" customHeight="1">
      <c r="AQ379" s="54"/>
    </row>
    <row r="380" ht="14.25" customHeight="1">
      <c r="AQ380" s="54"/>
    </row>
    <row r="381" ht="14.25" customHeight="1">
      <c r="AQ381" s="54"/>
    </row>
    <row r="382" ht="14.25" customHeight="1">
      <c r="AQ382" s="54"/>
    </row>
    <row r="383" ht="14.25" customHeight="1">
      <c r="AQ383" s="54"/>
    </row>
    <row r="384" ht="14.25" customHeight="1">
      <c r="AQ384" s="54"/>
    </row>
    <row r="385" ht="14.25" customHeight="1">
      <c r="AQ385" s="54"/>
    </row>
    <row r="386" ht="14.25" customHeight="1">
      <c r="AQ386" s="54"/>
    </row>
    <row r="387" ht="14.25" customHeight="1">
      <c r="AQ387" s="54"/>
    </row>
    <row r="388" ht="14.25" customHeight="1">
      <c r="AQ388" s="54"/>
    </row>
    <row r="389" ht="14.25" customHeight="1">
      <c r="AQ389" s="54"/>
    </row>
    <row r="390" ht="14.25" customHeight="1">
      <c r="AQ390" s="54"/>
    </row>
    <row r="391" ht="14.25" customHeight="1">
      <c r="AQ391" s="54"/>
    </row>
    <row r="392" ht="14.25" customHeight="1">
      <c r="AQ392" s="54"/>
    </row>
    <row r="393" ht="14.25" customHeight="1">
      <c r="AQ393" s="54"/>
    </row>
    <row r="394" ht="14.25" customHeight="1">
      <c r="AQ394" s="54"/>
    </row>
    <row r="395" ht="14.25" customHeight="1">
      <c r="AQ395" s="54"/>
    </row>
    <row r="396" ht="14.25" customHeight="1">
      <c r="AQ396" s="54"/>
    </row>
    <row r="397" ht="14.25" customHeight="1">
      <c r="AQ397" s="54"/>
    </row>
    <row r="398" ht="14.25" customHeight="1">
      <c r="AQ398" s="54"/>
    </row>
    <row r="399" ht="14.25" customHeight="1">
      <c r="AQ399" s="54"/>
    </row>
    <row r="400" ht="14.25" customHeight="1">
      <c r="AQ400" s="54"/>
    </row>
    <row r="401" ht="14.25" customHeight="1">
      <c r="AQ401" s="54"/>
    </row>
    <row r="402" ht="14.25" customHeight="1">
      <c r="AQ402" s="54"/>
    </row>
    <row r="403" ht="14.25" customHeight="1">
      <c r="AQ403" s="54"/>
    </row>
    <row r="404" ht="14.25" customHeight="1">
      <c r="AQ404" s="54"/>
    </row>
    <row r="405" ht="14.25" customHeight="1">
      <c r="AQ405" s="54"/>
    </row>
    <row r="406" ht="14.25" customHeight="1">
      <c r="AQ406" s="54"/>
    </row>
    <row r="407" ht="14.25" customHeight="1">
      <c r="AQ407" s="54"/>
    </row>
    <row r="408" ht="14.25" customHeight="1">
      <c r="AQ408" s="54"/>
    </row>
    <row r="409" ht="14.25" customHeight="1">
      <c r="AQ409" s="54"/>
    </row>
    <row r="410" ht="14.25" customHeight="1">
      <c r="AQ410" s="54"/>
    </row>
    <row r="411" ht="14.25" customHeight="1">
      <c r="AQ411" s="54"/>
    </row>
    <row r="412" ht="14.25" customHeight="1">
      <c r="AQ412" s="54"/>
    </row>
    <row r="413" ht="14.25" customHeight="1">
      <c r="AQ413" s="54"/>
    </row>
    <row r="414" ht="14.25" customHeight="1">
      <c r="AQ414" s="54"/>
    </row>
    <row r="415" ht="14.25" customHeight="1">
      <c r="AQ415" s="54"/>
    </row>
    <row r="416" ht="14.25" customHeight="1">
      <c r="AQ416" s="54"/>
    </row>
    <row r="417" ht="14.25" customHeight="1">
      <c r="AQ417" s="54"/>
    </row>
    <row r="418" ht="14.25" customHeight="1">
      <c r="AQ418" s="54"/>
    </row>
    <row r="419" ht="14.25" customHeight="1">
      <c r="AQ419" s="54"/>
    </row>
    <row r="420" ht="14.25" customHeight="1">
      <c r="AQ420" s="54"/>
    </row>
    <row r="421" ht="14.25" customHeight="1">
      <c r="AQ421" s="54"/>
    </row>
    <row r="422" ht="14.25" customHeight="1">
      <c r="AQ422" s="54"/>
    </row>
    <row r="423" ht="14.25" customHeight="1">
      <c r="AQ423" s="54"/>
    </row>
    <row r="424" ht="14.25" customHeight="1">
      <c r="AQ424" s="54"/>
    </row>
    <row r="425" ht="14.25" customHeight="1">
      <c r="AQ425" s="54"/>
    </row>
    <row r="426" ht="14.25" customHeight="1">
      <c r="AQ426" s="54"/>
    </row>
    <row r="427" ht="14.25" customHeight="1">
      <c r="AQ427" s="54"/>
    </row>
    <row r="428" ht="14.25" customHeight="1">
      <c r="AQ428" s="54"/>
    </row>
    <row r="429" ht="14.25" customHeight="1">
      <c r="AQ429" s="54"/>
    </row>
    <row r="430" ht="14.25" customHeight="1">
      <c r="AQ430" s="54"/>
    </row>
    <row r="431" ht="14.25" customHeight="1">
      <c r="AQ431" s="54"/>
    </row>
    <row r="432" ht="14.25" customHeight="1">
      <c r="AQ432" s="54"/>
    </row>
    <row r="433" ht="14.25" customHeight="1">
      <c r="AQ433" s="54"/>
    </row>
    <row r="434" ht="14.25" customHeight="1">
      <c r="AQ434" s="54"/>
    </row>
    <row r="435" ht="14.25" customHeight="1">
      <c r="AQ435" s="54"/>
    </row>
    <row r="436" ht="14.25" customHeight="1">
      <c r="AQ436" s="54"/>
    </row>
    <row r="437" ht="14.25" customHeight="1">
      <c r="AQ437" s="54"/>
    </row>
    <row r="438" ht="14.25" customHeight="1">
      <c r="AQ438" s="54"/>
    </row>
    <row r="439" ht="14.25" customHeight="1">
      <c r="AQ439" s="54"/>
    </row>
    <row r="440" ht="14.25" customHeight="1">
      <c r="AQ440" s="54"/>
    </row>
    <row r="441" ht="14.25" customHeight="1">
      <c r="AQ441" s="54"/>
    </row>
    <row r="442" ht="14.25" customHeight="1">
      <c r="AQ442" s="54"/>
    </row>
    <row r="443" ht="14.25" customHeight="1">
      <c r="AQ443" s="54"/>
    </row>
    <row r="444" ht="14.25" customHeight="1">
      <c r="AQ444" s="54"/>
    </row>
    <row r="445" ht="14.25" customHeight="1">
      <c r="AQ445" s="54"/>
    </row>
    <row r="446" ht="14.25" customHeight="1">
      <c r="AQ446" s="54"/>
    </row>
    <row r="447" ht="14.25" customHeight="1">
      <c r="AQ447" s="54"/>
    </row>
    <row r="448" ht="14.25" customHeight="1">
      <c r="AQ448" s="54"/>
    </row>
    <row r="449" ht="14.25" customHeight="1">
      <c r="AQ449" s="54"/>
    </row>
    <row r="450" ht="14.25" customHeight="1">
      <c r="AQ450" s="54"/>
    </row>
    <row r="451" ht="14.25" customHeight="1">
      <c r="AQ451" s="54"/>
    </row>
    <row r="452" ht="14.25" customHeight="1">
      <c r="AQ452" s="54"/>
    </row>
    <row r="453" ht="14.25" customHeight="1">
      <c r="AQ453" s="54"/>
    </row>
    <row r="454" ht="14.25" customHeight="1">
      <c r="AQ454" s="54"/>
    </row>
    <row r="455" ht="14.25" customHeight="1">
      <c r="AQ455" s="54"/>
    </row>
    <row r="456" ht="14.25" customHeight="1">
      <c r="AQ456" s="54"/>
    </row>
    <row r="457" ht="14.25" customHeight="1">
      <c r="AQ457" s="54"/>
    </row>
    <row r="458" ht="14.25" customHeight="1">
      <c r="AQ458" s="54"/>
    </row>
    <row r="459" ht="14.25" customHeight="1">
      <c r="AQ459" s="54"/>
    </row>
    <row r="460" ht="14.25" customHeight="1">
      <c r="AQ460" s="54"/>
    </row>
    <row r="461" ht="14.25" customHeight="1">
      <c r="AQ461" s="54"/>
    </row>
    <row r="462" ht="14.25" customHeight="1">
      <c r="AQ462" s="54"/>
    </row>
    <row r="463" ht="14.25" customHeight="1">
      <c r="AQ463" s="54"/>
    </row>
    <row r="464" ht="14.25" customHeight="1">
      <c r="AQ464" s="54"/>
    </row>
    <row r="465" ht="14.25" customHeight="1">
      <c r="AQ465" s="54"/>
    </row>
    <row r="466" ht="14.25" customHeight="1">
      <c r="AQ466" s="54"/>
    </row>
    <row r="467" ht="14.25" customHeight="1">
      <c r="AQ467" s="54"/>
    </row>
    <row r="468" ht="14.25" customHeight="1">
      <c r="AQ468" s="54"/>
    </row>
    <row r="469" ht="14.25" customHeight="1">
      <c r="AQ469" s="54"/>
    </row>
    <row r="470" ht="14.25" customHeight="1">
      <c r="AQ470" s="54"/>
    </row>
    <row r="471" ht="14.25" customHeight="1">
      <c r="AQ471" s="54"/>
    </row>
    <row r="472" ht="14.25" customHeight="1">
      <c r="AQ472" s="54"/>
    </row>
    <row r="473" ht="14.25" customHeight="1">
      <c r="AQ473" s="54"/>
    </row>
    <row r="474" ht="14.25" customHeight="1">
      <c r="AQ474" s="54"/>
    </row>
    <row r="475" ht="14.25" customHeight="1">
      <c r="AQ475" s="54"/>
    </row>
    <row r="476" ht="14.25" customHeight="1">
      <c r="AQ476" s="54"/>
    </row>
    <row r="477" ht="14.25" customHeight="1">
      <c r="AQ477" s="54"/>
    </row>
    <row r="478" ht="14.25" customHeight="1">
      <c r="AQ478" s="54"/>
    </row>
    <row r="479" ht="14.25" customHeight="1">
      <c r="AQ479" s="54"/>
    </row>
    <row r="480" ht="14.25" customHeight="1">
      <c r="AQ480" s="54"/>
    </row>
    <row r="481" ht="14.25" customHeight="1">
      <c r="AQ481" s="54"/>
    </row>
    <row r="482" ht="14.25" customHeight="1">
      <c r="AQ482" s="54"/>
    </row>
    <row r="483" ht="14.25" customHeight="1">
      <c r="AQ483" s="54"/>
    </row>
    <row r="484" ht="14.25" customHeight="1">
      <c r="AQ484" s="54"/>
    </row>
    <row r="485" ht="14.25" customHeight="1">
      <c r="AQ485" s="54"/>
    </row>
    <row r="486" ht="14.25" customHeight="1">
      <c r="AQ486" s="54"/>
    </row>
    <row r="487" ht="14.25" customHeight="1">
      <c r="AQ487" s="54"/>
    </row>
    <row r="488" ht="14.25" customHeight="1">
      <c r="AQ488" s="54"/>
    </row>
    <row r="489" ht="14.25" customHeight="1">
      <c r="AQ489" s="54"/>
    </row>
    <row r="490" ht="14.25" customHeight="1">
      <c r="AQ490" s="54"/>
    </row>
    <row r="491" ht="14.25" customHeight="1">
      <c r="AQ491" s="54"/>
    </row>
    <row r="492" ht="14.25" customHeight="1">
      <c r="AQ492" s="54"/>
    </row>
    <row r="493" ht="14.25" customHeight="1">
      <c r="AQ493" s="54"/>
    </row>
    <row r="494" ht="14.25" customHeight="1">
      <c r="AQ494" s="54"/>
    </row>
    <row r="495" ht="14.25" customHeight="1">
      <c r="AQ495" s="54"/>
    </row>
    <row r="496" ht="14.25" customHeight="1">
      <c r="AQ496" s="54"/>
    </row>
    <row r="497" ht="14.25" customHeight="1">
      <c r="AQ497" s="54"/>
    </row>
    <row r="498" ht="14.25" customHeight="1">
      <c r="AQ498" s="54"/>
    </row>
    <row r="499" ht="14.25" customHeight="1">
      <c r="AQ499" s="54"/>
    </row>
    <row r="500" ht="14.25" customHeight="1">
      <c r="AQ500" s="54"/>
    </row>
    <row r="501" ht="14.25" customHeight="1">
      <c r="AQ501" s="54"/>
    </row>
    <row r="502" ht="14.25" customHeight="1">
      <c r="AQ502" s="54"/>
    </row>
    <row r="503" ht="14.25" customHeight="1">
      <c r="AQ503" s="54"/>
    </row>
    <row r="504" ht="14.25" customHeight="1">
      <c r="AQ504" s="54"/>
    </row>
    <row r="505" ht="14.25" customHeight="1">
      <c r="AQ505" s="54"/>
    </row>
    <row r="506" ht="14.25" customHeight="1">
      <c r="AQ506" s="54"/>
    </row>
    <row r="507" ht="14.25" customHeight="1">
      <c r="AQ507" s="54"/>
    </row>
    <row r="508" ht="14.25" customHeight="1">
      <c r="AQ508" s="54"/>
    </row>
    <row r="509" ht="14.25" customHeight="1">
      <c r="AQ509" s="54"/>
    </row>
    <row r="510" ht="14.25" customHeight="1">
      <c r="AQ510" s="54"/>
    </row>
    <row r="511" ht="14.25" customHeight="1">
      <c r="AQ511" s="54"/>
    </row>
    <row r="512" ht="14.25" customHeight="1">
      <c r="AQ512" s="54"/>
    </row>
    <row r="513" ht="14.25" customHeight="1">
      <c r="AQ513" s="54"/>
    </row>
    <row r="514" ht="14.25" customHeight="1">
      <c r="AQ514" s="54"/>
    </row>
    <row r="515" ht="14.25" customHeight="1">
      <c r="AQ515" s="54"/>
    </row>
    <row r="516" ht="14.25" customHeight="1">
      <c r="AQ516" s="54"/>
    </row>
    <row r="517" ht="14.25" customHeight="1">
      <c r="AQ517" s="54"/>
    </row>
    <row r="518" ht="14.25" customHeight="1">
      <c r="AQ518" s="54"/>
    </row>
    <row r="519" ht="14.25" customHeight="1">
      <c r="AQ519" s="54"/>
    </row>
    <row r="520" ht="14.25" customHeight="1">
      <c r="AQ520" s="54"/>
    </row>
    <row r="521" ht="14.25" customHeight="1">
      <c r="AQ521" s="54"/>
    </row>
    <row r="522" ht="14.25" customHeight="1">
      <c r="AQ522" s="54"/>
    </row>
    <row r="523" ht="14.25" customHeight="1">
      <c r="AQ523" s="54"/>
    </row>
    <row r="524" ht="14.25" customHeight="1">
      <c r="AQ524" s="54"/>
    </row>
    <row r="525" ht="14.25" customHeight="1">
      <c r="AQ525" s="54"/>
    </row>
    <row r="526" ht="14.25" customHeight="1">
      <c r="AQ526" s="54"/>
    </row>
    <row r="527" ht="14.25" customHeight="1">
      <c r="AQ527" s="54"/>
    </row>
    <row r="528" ht="14.25" customHeight="1">
      <c r="AQ528" s="54"/>
    </row>
    <row r="529" ht="14.25" customHeight="1">
      <c r="AQ529" s="54"/>
    </row>
    <row r="530" ht="14.25" customHeight="1">
      <c r="AQ530" s="54"/>
    </row>
    <row r="531" ht="14.25" customHeight="1">
      <c r="AQ531" s="54"/>
    </row>
    <row r="532" ht="14.25" customHeight="1">
      <c r="AQ532" s="54"/>
    </row>
    <row r="533" ht="14.25" customHeight="1">
      <c r="AQ533" s="54"/>
    </row>
    <row r="534" ht="14.25" customHeight="1">
      <c r="AQ534" s="54"/>
    </row>
    <row r="535" ht="14.25" customHeight="1">
      <c r="AQ535" s="54"/>
    </row>
    <row r="536" ht="14.25" customHeight="1">
      <c r="AQ536" s="54"/>
    </row>
    <row r="537" ht="14.25" customHeight="1">
      <c r="AQ537" s="54"/>
    </row>
    <row r="538" ht="14.25" customHeight="1">
      <c r="AQ538" s="54"/>
    </row>
    <row r="539" ht="14.25" customHeight="1">
      <c r="AQ539" s="54"/>
    </row>
    <row r="540" ht="14.25" customHeight="1">
      <c r="AQ540" s="54"/>
    </row>
    <row r="541" ht="14.25" customHeight="1">
      <c r="AQ541" s="54"/>
    </row>
    <row r="542" ht="14.25" customHeight="1">
      <c r="AQ542" s="54"/>
    </row>
    <row r="543" ht="14.25" customHeight="1">
      <c r="AQ543" s="54"/>
    </row>
    <row r="544" ht="14.25" customHeight="1">
      <c r="AQ544" s="54"/>
    </row>
    <row r="545" ht="14.25" customHeight="1">
      <c r="AQ545" s="54"/>
    </row>
    <row r="546" ht="14.25" customHeight="1">
      <c r="AQ546" s="54"/>
    </row>
    <row r="547" ht="14.25" customHeight="1">
      <c r="AQ547" s="54"/>
    </row>
    <row r="548" ht="14.25" customHeight="1">
      <c r="AQ548" s="54"/>
    </row>
    <row r="549" ht="14.25" customHeight="1">
      <c r="AQ549" s="54"/>
    </row>
    <row r="550" ht="14.25" customHeight="1">
      <c r="AQ550" s="54"/>
    </row>
    <row r="551" ht="14.25" customHeight="1">
      <c r="AQ551" s="54"/>
    </row>
    <row r="552" ht="14.25" customHeight="1">
      <c r="AQ552" s="54"/>
    </row>
    <row r="553" ht="14.25" customHeight="1">
      <c r="AQ553" s="54"/>
    </row>
    <row r="554" ht="14.25" customHeight="1">
      <c r="AQ554" s="54"/>
    </row>
    <row r="555" ht="14.25" customHeight="1">
      <c r="AQ555" s="54"/>
    </row>
    <row r="556" ht="14.25" customHeight="1">
      <c r="AQ556" s="54"/>
    </row>
    <row r="557" ht="14.25" customHeight="1">
      <c r="AQ557" s="54"/>
    </row>
    <row r="558" ht="14.25" customHeight="1">
      <c r="AQ558" s="54"/>
    </row>
    <row r="559" ht="14.25" customHeight="1">
      <c r="AQ559" s="54"/>
    </row>
    <row r="560" ht="14.25" customHeight="1">
      <c r="AQ560" s="54"/>
    </row>
    <row r="561" ht="14.25" customHeight="1">
      <c r="AQ561" s="54"/>
    </row>
    <row r="562" ht="14.25" customHeight="1">
      <c r="AQ562" s="54"/>
    </row>
    <row r="563" ht="14.25" customHeight="1">
      <c r="AQ563" s="54"/>
    </row>
    <row r="564" ht="14.25" customHeight="1">
      <c r="AQ564" s="54"/>
    </row>
    <row r="565" ht="14.25" customHeight="1">
      <c r="AQ565" s="54"/>
    </row>
    <row r="566" ht="14.25" customHeight="1">
      <c r="AQ566" s="54"/>
    </row>
    <row r="567" ht="14.25" customHeight="1">
      <c r="AQ567" s="54"/>
    </row>
    <row r="568" ht="14.25" customHeight="1">
      <c r="AQ568" s="54"/>
    </row>
    <row r="569" ht="14.25" customHeight="1">
      <c r="AQ569" s="54"/>
    </row>
    <row r="570" ht="14.25" customHeight="1">
      <c r="AQ570" s="54"/>
    </row>
    <row r="571" ht="14.25" customHeight="1">
      <c r="AQ571" s="54"/>
    </row>
    <row r="572" ht="14.25" customHeight="1">
      <c r="AQ572" s="54"/>
    </row>
    <row r="573" ht="14.25" customHeight="1">
      <c r="AQ573" s="54"/>
    </row>
    <row r="574" ht="14.25" customHeight="1">
      <c r="AQ574" s="54"/>
    </row>
    <row r="575" ht="14.25" customHeight="1">
      <c r="AQ575" s="54"/>
    </row>
    <row r="576" ht="14.25" customHeight="1">
      <c r="AQ576" s="54"/>
    </row>
    <row r="577" ht="14.25" customHeight="1">
      <c r="AQ577" s="54"/>
    </row>
    <row r="578" ht="14.25" customHeight="1">
      <c r="AQ578" s="54"/>
    </row>
    <row r="579" ht="14.25" customHeight="1">
      <c r="AQ579" s="54"/>
    </row>
    <row r="580" ht="14.25" customHeight="1">
      <c r="AQ580" s="54"/>
    </row>
    <row r="581" ht="14.25" customHeight="1">
      <c r="AQ581" s="54"/>
    </row>
    <row r="582" ht="14.25" customHeight="1">
      <c r="AQ582" s="54"/>
    </row>
    <row r="583" ht="14.25" customHeight="1">
      <c r="AQ583" s="54"/>
    </row>
    <row r="584" ht="14.25" customHeight="1">
      <c r="AQ584" s="54"/>
    </row>
    <row r="585" ht="14.25" customHeight="1">
      <c r="AQ585" s="54"/>
    </row>
    <row r="586" ht="14.25" customHeight="1">
      <c r="AQ586" s="54"/>
    </row>
    <row r="587" ht="14.25" customHeight="1">
      <c r="AQ587" s="54"/>
    </row>
    <row r="588" ht="14.25" customHeight="1">
      <c r="AQ588" s="54"/>
    </row>
    <row r="589" ht="14.25" customHeight="1">
      <c r="AQ589" s="54"/>
    </row>
    <row r="590" ht="14.25" customHeight="1">
      <c r="AQ590" s="54"/>
    </row>
    <row r="591" ht="14.25" customHeight="1">
      <c r="AQ591" s="54"/>
    </row>
    <row r="592" ht="14.25" customHeight="1">
      <c r="AQ592" s="54"/>
    </row>
    <row r="593" ht="14.25" customHeight="1">
      <c r="AQ593" s="54"/>
    </row>
    <row r="594" ht="14.25" customHeight="1">
      <c r="AQ594" s="54"/>
    </row>
    <row r="595" ht="14.25" customHeight="1">
      <c r="AQ595" s="54"/>
    </row>
    <row r="596" ht="14.25" customHeight="1">
      <c r="AQ596" s="54"/>
    </row>
    <row r="597" ht="14.25" customHeight="1">
      <c r="AQ597" s="54"/>
    </row>
    <row r="598" ht="14.25" customHeight="1">
      <c r="AQ598" s="54"/>
    </row>
    <row r="599" ht="14.25" customHeight="1">
      <c r="AQ599" s="54"/>
    </row>
    <row r="600" ht="14.25" customHeight="1">
      <c r="AQ600" s="54"/>
    </row>
    <row r="601" ht="14.25" customHeight="1">
      <c r="AQ601" s="54"/>
    </row>
    <row r="602" ht="14.25" customHeight="1">
      <c r="AQ602" s="54"/>
    </row>
    <row r="603" ht="14.25" customHeight="1">
      <c r="AQ603" s="54"/>
    </row>
    <row r="604" ht="14.25" customHeight="1">
      <c r="AQ604" s="54"/>
    </row>
    <row r="605" ht="14.25" customHeight="1">
      <c r="AQ605" s="54"/>
    </row>
    <row r="606" ht="14.25" customHeight="1">
      <c r="AQ606" s="54"/>
    </row>
    <row r="607" ht="14.25" customHeight="1">
      <c r="AQ607" s="54"/>
    </row>
    <row r="608" ht="14.25" customHeight="1">
      <c r="AQ608" s="54"/>
    </row>
    <row r="609" ht="14.25" customHeight="1">
      <c r="AQ609" s="54"/>
    </row>
    <row r="610" ht="14.25" customHeight="1">
      <c r="AQ610" s="54"/>
    </row>
    <row r="611" ht="14.25" customHeight="1">
      <c r="AQ611" s="54"/>
    </row>
    <row r="612" ht="14.25" customHeight="1">
      <c r="AQ612" s="54"/>
    </row>
    <row r="613" ht="14.25" customHeight="1">
      <c r="AQ613" s="54"/>
    </row>
    <row r="614" ht="14.25" customHeight="1">
      <c r="AQ614" s="54"/>
    </row>
    <row r="615" ht="14.25" customHeight="1">
      <c r="AQ615" s="54"/>
    </row>
    <row r="616" ht="14.25" customHeight="1">
      <c r="AQ616" s="54"/>
    </row>
    <row r="617" ht="14.25" customHeight="1">
      <c r="AQ617" s="54"/>
    </row>
    <row r="618" ht="14.25" customHeight="1">
      <c r="AQ618" s="54"/>
    </row>
    <row r="619" ht="14.25" customHeight="1">
      <c r="AQ619" s="54"/>
    </row>
    <row r="620" ht="14.25" customHeight="1">
      <c r="AQ620" s="54"/>
    </row>
    <row r="621" ht="14.25" customHeight="1">
      <c r="AQ621" s="54"/>
    </row>
    <row r="622" ht="14.25" customHeight="1">
      <c r="AQ622" s="54"/>
    </row>
    <row r="623" ht="14.25" customHeight="1">
      <c r="AQ623" s="54"/>
    </row>
    <row r="624" ht="14.25" customHeight="1">
      <c r="AQ624" s="54"/>
    </row>
    <row r="625" ht="14.25" customHeight="1">
      <c r="AQ625" s="54"/>
    </row>
    <row r="626" ht="14.25" customHeight="1">
      <c r="AQ626" s="54"/>
    </row>
    <row r="627" ht="14.25" customHeight="1">
      <c r="AQ627" s="54"/>
    </row>
    <row r="628" ht="14.25" customHeight="1">
      <c r="AQ628" s="54"/>
    </row>
    <row r="629" ht="14.25" customHeight="1">
      <c r="AQ629" s="54"/>
    </row>
    <row r="630" ht="14.25" customHeight="1">
      <c r="AQ630" s="54"/>
    </row>
    <row r="631" ht="14.25" customHeight="1">
      <c r="AQ631" s="54"/>
    </row>
    <row r="632" ht="14.25" customHeight="1">
      <c r="AQ632" s="54"/>
    </row>
    <row r="633" ht="14.25" customHeight="1">
      <c r="AQ633" s="54"/>
    </row>
    <row r="634" ht="14.25" customHeight="1">
      <c r="AQ634" s="54"/>
    </row>
    <row r="635" ht="14.25" customHeight="1">
      <c r="AQ635" s="54"/>
    </row>
    <row r="636" ht="14.25" customHeight="1">
      <c r="AQ636" s="54"/>
    </row>
    <row r="637" ht="14.25" customHeight="1">
      <c r="AQ637" s="54"/>
    </row>
    <row r="638" ht="14.25" customHeight="1">
      <c r="AQ638" s="54"/>
    </row>
    <row r="639" ht="14.25" customHeight="1">
      <c r="AQ639" s="54"/>
    </row>
    <row r="640" ht="14.25" customHeight="1">
      <c r="AQ640" s="54"/>
    </row>
    <row r="641" ht="14.25" customHeight="1">
      <c r="AQ641" s="54"/>
    </row>
    <row r="642" ht="14.25" customHeight="1">
      <c r="AQ642" s="54"/>
    </row>
    <row r="643" ht="14.25" customHeight="1">
      <c r="AQ643" s="54"/>
    </row>
    <row r="644" ht="14.25" customHeight="1">
      <c r="AQ644" s="54"/>
    </row>
    <row r="645" ht="14.25" customHeight="1">
      <c r="AQ645" s="54"/>
    </row>
    <row r="646" ht="14.25" customHeight="1">
      <c r="AQ646" s="54"/>
    </row>
    <row r="647" ht="14.25" customHeight="1">
      <c r="AQ647" s="54"/>
    </row>
    <row r="648" ht="14.25" customHeight="1">
      <c r="AQ648" s="54"/>
    </row>
    <row r="649" ht="14.25" customHeight="1">
      <c r="AQ649" s="54"/>
    </row>
    <row r="650" ht="14.25" customHeight="1">
      <c r="AQ650" s="54"/>
    </row>
    <row r="651" ht="14.25" customHeight="1">
      <c r="AQ651" s="54"/>
    </row>
    <row r="652" ht="14.25" customHeight="1">
      <c r="AQ652" s="54"/>
    </row>
    <row r="653" ht="14.25" customHeight="1">
      <c r="AQ653" s="54"/>
    </row>
    <row r="654" ht="14.25" customHeight="1">
      <c r="AQ654" s="54"/>
    </row>
    <row r="655" ht="14.25" customHeight="1">
      <c r="AQ655" s="54"/>
    </row>
    <row r="656" ht="14.25" customHeight="1">
      <c r="AQ656" s="54"/>
    </row>
    <row r="657" ht="14.25" customHeight="1">
      <c r="AQ657" s="54"/>
    </row>
    <row r="658" ht="14.25" customHeight="1">
      <c r="AQ658" s="54"/>
    </row>
    <row r="659" ht="14.25" customHeight="1">
      <c r="AQ659" s="54"/>
    </row>
    <row r="660" ht="14.25" customHeight="1">
      <c r="AQ660" s="54"/>
    </row>
    <row r="661" ht="14.25" customHeight="1">
      <c r="AQ661" s="54"/>
    </row>
    <row r="662" ht="14.25" customHeight="1">
      <c r="AQ662" s="54"/>
    </row>
    <row r="663" ht="14.25" customHeight="1">
      <c r="AQ663" s="54"/>
    </row>
    <row r="664" ht="14.25" customHeight="1">
      <c r="AQ664" s="54"/>
    </row>
    <row r="665" ht="14.25" customHeight="1">
      <c r="AQ665" s="54"/>
    </row>
    <row r="666" ht="14.25" customHeight="1">
      <c r="AQ666" s="54"/>
    </row>
    <row r="667" ht="14.25" customHeight="1">
      <c r="AQ667" s="54"/>
    </row>
    <row r="668" ht="14.25" customHeight="1">
      <c r="AQ668" s="54"/>
    </row>
    <row r="669" ht="14.25" customHeight="1">
      <c r="AQ669" s="54"/>
    </row>
    <row r="670" ht="14.25" customHeight="1">
      <c r="AQ670" s="54"/>
    </row>
    <row r="671" ht="14.25" customHeight="1">
      <c r="AQ671" s="54"/>
    </row>
    <row r="672" ht="14.25" customHeight="1">
      <c r="AQ672" s="54"/>
    </row>
    <row r="673" ht="14.25" customHeight="1">
      <c r="AQ673" s="54"/>
    </row>
    <row r="674" ht="14.25" customHeight="1">
      <c r="AQ674" s="54"/>
    </row>
    <row r="675" ht="14.25" customHeight="1">
      <c r="AQ675" s="54"/>
    </row>
    <row r="676" ht="14.25" customHeight="1">
      <c r="AQ676" s="54"/>
    </row>
    <row r="677" ht="14.25" customHeight="1">
      <c r="AQ677" s="54"/>
    </row>
    <row r="678" ht="14.25" customHeight="1">
      <c r="AQ678" s="54"/>
    </row>
    <row r="679" ht="14.25" customHeight="1">
      <c r="AQ679" s="54"/>
    </row>
    <row r="680" ht="14.25" customHeight="1">
      <c r="AQ680" s="54"/>
    </row>
    <row r="681" ht="14.25" customHeight="1">
      <c r="AQ681" s="54"/>
    </row>
    <row r="682" ht="14.25" customHeight="1">
      <c r="AQ682" s="54"/>
    </row>
    <row r="683" ht="14.25" customHeight="1">
      <c r="AQ683" s="54"/>
    </row>
    <row r="684" ht="14.25" customHeight="1">
      <c r="AQ684" s="54"/>
    </row>
    <row r="685" ht="14.25" customHeight="1">
      <c r="AQ685" s="54"/>
    </row>
    <row r="686" ht="14.25" customHeight="1">
      <c r="AQ686" s="54"/>
    </row>
    <row r="687" ht="14.25" customHeight="1">
      <c r="AQ687" s="54"/>
    </row>
    <row r="688" ht="14.25" customHeight="1">
      <c r="AQ688" s="54"/>
    </row>
    <row r="689" ht="14.25" customHeight="1">
      <c r="AQ689" s="54"/>
    </row>
    <row r="690" ht="14.25" customHeight="1">
      <c r="AQ690" s="54"/>
    </row>
    <row r="691" ht="14.25" customHeight="1">
      <c r="AQ691" s="54"/>
    </row>
    <row r="692" ht="14.25" customHeight="1">
      <c r="AQ692" s="54"/>
    </row>
    <row r="693" ht="14.25" customHeight="1">
      <c r="AQ693" s="54"/>
    </row>
    <row r="694" ht="14.25" customHeight="1">
      <c r="AQ694" s="54"/>
    </row>
    <row r="695" ht="14.25" customHeight="1">
      <c r="AQ695" s="54"/>
    </row>
    <row r="696" ht="14.25" customHeight="1">
      <c r="AQ696" s="54"/>
    </row>
    <row r="697" ht="14.25" customHeight="1">
      <c r="AQ697" s="54"/>
    </row>
    <row r="698" ht="14.25" customHeight="1">
      <c r="AQ698" s="54"/>
    </row>
    <row r="699" ht="14.25" customHeight="1">
      <c r="AQ699" s="54"/>
    </row>
    <row r="700" ht="14.25" customHeight="1">
      <c r="AQ700" s="54"/>
    </row>
    <row r="701" ht="14.25" customHeight="1">
      <c r="AQ701" s="54"/>
    </row>
    <row r="702" ht="14.25" customHeight="1">
      <c r="AQ702" s="54"/>
    </row>
    <row r="703" ht="14.25" customHeight="1">
      <c r="AQ703" s="54"/>
    </row>
    <row r="704" ht="14.25" customHeight="1">
      <c r="AQ704" s="54"/>
    </row>
    <row r="705" ht="14.25" customHeight="1">
      <c r="AQ705" s="54"/>
    </row>
    <row r="706" ht="14.25" customHeight="1">
      <c r="AQ706" s="54"/>
    </row>
    <row r="707" ht="14.25" customHeight="1">
      <c r="AQ707" s="54"/>
    </row>
    <row r="708" ht="14.25" customHeight="1">
      <c r="AQ708" s="54"/>
    </row>
    <row r="709" ht="14.25" customHeight="1">
      <c r="AQ709" s="54"/>
    </row>
    <row r="710" ht="14.25" customHeight="1">
      <c r="AQ710" s="54"/>
    </row>
    <row r="711" ht="14.25" customHeight="1">
      <c r="AQ711" s="54"/>
    </row>
    <row r="712" ht="14.25" customHeight="1">
      <c r="AQ712" s="54"/>
    </row>
    <row r="713" ht="14.25" customHeight="1">
      <c r="AQ713" s="54"/>
    </row>
    <row r="714" ht="14.25" customHeight="1">
      <c r="AQ714" s="54"/>
    </row>
    <row r="715" ht="14.25" customHeight="1">
      <c r="AQ715" s="54"/>
    </row>
    <row r="716" ht="14.25" customHeight="1">
      <c r="AQ716" s="54"/>
    </row>
    <row r="717" ht="14.25" customHeight="1">
      <c r="AQ717" s="54"/>
    </row>
    <row r="718" ht="14.25" customHeight="1">
      <c r="AQ718" s="54"/>
    </row>
    <row r="719" ht="14.25" customHeight="1">
      <c r="AQ719" s="54"/>
    </row>
    <row r="720" ht="14.25" customHeight="1">
      <c r="AQ720" s="54"/>
    </row>
    <row r="721" ht="14.25" customHeight="1">
      <c r="AQ721" s="54"/>
    </row>
    <row r="722" ht="14.25" customHeight="1">
      <c r="AQ722" s="54"/>
    </row>
    <row r="723" ht="14.25" customHeight="1">
      <c r="AQ723" s="54"/>
    </row>
    <row r="724" ht="14.25" customHeight="1">
      <c r="AQ724" s="54"/>
    </row>
    <row r="725" ht="14.25" customHeight="1">
      <c r="AQ725" s="54"/>
    </row>
    <row r="726" ht="14.25" customHeight="1">
      <c r="AQ726" s="54"/>
    </row>
    <row r="727" ht="14.25" customHeight="1">
      <c r="AQ727" s="54"/>
    </row>
    <row r="728" ht="14.25" customHeight="1">
      <c r="AQ728" s="54"/>
    </row>
    <row r="729" ht="14.25" customHeight="1">
      <c r="AQ729" s="54"/>
    </row>
    <row r="730" ht="14.25" customHeight="1">
      <c r="AQ730" s="54"/>
    </row>
    <row r="731" ht="14.25" customHeight="1">
      <c r="AQ731" s="54"/>
    </row>
    <row r="732" ht="14.25" customHeight="1">
      <c r="AQ732" s="54"/>
    </row>
    <row r="733" ht="14.25" customHeight="1">
      <c r="AQ733" s="54"/>
    </row>
    <row r="734" ht="14.25" customHeight="1">
      <c r="AQ734" s="54"/>
    </row>
    <row r="735" ht="14.25" customHeight="1">
      <c r="AQ735" s="54"/>
    </row>
    <row r="736" ht="14.25" customHeight="1">
      <c r="AQ736" s="54"/>
    </row>
    <row r="737" ht="14.25" customHeight="1">
      <c r="AQ737" s="54"/>
    </row>
    <row r="738" ht="14.25" customHeight="1">
      <c r="AQ738" s="54"/>
    </row>
    <row r="739" ht="14.25" customHeight="1">
      <c r="AQ739" s="54"/>
    </row>
    <row r="740" ht="14.25" customHeight="1">
      <c r="AQ740" s="54"/>
    </row>
    <row r="741" ht="14.25" customHeight="1">
      <c r="AQ741" s="54"/>
    </row>
    <row r="742" ht="14.25" customHeight="1">
      <c r="AQ742" s="54"/>
    </row>
    <row r="743" ht="14.25" customHeight="1">
      <c r="AQ743" s="54"/>
    </row>
    <row r="744" ht="14.25" customHeight="1">
      <c r="AQ744" s="54"/>
    </row>
    <row r="745" ht="14.25" customHeight="1">
      <c r="AQ745" s="54"/>
    </row>
    <row r="746" ht="14.25" customHeight="1">
      <c r="AQ746" s="54"/>
    </row>
    <row r="747" ht="14.25" customHeight="1">
      <c r="AQ747" s="54"/>
    </row>
    <row r="748" ht="14.25" customHeight="1">
      <c r="AQ748" s="54"/>
    </row>
    <row r="749" ht="14.25" customHeight="1">
      <c r="AQ749" s="54"/>
    </row>
    <row r="750" ht="14.25" customHeight="1">
      <c r="AQ750" s="54"/>
    </row>
    <row r="751" ht="14.25" customHeight="1">
      <c r="AQ751" s="54"/>
    </row>
    <row r="752" ht="14.25" customHeight="1">
      <c r="AQ752" s="54"/>
    </row>
    <row r="753" ht="14.25" customHeight="1">
      <c r="AQ753" s="54"/>
    </row>
    <row r="754" ht="14.25" customHeight="1">
      <c r="AQ754" s="54"/>
    </row>
    <row r="755" ht="14.25" customHeight="1">
      <c r="AQ755" s="54"/>
    </row>
    <row r="756" ht="14.25" customHeight="1">
      <c r="AQ756" s="54"/>
    </row>
    <row r="757" ht="14.25" customHeight="1">
      <c r="AQ757" s="54"/>
    </row>
    <row r="758" ht="14.25" customHeight="1">
      <c r="AQ758" s="54"/>
    </row>
    <row r="759" ht="14.25" customHeight="1">
      <c r="AQ759" s="54"/>
    </row>
    <row r="760" ht="14.25" customHeight="1">
      <c r="AQ760" s="54"/>
    </row>
    <row r="761" ht="14.25" customHeight="1">
      <c r="AQ761" s="54"/>
    </row>
    <row r="762" ht="14.25" customHeight="1">
      <c r="AQ762" s="54"/>
    </row>
    <row r="763" ht="14.25" customHeight="1">
      <c r="AQ763" s="54"/>
    </row>
    <row r="764" ht="14.25" customHeight="1">
      <c r="AQ764" s="54"/>
    </row>
    <row r="765" ht="14.25" customHeight="1">
      <c r="AQ765" s="54"/>
    </row>
    <row r="766" ht="14.25" customHeight="1">
      <c r="AQ766" s="54"/>
    </row>
    <row r="767" ht="14.25" customHeight="1">
      <c r="AQ767" s="54"/>
    </row>
    <row r="768" ht="14.25" customHeight="1">
      <c r="AQ768" s="54"/>
    </row>
    <row r="769" ht="14.25" customHeight="1">
      <c r="AQ769" s="54"/>
    </row>
    <row r="770" ht="14.25" customHeight="1">
      <c r="AQ770" s="54"/>
    </row>
    <row r="771" ht="14.25" customHeight="1">
      <c r="AQ771" s="54"/>
    </row>
    <row r="772" ht="14.25" customHeight="1">
      <c r="AQ772" s="54"/>
    </row>
    <row r="773" ht="14.25" customHeight="1">
      <c r="AQ773" s="54"/>
    </row>
    <row r="774" ht="14.25" customHeight="1">
      <c r="AQ774" s="54"/>
    </row>
    <row r="775" ht="14.25" customHeight="1">
      <c r="AQ775" s="54"/>
    </row>
    <row r="776" ht="14.25" customHeight="1">
      <c r="AQ776" s="54"/>
    </row>
    <row r="777" ht="14.25" customHeight="1">
      <c r="AQ777" s="54"/>
    </row>
    <row r="778" ht="14.25" customHeight="1">
      <c r="AQ778" s="54"/>
    </row>
    <row r="779" ht="14.25" customHeight="1">
      <c r="AQ779" s="54"/>
    </row>
    <row r="780" ht="14.25" customHeight="1">
      <c r="AQ780" s="54"/>
    </row>
    <row r="781" ht="14.25" customHeight="1">
      <c r="AQ781" s="54"/>
    </row>
    <row r="782" ht="14.25" customHeight="1">
      <c r="AQ782" s="54"/>
    </row>
    <row r="783" ht="14.25" customHeight="1">
      <c r="AQ783" s="54"/>
    </row>
    <row r="784" ht="14.25" customHeight="1">
      <c r="AQ784" s="54"/>
    </row>
    <row r="785" ht="14.25" customHeight="1">
      <c r="AQ785" s="54"/>
    </row>
    <row r="786" ht="14.25" customHeight="1">
      <c r="AQ786" s="54"/>
    </row>
    <row r="787" ht="14.25" customHeight="1">
      <c r="AQ787" s="54"/>
    </row>
    <row r="788" ht="14.25" customHeight="1">
      <c r="AQ788" s="54"/>
    </row>
    <row r="789" ht="14.25" customHeight="1">
      <c r="AQ789" s="54"/>
    </row>
    <row r="790" ht="14.25" customHeight="1">
      <c r="AQ790" s="54"/>
    </row>
    <row r="791" ht="14.25" customHeight="1">
      <c r="AQ791" s="54"/>
    </row>
    <row r="792" ht="14.25" customHeight="1">
      <c r="AQ792" s="54"/>
    </row>
    <row r="793" ht="14.25" customHeight="1">
      <c r="AQ793" s="54"/>
    </row>
    <row r="794" ht="14.25" customHeight="1">
      <c r="AQ794" s="54"/>
    </row>
    <row r="795" ht="14.25" customHeight="1">
      <c r="AQ795" s="54"/>
    </row>
    <row r="796" ht="14.25" customHeight="1">
      <c r="AQ796" s="54"/>
    </row>
    <row r="797" ht="14.25" customHeight="1">
      <c r="AQ797" s="54"/>
    </row>
    <row r="798" ht="14.25" customHeight="1">
      <c r="AQ798" s="54"/>
    </row>
    <row r="799" ht="14.25" customHeight="1">
      <c r="AQ799" s="54"/>
    </row>
    <row r="800" ht="14.25" customHeight="1">
      <c r="AQ800" s="54"/>
    </row>
    <row r="801" ht="14.25" customHeight="1">
      <c r="AQ801" s="54"/>
    </row>
    <row r="802" ht="14.25" customHeight="1">
      <c r="AQ802" s="54"/>
    </row>
    <row r="803" ht="14.25" customHeight="1">
      <c r="AQ803" s="54"/>
    </row>
    <row r="804" ht="14.25" customHeight="1">
      <c r="AQ804" s="54"/>
    </row>
    <row r="805" ht="14.25" customHeight="1">
      <c r="AQ805" s="54"/>
    </row>
    <row r="806" ht="14.25" customHeight="1">
      <c r="AQ806" s="54"/>
    </row>
    <row r="807" ht="14.25" customHeight="1">
      <c r="AQ807" s="54"/>
    </row>
    <row r="808" ht="14.25" customHeight="1">
      <c r="AQ808" s="54"/>
    </row>
    <row r="809" ht="14.25" customHeight="1">
      <c r="AQ809" s="54"/>
    </row>
    <row r="810" ht="14.25" customHeight="1">
      <c r="AQ810" s="54"/>
    </row>
    <row r="811" ht="14.25" customHeight="1">
      <c r="AQ811" s="54"/>
    </row>
    <row r="812" ht="14.25" customHeight="1">
      <c r="AQ812" s="54"/>
    </row>
    <row r="813" ht="14.25" customHeight="1">
      <c r="AQ813" s="54"/>
    </row>
    <row r="814" ht="14.25" customHeight="1">
      <c r="AQ814" s="54"/>
    </row>
    <row r="815" ht="14.25" customHeight="1">
      <c r="AQ815" s="54"/>
    </row>
    <row r="816" ht="14.25" customHeight="1">
      <c r="AQ816" s="54"/>
    </row>
    <row r="817" ht="14.25" customHeight="1">
      <c r="AQ817" s="54"/>
    </row>
    <row r="818" ht="14.25" customHeight="1">
      <c r="AQ818" s="54"/>
    </row>
    <row r="819" ht="14.25" customHeight="1">
      <c r="AQ819" s="54"/>
    </row>
    <row r="820" ht="14.25" customHeight="1">
      <c r="AQ820" s="54"/>
    </row>
    <row r="821" ht="14.25" customHeight="1">
      <c r="AQ821" s="54"/>
    </row>
    <row r="822" ht="14.25" customHeight="1">
      <c r="AQ822" s="54"/>
    </row>
    <row r="823" ht="14.25" customHeight="1">
      <c r="AQ823" s="54"/>
    </row>
    <row r="824" ht="14.25" customHeight="1">
      <c r="AQ824" s="54"/>
    </row>
    <row r="825" ht="14.25" customHeight="1">
      <c r="AQ825" s="54"/>
    </row>
    <row r="826" ht="14.25" customHeight="1">
      <c r="AQ826" s="54"/>
    </row>
    <row r="827" ht="14.25" customHeight="1">
      <c r="AQ827" s="54"/>
    </row>
    <row r="828" ht="14.25" customHeight="1">
      <c r="AQ828" s="54"/>
    </row>
    <row r="829" ht="14.25" customHeight="1">
      <c r="AQ829" s="54"/>
    </row>
    <row r="830" ht="14.25" customHeight="1">
      <c r="AQ830" s="54"/>
    </row>
    <row r="831" ht="14.25" customHeight="1">
      <c r="AQ831" s="54"/>
    </row>
    <row r="832" ht="14.25" customHeight="1">
      <c r="AQ832" s="54"/>
    </row>
    <row r="833" ht="14.25" customHeight="1">
      <c r="AQ833" s="54"/>
    </row>
    <row r="834" ht="14.25" customHeight="1">
      <c r="AQ834" s="54"/>
    </row>
    <row r="835" ht="14.25" customHeight="1">
      <c r="AQ835" s="54"/>
    </row>
    <row r="836" ht="14.25" customHeight="1">
      <c r="AQ836" s="54"/>
    </row>
    <row r="837" ht="14.25" customHeight="1">
      <c r="AQ837" s="54"/>
    </row>
    <row r="838" ht="14.25" customHeight="1">
      <c r="AQ838" s="54"/>
    </row>
    <row r="839" ht="14.25" customHeight="1">
      <c r="AQ839" s="54"/>
    </row>
    <row r="840" ht="14.25" customHeight="1">
      <c r="AQ840" s="54"/>
    </row>
    <row r="841" ht="14.25" customHeight="1">
      <c r="AQ841" s="54"/>
    </row>
    <row r="842" ht="14.25" customHeight="1">
      <c r="AQ842" s="54"/>
    </row>
    <row r="843" ht="14.25" customHeight="1">
      <c r="AQ843" s="54"/>
    </row>
    <row r="844" ht="14.25" customHeight="1">
      <c r="AQ844" s="54"/>
    </row>
    <row r="845" ht="14.25" customHeight="1">
      <c r="AQ845" s="54"/>
    </row>
    <row r="846" ht="14.25" customHeight="1">
      <c r="AQ846" s="54"/>
    </row>
    <row r="847" ht="14.25" customHeight="1">
      <c r="AQ847" s="54"/>
    </row>
    <row r="848" ht="14.25" customHeight="1">
      <c r="AQ848" s="54"/>
    </row>
    <row r="849" ht="14.25" customHeight="1">
      <c r="AQ849" s="54"/>
    </row>
    <row r="850" ht="14.25" customHeight="1">
      <c r="AQ850" s="54"/>
    </row>
    <row r="851" ht="14.25" customHeight="1">
      <c r="AQ851" s="54"/>
    </row>
    <row r="852" ht="14.25" customHeight="1">
      <c r="AQ852" s="54"/>
    </row>
    <row r="853" ht="14.25" customHeight="1">
      <c r="AQ853" s="54"/>
    </row>
    <row r="854" ht="14.25" customHeight="1">
      <c r="AQ854" s="54"/>
    </row>
    <row r="855" ht="14.25" customHeight="1">
      <c r="AQ855" s="54"/>
    </row>
    <row r="856" ht="14.25" customHeight="1">
      <c r="AQ856" s="54"/>
    </row>
    <row r="857" ht="14.25" customHeight="1">
      <c r="AQ857" s="54"/>
    </row>
    <row r="858" ht="14.25" customHeight="1">
      <c r="AQ858" s="54"/>
    </row>
    <row r="859" ht="14.25" customHeight="1">
      <c r="AQ859" s="54"/>
    </row>
    <row r="860" ht="14.25" customHeight="1">
      <c r="AQ860" s="54"/>
    </row>
    <row r="861" ht="14.25" customHeight="1">
      <c r="AQ861" s="54"/>
    </row>
    <row r="862" ht="14.25" customHeight="1">
      <c r="AQ862" s="54"/>
    </row>
    <row r="863" ht="14.25" customHeight="1">
      <c r="AQ863" s="54"/>
    </row>
    <row r="864" ht="14.25" customHeight="1">
      <c r="AQ864" s="54"/>
    </row>
    <row r="865" ht="14.25" customHeight="1">
      <c r="AQ865" s="54"/>
    </row>
    <row r="866" ht="14.25" customHeight="1">
      <c r="AQ866" s="54"/>
    </row>
    <row r="867" ht="14.25" customHeight="1">
      <c r="AQ867" s="54"/>
    </row>
    <row r="868" ht="14.25" customHeight="1">
      <c r="AQ868" s="54"/>
    </row>
    <row r="869" ht="14.25" customHeight="1">
      <c r="AQ869" s="54"/>
    </row>
    <row r="870" ht="14.25" customHeight="1">
      <c r="AQ870" s="54"/>
    </row>
    <row r="871" ht="14.25" customHeight="1">
      <c r="AQ871" s="54"/>
    </row>
    <row r="872" ht="14.25" customHeight="1">
      <c r="AQ872" s="54"/>
    </row>
    <row r="873" ht="14.25" customHeight="1">
      <c r="AQ873" s="54"/>
    </row>
    <row r="874" ht="14.25" customHeight="1">
      <c r="AQ874" s="54"/>
    </row>
    <row r="875" ht="14.25" customHeight="1">
      <c r="AQ875" s="54"/>
    </row>
    <row r="876" ht="14.25" customHeight="1">
      <c r="AQ876" s="54"/>
    </row>
    <row r="877" ht="14.25" customHeight="1">
      <c r="AQ877" s="54"/>
    </row>
    <row r="878" ht="14.25" customHeight="1">
      <c r="AQ878" s="54"/>
    </row>
    <row r="879" ht="14.25" customHeight="1">
      <c r="AQ879" s="54"/>
    </row>
    <row r="880" ht="14.25" customHeight="1">
      <c r="AQ880" s="54"/>
    </row>
    <row r="881" ht="14.25" customHeight="1">
      <c r="AQ881" s="54"/>
    </row>
    <row r="882" ht="14.25" customHeight="1">
      <c r="AQ882" s="54"/>
    </row>
    <row r="883" ht="14.25" customHeight="1">
      <c r="AQ883" s="54"/>
    </row>
    <row r="884" ht="14.25" customHeight="1">
      <c r="AQ884" s="54"/>
    </row>
    <row r="885" ht="14.25" customHeight="1">
      <c r="AQ885" s="54"/>
    </row>
    <row r="886" ht="14.25" customHeight="1">
      <c r="AQ886" s="54"/>
    </row>
    <row r="887" ht="14.25" customHeight="1">
      <c r="AQ887" s="54"/>
    </row>
    <row r="888" ht="14.25" customHeight="1">
      <c r="AQ888" s="54"/>
    </row>
    <row r="889" ht="14.25" customHeight="1">
      <c r="AQ889" s="54"/>
    </row>
    <row r="890" ht="14.25" customHeight="1">
      <c r="AQ890" s="54"/>
    </row>
    <row r="891" ht="14.25" customHeight="1">
      <c r="AQ891" s="54"/>
    </row>
    <row r="892" ht="14.25" customHeight="1">
      <c r="AQ892" s="54"/>
    </row>
    <row r="893" ht="14.25" customHeight="1">
      <c r="AQ893" s="54"/>
    </row>
    <row r="894" ht="14.25" customHeight="1">
      <c r="AQ894" s="54"/>
    </row>
    <row r="895" ht="14.25" customHeight="1">
      <c r="AQ895" s="54"/>
    </row>
    <row r="896" ht="14.25" customHeight="1">
      <c r="AQ896" s="54"/>
    </row>
    <row r="897" ht="14.25" customHeight="1">
      <c r="AQ897" s="54"/>
    </row>
    <row r="898" ht="14.25" customHeight="1">
      <c r="AQ898" s="54"/>
    </row>
    <row r="899" ht="14.25" customHeight="1">
      <c r="AQ899" s="54"/>
    </row>
    <row r="900" ht="14.25" customHeight="1">
      <c r="AQ900" s="54"/>
    </row>
    <row r="901" ht="14.25" customHeight="1">
      <c r="AQ901" s="54"/>
    </row>
    <row r="902" ht="14.25" customHeight="1">
      <c r="AQ902" s="54"/>
    </row>
    <row r="903" ht="14.25" customHeight="1">
      <c r="AQ903" s="54"/>
    </row>
    <row r="904" ht="14.25" customHeight="1">
      <c r="AQ904" s="54"/>
    </row>
    <row r="905" ht="14.25" customHeight="1">
      <c r="AQ905" s="54"/>
    </row>
    <row r="906" ht="14.25" customHeight="1">
      <c r="AQ906" s="54"/>
    </row>
    <row r="907" ht="14.25" customHeight="1">
      <c r="AQ907" s="54"/>
    </row>
    <row r="908" ht="14.25" customHeight="1">
      <c r="AQ908" s="54"/>
    </row>
    <row r="909" ht="14.25" customHeight="1">
      <c r="AQ909" s="54"/>
    </row>
    <row r="910" ht="14.25" customHeight="1">
      <c r="AQ910" s="54"/>
    </row>
    <row r="911" ht="14.25" customHeight="1">
      <c r="AQ911" s="54"/>
    </row>
    <row r="912" ht="14.25" customHeight="1">
      <c r="AQ912" s="54"/>
    </row>
    <row r="913" ht="14.25" customHeight="1">
      <c r="AQ913" s="54"/>
    </row>
    <row r="914" ht="14.25" customHeight="1">
      <c r="AQ914" s="54"/>
    </row>
    <row r="915" ht="14.25" customHeight="1">
      <c r="AQ915" s="54"/>
    </row>
    <row r="916" ht="14.25" customHeight="1">
      <c r="AQ916" s="54"/>
    </row>
    <row r="917" ht="14.25" customHeight="1">
      <c r="AQ917" s="54"/>
    </row>
    <row r="918" ht="14.25" customHeight="1">
      <c r="AQ918" s="54"/>
    </row>
    <row r="919" ht="14.25" customHeight="1">
      <c r="AQ919" s="54"/>
    </row>
    <row r="920" ht="14.25" customHeight="1">
      <c r="AQ920" s="54"/>
    </row>
    <row r="921" ht="14.25" customHeight="1">
      <c r="AQ921" s="54"/>
    </row>
    <row r="922" ht="14.25" customHeight="1">
      <c r="AQ922" s="54"/>
    </row>
    <row r="923" ht="14.25" customHeight="1">
      <c r="AQ923" s="54"/>
    </row>
    <row r="924" ht="14.25" customHeight="1">
      <c r="AQ924" s="54"/>
    </row>
    <row r="925" ht="14.25" customHeight="1">
      <c r="AQ925" s="54"/>
    </row>
    <row r="926" ht="14.25" customHeight="1">
      <c r="AQ926" s="54"/>
    </row>
    <row r="927" ht="14.25" customHeight="1">
      <c r="AQ927" s="54"/>
    </row>
    <row r="928" ht="14.25" customHeight="1">
      <c r="AQ928" s="54"/>
    </row>
    <row r="929" ht="14.25" customHeight="1">
      <c r="AQ929" s="54"/>
    </row>
    <row r="930" ht="14.25" customHeight="1">
      <c r="AQ930" s="54"/>
    </row>
    <row r="931" ht="14.25" customHeight="1">
      <c r="AQ931" s="54"/>
    </row>
    <row r="932" ht="14.25" customHeight="1">
      <c r="AQ932" s="54"/>
    </row>
    <row r="933" ht="14.25" customHeight="1">
      <c r="AQ933" s="54"/>
    </row>
    <row r="934" ht="14.25" customHeight="1">
      <c r="AQ934" s="54"/>
    </row>
    <row r="935" ht="14.25" customHeight="1">
      <c r="AQ935" s="54"/>
    </row>
    <row r="936" ht="14.25" customHeight="1">
      <c r="AQ936" s="54"/>
    </row>
    <row r="937" ht="14.25" customHeight="1">
      <c r="AQ937" s="54"/>
    </row>
    <row r="938" ht="14.25" customHeight="1">
      <c r="AQ938" s="54"/>
    </row>
    <row r="939" ht="14.25" customHeight="1">
      <c r="AQ939" s="54"/>
    </row>
    <row r="940" ht="14.25" customHeight="1">
      <c r="AQ940" s="54"/>
    </row>
    <row r="941" ht="14.25" customHeight="1">
      <c r="AQ941" s="54"/>
    </row>
    <row r="942" ht="14.25" customHeight="1">
      <c r="AQ942" s="54"/>
    </row>
    <row r="943" ht="14.25" customHeight="1">
      <c r="AQ943" s="54"/>
    </row>
    <row r="944" ht="14.25" customHeight="1">
      <c r="AQ944" s="54"/>
    </row>
    <row r="945" ht="14.25" customHeight="1">
      <c r="AQ945" s="54"/>
    </row>
    <row r="946" ht="14.25" customHeight="1">
      <c r="AQ946" s="54"/>
    </row>
    <row r="947" ht="14.25" customHeight="1">
      <c r="AQ947" s="54"/>
    </row>
    <row r="948" ht="14.25" customHeight="1">
      <c r="AQ948" s="54"/>
    </row>
    <row r="949" ht="14.25" customHeight="1">
      <c r="AQ949" s="54"/>
    </row>
    <row r="950" ht="14.25" customHeight="1">
      <c r="AQ950" s="54"/>
    </row>
    <row r="951" ht="14.25" customHeight="1">
      <c r="AQ951" s="54"/>
    </row>
    <row r="952" ht="14.25" customHeight="1">
      <c r="AQ952" s="54"/>
    </row>
    <row r="953" ht="14.25" customHeight="1">
      <c r="AQ953" s="54"/>
    </row>
    <row r="954" ht="14.25" customHeight="1">
      <c r="AQ954" s="54"/>
    </row>
    <row r="955" ht="14.25" customHeight="1">
      <c r="AQ955" s="54"/>
    </row>
    <row r="956" ht="14.25" customHeight="1">
      <c r="AQ956" s="54"/>
    </row>
    <row r="957" ht="14.25" customHeight="1">
      <c r="AQ957" s="54"/>
    </row>
    <row r="958" ht="14.25" customHeight="1">
      <c r="AQ958" s="54"/>
    </row>
    <row r="959" ht="14.25" customHeight="1">
      <c r="AQ959" s="54"/>
    </row>
    <row r="960" ht="14.25" customHeight="1">
      <c r="AQ960" s="54"/>
    </row>
    <row r="961" ht="14.25" customHeight="1">
      <c r="AQ961" s="54"/>
    </row>
    <row r="962" ht="14.25" customHeight="1">
      <c r="AQ962" s="54"/>
    </row>
    <row r="963" ht="14.25" customHeight="1">
      <c r="AQ963" s="54"/>
    </row>
    <row r="964" ht="14.25" customHeight="1">
      <c r="AQ964" s="54"/>
    </row>
    <row r="965" ht="14.25" customHeight="1">
      <c r="AQ965" s="54"/>
    </row>
    <row r="966" ht="14.25" customHeight="1">
      <c r="AQ966" s="54"/>
    </row>
    <row r="967" ht="14.25" customHeight="1">
      <c r="AQ967" s="54"/>
    </row>
    <row r="968" ht="14.25" customHeight="1">
      <c r="AQ968" s="54"/>
    </row>
    <row r="969" ht="14.25" customHeight="1">
      <c r="AQ969" s="54"/>
    </row>
    <row r="970" ht="14.25" customHeight="1">
      <c r="AQ970" s="54"/>
    </row>
    <row r="971" ht="14.25" customHeight="1">
      <c r="AQ971" s="54"/>
    </row>
    <row r="972" ht="14.25" customHeight="1">
      <c r="AQ972" s="54"/>
    </row>
    <row r="973" ht="14.25" customHeight="1">
      <c r="AQ973" s="54"/>
    </row>
    <row r="974" ht="14.25" customHeight="1">
      <c r="AQ974" s="54"/>
    </row>
    <row r="975" ht="14.25" customHeight="1">
      <c r="AQ975" s="54"/>
    </row>
    <row r="976" ht="14.25" customHeight="1">
      <c r="AQ976" s="54"/>
    </row>
    <row r="977" ht="14.25" customHeight="1">
      <c r="AQ977" s="54"/>
    </row>
    <row r="978" ht="14.25" customHeight="1">
      <c r="AQ978" s="54"/>
    </row>
    <row r="979" ht="14.25" customHeight="1">
      <c r="AQ979" s="54"/>
    </row>
    <row r="980" ht="14.25" customHeight="1">
      <c r="AQ980" s="54"/>
    </row>
    <row r="981" ht="14.25" customHeight="1">
      <c r="AQ981" s="54"/>
    </row>
    <row r="982" ht="14.25" customHeight="1">
      <c r="AQ982" s="54"/>
    </row>
    <row r="983" ht="14.25" customHeight="1">
      <c r="AQ983" s="54"/>
    </row>
    <row r="984" ht="14.25" customHeight="1">
      <c r="AQ984" s="54"/>
    </row>
    <row r="985" ht="14.25" customHeight="1">
      <c r="AQ985" s="54"/>
    </row>
    <row r="986" ht="14.25" customHeight="1">
      <c r="AQ986" s="54"/>
    </row>
    <row r="987" ht="14.25" customHeight="1">
      <c r="AQ987" s="54"/>
    </row>
    <row r="988" ht="14.25" customHeight="1">
      <c r="AQ988" s="54"/>
    </row>
    <row r="989" ht="14.25" customHeight="1">
      <c r="AQ989" s="54"/>
    </row>
    <row r="990" ht="14.25" customHeight="1">
      <c r="AQ990" s="54"/>
    </row>
    <row r="991" ht="14.25" customHeight="1">
      <c r="AQ991" s="54"/>
    </row>
    <row r="992" ht="14.25" customHeight="1">
      <c r="AQ992" s="54"/>
    </row>
    <row r="993" ht="14.25" customHeight="1">
      <c r="AQ993" s="54"/>
    </row>
    <row r="994" ht="14.25" customHeight="1">
      <c r="AQ994" s="54"/>
    </row>
    <row r="995" ht="14.25" customHeight="1">
      <c r="AQ995" s="54"/>
    </row>
    <row r="996" ht="14.25" customHeight="1">
      <c r="AQ996" s="54"/>
    </row>
    <row r="997" ht="14.25" customHeight="1">
      <c r="AQ997" s="54"/>
    </row>
    <row r="998" ht="14.25" customHeight="1">
      <c r="AQ998" s="54"/>
    </row>
    <row r="999" ht="14.25" customHeight="1">
      <c r="AQ999" s="54"/>
    </row>
    <row r="1000" ht="14.25" customHeight="1">
      <c r="AQ1000" s="54"/>
    </row>
  </sheetData>
  <mergeCells count="2">
    <mergeCell ref="P1:Q1"/>
    <mergeCell ref="R1:S1"/>
  </mergeCells>
  <hyperlinks>
    <hyperlink r:id="rId1" ref="AP3"/>
    <hyperlink r:id="rId2" ref="AP4"/>
    <hyperlink r:id="rId3" ref="AP5"/>
    <hyperlink r:id="rId4" ref="AP6"/>
    <hyperlink r:id="rId5" ref="AP7"/>
    <hyperlink r:id="rId6" ref="AP8"/>
    <hyperlink r:id="rId7" ref="AP9"/>
    <hyperlink r:id="rId8" ref="AP10"/>
    <hyperlink r:id="rId9" ref="AP11"/>
    <hyperlink r:id="rId10" ref="AP12"/>
    <hyperlink r:id="rId11" ref="AP13"/>
    <hyperlink r:id="rId12" ref="AP14"/>
    <hyperlink r:id="rId13" ref="AP15"/>
    <hyperlink r:id="rId14" ref="AP16"/>
    <hyperlink r:id="rId15" ref="AP18"/>
    <hyperlink r:id="rId16" ref="AP21"/>
  </hyperlinks>
  <printOptions/>
  <pageMargins bottom="0.75" footer="0.0" header="0.0" left="0.7" right="0.7" top="0.75"/>
  <pageSetup paperSize="9" orientation="portrait"/>
  <drawing r:id="rId17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.71"/>
    <col customWidth="1" min="2" max="2" width="11.57"/>
    <col customWidth="1" min="3" max="3" width="18.14"/>
    <col customWidth="1" min="4" max="4" width="13.86"/>
    <col customWidth="1" min="5" max="5" width="33.29"/>
    <col customWidth="1" min="6" max="6" width="30.57"/>
    <col customWidth="1" min="7" max="7" width="38.43"/>
    <col customWidth="1" min="8" max="8" width="24.14"/>
    <col customWidth="1" min="9" max="9" width="21.0"/>
    <col customWidth="1" min="10" max="11" width="16.43"/>
    <col customWidth="1" min="12" max="13" width="12.57"/>
    <col customWidth="1" min="14" max="17" width="13.57"/>
    <col customWidth="1" min="18" max="19" width="13.0"/>
    <col customWidth="1" min="20" max="21" width="12.43"/>
    <col customWidth="1" min="22" max="23" width="14.0"/>
    <col customWidth="1" min="24" max="25" width="12.86"/>
    <col customWidth="1" min="26" max="27" width="10.71"/>
    <col customWidth="1" min="28" max="28" width="45.86"/>
    <col customWidth="1" min="29" max="29" width="23.57"/>
    <col customWidth="1" min="30" max="30" width="26.57"/>
    <col customWidth="1" min="31" max="31" width="85.0"/>
    <col customWidth="1" min="32" max="32" width="58.86"/>
    <col customWidth="1" min="33" max="33" width="41.57"/>
    <col customWidth="1" min="34" max="35" width="36.0"/>
    <col customWidth="1" min="36" max="36" width="55.29"/>
    <col customWidth="1" min="37" max="37" width="18.14"/>
    <col customWidth="1" min="38" max="38" width="22.57"/>
    <col customWidth="1" min="39" max="39" width="19.86"/>
    <col customWidth="1" min="40" max="40" width="15.29"/>
    <col customWidth="1" min="41" max="41" width="35.71"/>
    <col customWidth="1" min="42" max="42" width="88.0"/>
    <col customWidth="1" min="43" max="43" width="73.57"/>
    <col customWidth="1" min="44" max="44" width="45.0"/>
    <col customWidth="1" min="45" max="45" width="17.86"/>
    <col customWidth="1" min="46" max="46" width="13.43"/>
    <col customWidth="1" min="47" max="65" width="9.0"/>
  </cols>
  <sheetData>
    <row r="1" ht="14.25" customHeight="1">
      <c r="A1" s="84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55"/>
      <c r="AR1" s="54"/>
      <c r="AS1" s="54"/>
    </row>
    <row r="2" ht="14.25" customHeight="1">
      <c r="A2" s="172" t="s">
        <v>1784</v>
      </c>
      <c r="B2" s="173" t="s">
        <v>1785</v>
      </c>
      <c r="C2" s="174"/>
      <c r="D2" s="175"/>
      <c r="E2" s="172" t="s">
        <v>1786</v>
      </c>
      <c r="F2" s="172" t="s">
        <v>1787</v>
      </c>
      <c r="G2" s="176" t="s">
        <v>1788</v>
      </c>
      <c r="H2" s="172" t="s">
        <v>1789</v>
      </c>
      <c r="I2" s="177" t="s">
        <v>1790</v>
      </c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  <c r="Z2" s="178"/>
      <c r="AA2" s="9"/>
      <c r="AB2" s="176" t="s">
        <v>1791</v>
      </c>
      <c r="AC2" s="177" t="s">
        <v>1792</v>
      </c>
      <c r="AD2" s="178"/>
      <c r="AE2" s="178"/>
      <c r="AF2" s="178"/>
      <c r="AG2" s="178"/>
      <c r="AH2" s="178"/>
      <c r="AI2" s="178"/>
      <c r="AJ2" s="178"/>
      <c r="AK2" s="178"/>
      <c r="AL2" s="178"/>
      <c r="AM2" s="178"/>
      <c r="AN2" s="178"/>
      <c r="AO2" s="178"/>
      <c r="AP2" s="178"/>
      <c r="AQ2" s="9"/>
      <c r="AR2" s="176" t="s">
        <v>1793</v>
      </c>
      <c r="AS2" s="172" t="s">
        <v>1794</v>
      </c>
    </row>
    <row r="3" ht="14.25" customHeight="1">
      <c r="A3" s="179"/>
      <c r="B3" s="180"/>
      <c r="D3" s="181"/>
      <c r="E3" s="179"/>
      <c r="F3" s="179"/>
      <c r="G3" s="179"/>
      <c r="H3" s="179"/>
      <c r="I3" s="172" t="s">
        <v>1795</v>
      </c>
      <c r="J3" s="177" t="s">
        <v>1796</v>
      </c>
      <c r="K3" s="9"/>
      <c r="L3" s="177" t="s">
        <v>1797</v>
      </c>
      <c r="M3" s="178"/>
      <c r="N3" s="178"/>
      <c r="O3" s="178"/>
      <c r="P3" s="178"/>
      <c r="Q3" s="9"/>
      <c r="R3" s="177" t="s">
        <v>1798</v>
      </c>
      <c r="S3" s="178"/>
      <c r="T3" s="178"/>
      <c r="U3" s="178"/>
      <c r="V3" s="178"/>
      <c r="W3" s="9"/>
      <c r="X3" s="177" t="s">
        <v>1799</v>
      </c>
      <c r="Y3" s="178"/>
      <c r="Z3" s="178"/>
      <c r="AA3" s="9"/>
      <c r="AB3" s="179"/>
      <c r="AC3" s="172" t="s">
        <v>1800</v>
      </c>
      <c r="AD3" s="172" t="s">
        <v>1801</v>
      </c>
      <c r="AE3" s="173" t="s">
        <v>1802</v>
      </c>
      <c r="AF3" s="175"/>
      <c r="AG3" s="172" t="s">
        <v>1803</v>
      </c>
      <c r="AH3" s="172" t="s">
        <v>1804</v>
      </c>
      <c r="AI3" s="172" t="s">
        <v>1805</v>
      </c>
      <c r="AJ3" s="172" t="s">
        <v>1806</v>
      </c>
      <c r="AK3" s="172" t="s">
        <v>1807</v>
      </c>
      <c r="AL3" s="172" t="s">
        <v>1808</v>
      </c>
      <c r="AM3" s="172" t="s">
        <v>1809</v>
      </c>
      <c r="AN3" s="172" t="s">
        <v>1810</v>
      </c>
      <c r="AO3" s="172" t="s">
        <v>1811</v>
      </c>
      <c r="AP3" s="172" t="s">
        <v>1812</v>
      </c>
      <c r="AQ3" s="182" t="s">
        <v>1813</v>
      </c>
      <c r="AR3" s="179"/>
      <c r="AS3" s="179"/>
    </row>
    <row r="4" ht="14.25" customHeight="1">
      <c r="A4" s="179"/>
      <c r="B4" s="180"/>
      <c r="D4" s="181"/>
      <c r="E4" s="179"/>
      <c r="F4" s="179"/>
      <c r="G4" s="179"/>
      <c r="H4" s="179"/>
      <c r="I4" s="179"/>
      <c r="J4" s="177" t="s">
        <v>1814</v>
      </c>
      <c r="K4" s="9"/>
      <c r="L4" s="177" t="s">
        <v>1814</v>
      </c>
      <c r="M4" s="9"/>
      <c r="N4" s="177" t="s">
        <v>1815</v>
      </c>
      <c r="O4" s="9"/>
      <c r="P4" s="177" t="s">
        <v>1816</v>
      </c>
      <c r="Q4" s="9"/>
      <c r="R4" s="177" t="s">
        <v>1814</v>
      </c>
      <c r="S4" s="9"/>
      <c r="T4" s="177" t="s">
        <v>1815</v>
      </c>
      <c r="U4" s="9"/>
      <c r="V4" s="177" t="s">
        <v>1816</v>
      </c>
      <c r="W4" s="9"/>
      <c r="X4" s="177" t="s">
        <v>1814</v>
      </c>
      <c r="Y4" s="9"/>
      <c r="Z4" s="177" t="s">
        <v>1815</v>
      </c>
      <c r="AA4" s="9"/>
      <c r="AB4" s="179"/>
      <c r="AC4" s="179"/>
      <c r="AD4" s="179"/>
      <c r="AE4" s="180"/>
      <c r="AF4" s="181"/>
      <c r="AG4" s="179"/>
      <c r="AH4" s="179"/>
      <c r="AI4" s="179"/>
      <c r="AJ4" s="179"/>
      <c r="AK4" s="179"/>
      <c r="AL4" s="179"/>
      <c r="AM4" s="179"/>
      <c r="AN4" s="179"/>
      <c r="AO4" s="179"/>
      <c r="AP4" s="179"/>
      <c r="AQ4" s="179"/>
      <c r="AR4" s="179"/>
      <c r="AS4" s="179"/>
    </row>
    <row r="5" ht="14.25" customHeight="1">
      <c r="A5" s="183"/>
      <c r="B5" s="184"/>
      <c r="C5" s="185"/>
      <c r="D5" s="186"/>
      <c r="E5" s="183"/>
      <c r="F5" s="183"/>
      <c r="G5" s="183"/>
      <c r="H5" s="183"/>
      <c r="I5" s="183"/>
      <c r="J5" s="187" t="s">
        <v>1817</v>
      </c>
      <c r="K5" s="187" t="s">
        <v>1818</v>
      </c>
      <c r="L5" s="187" t="s">
        <v>1817</v>
      </c>
      <c r="M5" s="187" t="s">
        <v>1818</v>
      </c>
      <c r="N5" s="187" t="s">
        <v>1817</v>
      </c>
      <c r="O5" s="187" t="s">
        <v>1818</v>
      </c>
      <c r="P5" s="187" t="s">
        <v>1817</v>
      </c>
      <c r="Q5" s="187" t="s">
        <v>1818</v>
      </c>
      <c r="R5" s="187" t="s">
        <v>1817</v>
      </c>
      <c r="S5" s="187" t="s">
        <v>1818</v>
      </c>
      <c r="T5" s="187" t="s">
        <v>1817</v>
      </c>
      <c r="U5" s="187" t="s">
        <v>1818</v>
      </c>
      <c r="V5" s="187" t="s">
        <v>1817</v>
      </c>
      <c r="W5" s="187" t="s">
        <v>1818</v>
      </c>
      <c r="X5" s="187" t="s">
        <v>1817</v>
      </c>
      <c r="Y5" s="187" t="s">
        <v>1818</v>
      </c>
      <c r="Z5" s="187" t="s">
        <v>1817</v>
      </c>
      <c r="AA5" s="187" t="s">
        <v>1818</v>
      </c>
      <c r="AB5" s="183"/>
      <c r="AC5" s="183"/>
      <c r="AD5" s="183"/>
      <c r="AE5" s="184"/>
      <c r="AF5" s="186"/>
      <c r="AG5" s="183"/>
      <c r="AH5" s="183"/>
      <c r="AI5" s="183"/>
      <c r="AJ5" s="183"/>
      <c r="AK5" s="183"/>
      <c r="AL5" s="183"/>
      <c r="AM5" s="183"/>
      <c r="AN5" s="183"/>
      <c r="AO5" s="183"/>
      <c r="AP5" s="183"/>
      <c r="AQ5" s="183"/>
      <c r="AR5" s="183"/>
      <c r="AS5" s="183"/>
    </row>
    <row r="6" ht="14.25" customHeight="1">
      <c r="A6" s="188">
        <v>1.0</v>
      </c>
      <c r="B6" s="142" t="s">
        <v>1819</v>
      </c>
      <c r="C6" s="142" t="s">
        <v>1820</v>
      </c>
      <c r="D6" s="142" t="s">
        <v>1821</v>
      </c>
      <c r="E6" s="189"/>
      <c r="F6" s="189"/>
      <c r="G6" s="189" t="s">
        <v>419</v>
      </c>
      <c r="H6" s="189"/>
      <c r="I6" s="189"/>
      <c r="J6" s="189">
        <v>42075.0</v>
      </c>
      <c r="K6" s="189">
        <v>42167.0</v>
      </c>
      <c r="L6" s="189"/>
      <c r="M6" s="189"/>
      <c r="N6" s="189"/>
      <c r="O6" s="189"/>
      <c r="P6" s="189"/>
      <c r="Q6" s="189"/>
      <c r="R6" s="189"/>
      <c r="S6" s="189"/>
      <c r="T6" s="189"/>
      <c r="U6" s="189"/>
      <c r="V6" s="189"/>
      <c r="W6" s="189"/>
      <c r="X6" s="189"/>
      <c r="Y6" s="189"/>
      <c r="Z6" s="189"/>
      <c r="AA6" s="189"/>
      <c r="AB6" s="189"/>
      <c r="AC6" s="189" t="s">
        <v>394</v>
      </c>
      <c r="AD6" s="189">
        <v>33573.0</v>
      </c>
      <c r="AE6" s="189" t="s">
        <v>1822</v>
      </c>
      <c r="AF6" s="189" t="s">
        <v>1823</v>
      </c>
      <c r="AG6" s="189"/>
      <c r="AH6" s="189">
        <v>9.125903734E9</v>
      </c>
      <c r="AI6" s="189"/>
      <c r="AJ6" s="189" t="s">
        <v>643</v>
      </c>
      <c r="AK6" s="189" t="s">
        <v>1824</v>
      </c>
      <c r="AL6" s="189" t="s">
        <v>1825</v>
      </c>
      <c r="AM6" s="189" t="s">
        <v>1826</v>
      </c>
      <c r="AN6" s="189" t="s">
        <v>1827</v>
      </c>
      <c r="AO6" s="189"/>
      <c r="AP6" s="189"/>
      <c r="AQ6" s="190"/>
      <c r="AR6" s="189" t="s">
        <v>1241</v>
      </c>
      <c r="AS6" s="191">
        <v>42167.0</v>
      </c>
    </row>
    <row r="7" ht="14.25" customHeight="1">
      <c r="A7" s="188">
        <v>2.0</v>
      </c>
      <c r="B7" s="142" t="s">
        <v>1828</v>
      </c>
      <c r="C7" s="142" t="s">
        <v>1829</v>
      </c>
      <c r="D7" s="142" t="s">
        <v>1830</v>
      </c>
      <c r="E7" s="189" t="s">
        <v>1831</v>
      </c>
      <c r="F7" s="189"/>
      <c r="G7" s="189" t="s">
        <v>1832</v>
      </c>
      <c r="H7" s="189"/>
      <c r="I7" s="189">
        <v>40235.0</v>
      </c>
      <c r="J7" s="189">
        <v>40140.0</v>
      </c>
      <c r="K7" s="189">
        <v>40232.0</v>
      </c>
      <c r="L7" s="189"/>
      <c r="M7" s="189"/>
      <c r="N7" s="189"/>
      <c r="O7" s="189"/>
      <c r="P7" s="189">
        <v>40235.0</v>
      </c>
      <c r="Q7" s="189">
        <v>40385.0</v>
      </c>
      <c r="R7" s="189">
        <v>40375.0</v>
      </c>
      <c r="S7" s="189">
        <v>40528.0</v>
      </c>
      <c r="T7" s="189"/>
      <c r="U7" s="189"/>
      <c r="V7" s="189">
        <v>40787.0</v>
      </c>
      <c r="W7" s="189">
        <v>41518.0</v>
      </c>
      <c r="X7" s="189">
        <v>41563.0</v>
      </c>
      <c r="Y7" s="189">
        <v>41928.0</v>
      </c>
      <c r="Z7" s="189">
        <v>41936.0</v>
      </c>
      <c r="AA7" s="189">
        <v>42301.0</v>
      </c>
      <c r="AB7" s="189"/>
      <c r="AC7" s="189" t="s">
        <v>217</v>
      </c>
      <c r="AD7" s="189">
        <v>30124.0</v>
      </c>
      <c r="AE7" s="189" t="s">
        <v>1833</v>
      </c>
      <c r="AF7" s="189"/>
      <c r="AG7" s="189"/>
      <c r="AH7" s="189">
        <v>9.078008439E9</v>
      </c>
      <c r="AI7" s="189"/>
      <c r="AJ7" s="189" t="s">
        <v>1834</v>
      </c>
      <c r="AK7" s="189" t="s">
        <v>1835</v>
      </c>
      <c r="AL7" s="189" t="s">
        <v>1836</v>
      </c>
      <c r="AM7" s="189" t="s">
        <v>1837</v>
      </c>
      <c r="AN7" s="189" t="s">
        <v>1838</v>
      </c>
      <c r="AO7" s="189"/>
      <c r="AP7" s="189">
        <v>1.0</v>
      </c>
      <c r="AQ7" s="190" t="s">
        <v>1839</v>
      </c>
      <c r="AR7" s="189" t="s">
        <v>1840</v>
      </c>
      <c r="AS7" s="191">
        <v>42124.0</v>
      </c>
    </row>
    <row r="8" ht="14.25" customHeight="1">
      <c r="A8" s="188">
        <v>3.0</v>
      </c>
      <c r="B8" s="142" t="s">
        <v>1841</v>
      </c>
      <c r="C8" s="142" t="s">
        <v>1842</v>
      </c>
      <c r="D8" s="142" t="s">
        <v>1843</v>
      </c>
      <c r="E8" s="189" t="s">
        <v>82</v>
      </c>
      <c r="F8" s="189"/>
      <c r="G8" s="189" t="s">
        <v>419</v>
      </c>
      <c r="H8" s="189" t="s">
        <v>1844</v>
      </c>
      <c r="I8" s="189"/>
      <c r="J8" s="189">
        <v>41925.0</v>
      </c>
      <c r="K8" s="189">
        <v>42017.0</v>
      </c>
      <c r="L8" s="189"/>
      <c r="M8" s="189"/>
      <c r="N8" s="189"/>
      <c r="O8" s="189"/>
      <c r="P8" s="189"/>
      <c r="Q8" s="189"/>
      <c r="R8" s="189"/>
      <c r="S8" s="189"/>
      <c r="T8" s="189"/>
      <c r="U8" s="189"/>
      <c r="V8" s="189"/>
      <c r="W8" s="189"/>
      <c r="X8" s="189"/>
      <c r="Y8" s="189"/>
      <c r="Z8" s="189"/>
      <c r="AA8" s="189"/>
      <c r="AB8" s="189"/>
      <c r="AC8" s="189" t="s">
        <v>394</v>
      </c>
      <c r="AD8" s="189">
        <v>33315.0</v>
      </c>
      <c r="AE8" s="189" t="s">
        <v>1845</v>
      </c>
      <c r="AF8" s="189" t="s">
        <v>1846</v>
      </c>
      <c r="AG8" s="189"/>
      <c r="AH8" s="189">
        <v>9.265888245E9</v>
      </c>
      <c r="AI8" s="189"/>
      <c r="AJ8" s="189" t="s">
        <v>1847</v>
      </c>
      <c r="AK8" s="189" t="s">
        <v>1848</v>
      </c>
      <c r="AL8" s="189" t="s">
        <v>1849</v>
      </c>
      <c r="AM8" s="189" t="s">
        <v>1850</v>
      </c>
      <c r="AN8" s="189" t="s">
        <v>1851</v>
      </c>
      <c r="AO8" s="189"/>
      <c r="AP8" s="189"/>
      <c r="AQ8" s="190"/>
      <c r="AR8" s="189" t="s">
        <v>1840</v>
      </c>
      <c r="AS8" s="191">
        <v>41965.0</v>
      </c>
    </row>
    <row r="9" ht="14.25" customHeight="1">
      <c r="A9" s="188">
        <v>4.0</v>
      </c>
      <c r="B9" s="142" t="s">
        <v>1852</v>
      </c>
      <c r="C9" s="142" t="s">
        <v>1853</v>
      </c>
      <c r="D9" s="142" t="s">
        <v>1854</v>
      </c>
      <c r="E9" s="189" t="s">
        <v>82</v>
      </c>
      <c r="F9" s="189"/>
      <c r="G9" s="189" t="s">
        <v>1855</v>
      </c>
      <c r="H9" s="189" t="s">
        <v>1856</v>
      </c>
      <c r="I9" s="189"/>
      <c r="J9" s="189">
        <v>41967.0</v>
      </c>
      <c r="K9" s="189">
        <v>42059.0</v>
      </c>
      <c r="L9" s="189"/>
      <c r="M9" s="189"/>
      <c r="N9" s="189"/>
      <c r="O9" s="189"/>
      <c r="P9" s="189">
        <v>42060.0</v>
      </c>
      <c r="Q9" s="189">
        <v>42210.0</v>
      </c>
      <c r="R9" s="189"/>
      <c r="S9" s="189"/>
      <c r="T9" s="189"/>
      <c r="U9" s="189"/>
      <c r="V9" s="189"/>
      <c r="W9" s="189"/>
      <c r="X9" s="189"/>
      <c r="Y9" s="189"/>
      <c r="Z9" s="189"/>
      <c r="AA9" s="189"/>
      <c r="AB9" s="189"/>
      <c r="AC9" s="189" t="s">
        <v>394</v>
      </c>
      <c r="AD9" s="189">
        <v>33674.0</v>
      </c>
      <c r="AE9" s="189" t="s">
        <v>1857</v>
      </c>
      <c r="AF9" s="189"/>
      <c r="AG9" s="189"/>
      <c r="AH9" s="189">
        <v>9.154220311E9</v>
      </c>
      <c r="AI9" s="189"/>
      <c r="AJ9" s="189" t="s">
        <v>1847</v>
      </c>
      <c r="AK9" s="189" t="s">
        <v>1858</v>
      </c>
      <c r="AL9" s="189"/>
      <c r="AM9" s="189"/>
      <c r="AN9" s="189" t="s">
        <v>1859</v>
      </c>
      <c r="AO9" s="189"/>
      <c r="AP9" s="189">
        <v>1.0</v>
      </c>
      <c r="AQ9" s="190" t="s">
        <v>1860</v>
      </c>
      <c r="AR9" s="189" t="s">
        <v>1241</v>
      </c>
      <c r="AS9" s="191">
        <v>42210.0</v>
      </c>
    </row>
    <row r="10" ht="14.25" customHeight="1">
      <c r="A10" s="188">
        <v>5.0</v>
      </c>
      <c r="B10" s="142" t="s">
        <v>1861</v>
      </c>
      <c r="C10" s="142" t="s">
        <v>1862</v>
      </c>
      <c r="D10" s="142" t="s">
        <v>1863</v>
      </c>
      <c r="E10" s="189" t="s">
        <v>717</v>
      </c>
      <c r="F10" s="189"/>
      <c r="G10" s="189" t="s">
        <v>1832</v>
      </c>
      <c r="H10" s="189"/>
      <c r="I10" s="189">
        <v>41244.0</v>
      </c>
      <c r="J10" s="189">
        <v>41143.0</v>
      </c>
      <c r="K10" s="189">
        <v>41235.0</v>
      </c>
      <c r="L10" s="189"/>
      <c r="M10" s="189"/>
      <c r="N10" s="189"/>
      <c r="O10" s="189"/>
      <c r="P10" s="189">
        <v>41244.0</v>
      </c>
      <c r="Q10" s="189">
        <v>41394.0</v>
      </c>
      <c r="R10" s="189"/>
      <c r="S10" s="189"/>
      <c r="T10" s="189"/>
      <c r="U10" s="189"/>
      <c r="V10" s="189">
        <v>41410.0</v>
      </c>
      <c r="W10" s="189">
        <v>42140.0</v>
      </c>
      <c r="X10" s="189"/>
      <c r="Y10" s="189"/>
      <c r="Z10" s="189"/>
      <c r="AA10" s="189"/>
      <c r="AB10" s="189"/>
      <c r="AC10" s="189" t="s">
        <v>217</v>
      </c>
      <c r="AD10" s="189">
        <v>30617.0</v>
      </c>
      <c r="AE10" s="189" t="s">
        <v>1864</v>
      </c>
      <c r="AF10" s="189"/>
      <c r="AG10" s="189"/>
      <c r="AH10" s="189">
        <v>9.279640327E9</v>
      </c>
      <c r="AI10" s="189"/>
      <c r="AJ10" s="189" t="s">
        <v>1865</v>
      </c>
      <c r="AK10" s="189" t="s">
        <v>1866</v>
      </c>
      <c r="AL10" s="189" t="s">
        <v>1867</v>
      </c>
      <c r="AM10" s="189" t="s">
        <v>1868</v>
      </c>
      <c r="AN10" s="189" t="s">
        <v>1869</v>
      </c>
      <c r="AO10" s="189"/>
      <c r="AP10" s="189">
        <v>1.0</v>
      </c>
      <c r="AQ10" s="190" t="s">
        <v>1870</v>
      </c>
      <c r="AR10" s="189" t="s">
        <v>1241</v>
      </c>
      <c r="AS10" s="191">
        <v>42140.0</v>
      </c>
    </row>
    <row r="11" ht="14.25" customHeight="1">
      <c r="A11" s="188">
        <v>6.0</v>
      </c>
      <c r="B11" s="142" t="s">
        <v>1871</v>
      </c>
      <c r="C11" s="142" t="s">
        <v>75</v>
      </c>
      <c r="D11" s="142" t="s">
        <v>1872</v>
      </c>
      <c r="E11" s="189" t="s">
        <v>82</v>
      </c>
      <c r="F11" s="189"/>
      <c r="G11" s="189" t="s">
        <v>419</v>
      </c>
      <c r="H11" s="189"/>
      <c r="I11" s="189">
        <v>41808.0</v>
      </c>
      <c r="J11" s="189">
        <v>41900.0</v>
      </c>
      <c r="K11" s="189">
        <v>41808.0</v>
      </c>
      <c r="L11" s="189"/>
      <c r="M11" s="189"/>
      <c r="N11" s="189"/>
      <c r="O11" s="189"/>
      <c r="P11" s="189"/>
      <c r="Q11" s="189"/>
      <c r="R11" s="189"/>
      <c r="S11" s="189"/>
      <c r="T11" s="189"/>
      <c r="U11" s="189"/>
      <c r="V11" s="189"/>
      <c r="W11" s="189"/>
      <c r="X11" s="189"/>
      <c r="Y11" s="189"/>
      <c r="Z11" s="189"/>
      <c r="AA11" s="189"/>
      <c r="AB11" s="189"/>
      <c r="AC11" s="189" t="s">
        <v>394</v>
      </c>
      <c r="AD11" s="189">
        <v>34369.0</v>
      </c>
      <c r="AE11" s="189" t="s">
        <v>1873</v>
      </c>
      <c r="AF11" s="189"/>
      <c r="AG11" s="189"/>
      <c r="AH11" s="189">
        <v>9.057449345E9</v>
      </c>
      <c r="AI11" s="189"/>
      <c r="AJ11" s="189" t="s">
        <v>1874</v>
      </c>
      <c r="AK11" s="189" t="s">
        <v>1875</v>
      </c>
      <c r="AL11" s="192"/>
      <c r="AM11" s="192" t="s">
        <v>1876</v>
      </c>
      <c r="AN11" s="192" t="s">
        <v>1877</v>
      </c>
      <c r="AO11" s="192"/>
      <c r="AP11" s="189"/>
      <c r="AQ11" s="190"/>
      <c r="AR11" s="189" t="s">
        <v>983</v>
      </c>
      <c r="AS11" s="191"/>
    </row>
    <row r="12" ht="14.25" customHeight="1">
      <c r="A12" s="188">
        <v>7.0</v>
      </c>
      <c r="B12" s="142" t="s">
        <v>1878</v>
      </c>
      <c r="C12" s="142" t="s">
        <v>1879</v>
      </c>
      <c r="D12" s="142" t="s">
        <v>1880</v>
      </c>
      <c r="E12" s="189" t="s">
        <v>1881</v>
      </c>
      <c r="F12" s="189"/>
      <c r="G12" s="189" t="s">
        <v>1855</v>
      </c>
      <c r="H12" s="189"/>
      <c r="I12" s="189">
        <v>42189.0</v>
      </c>
      <c r="J12" s="189">
        <v>42110.0</v>
      </c>
      <c r="K12" s="189">
        <v>42567.0</v>
      </c>
      <c r="L12" s="189"/>
      <c r="M12" s="189"/>
      <c r="N12" s="189"/>
      <c r="O12" s="189"/>
      <c r="P12" s="189">
        <v>42189.0</v>
      </c>
      <c r="Q12" s="189">
        <v>42341.0</v>
      </c>
      <c r="R12" s="189"/>
      <c r="S12" s="189"/>
      <c r="T12" s="189"/>
      <c r="U12" s="189"/>
      <c r="V12" s="189"/>
      <c r="W12" s="189"/>
      <c r="X12" s="189"/>
      <c r="Y12" s="189"/>
      <c r="Z12" s="189"/>
      <c r="AA12" s="189"/>
      <c r="AB12" s="189"/>
      <c r="AC12" s="189" t="s">
        <v>394</v>
      </c>
      <c r="AD12" s="189">
        <v>33300.0</v>
      </c>
      <c r="AE12" s="189" t="s">
        <v>1882</v>
      </c>
      <c r="AF12" s="189" t="s">
        <v>1883</v>
      </c>
      <c r="AG12" s="189"/>
      <c r="AH12" s="189">
        <v>9.182716587E9</v>
      </c>
      <c r="AI12" s="189"/>
      <c r="AJ12" s="189" t="s">
        <v>1884</v>
      </c>
      <c r="AK12" s="189" t="s">
        <v>1885</v>
      </c>
      <c r="AL12" s="189"/>
      <c r="AM12" s="189" t="s">
        <v>1886</v>
      </c>
      <c r="AN12" s="189" t="s">
        <v>1887</v>
      </c>
      <c r="AO12" s="189"/>
      <c r="AP12" s="189"/>
      <c r="AQ12" s="190"/>
      <c r="AR12" s="189" t="s">
        <v>1241</v>
      </c>
      <c r="AS12" s="191"/>
    </row>
    <row r="13" ht="14.25" customHeight="1">
      <c r="A13" s="188">
        <v>8.0</v>
      </c>
      <c r="B13" s="142" t="s">
        <v>1888</v>
      </c>
      <c r="C13" s="142" t="s">
        <v>1889</v>
      </c>
      <c r="D13" s="142" t="s">
        <v>1890</v>
      </c>
      <c r="E13" s="189" t="s">
        <v>82</v>
      </c>
      <c r="F13" s="189"/>
      <c r="G13" s="189" t="s">
        <v>1855</v>
      </c>
      <c r="H13" s="189"/>
      <c r="I13" s="189">
        <v>42235.0</v>
      </c>
      <c r="J13" s="189">
        <v>42220.0</v>
      </c>
      <c r="K13" s="189">
        <v>42234.0</v>
      </c>
      <c r="L13" s="189"/>
      <c r="M13" s="189"/>
      <c r="N13" s="189"/>
      <c r="O13" s="189"/>
      <c r="P13" s="189">
        <v>42235.0</v>
      </c>
      <c r="Q13" s="189">
        <v>42387.0</v>
      </c>
      <c r="R13" s="189"/>
      <c r="S13" s="189"/>
      <c r="T13" s="189"/>
      <c r="U13" s="189"/>
      <c r="V13" s="189"/>
      <c r="W13" s="189"/>
      <c r="X13" s="189"/>
      <c r="Y13" s="189"/>
      <c r="Z13" s="189"/>
      <c r="AA13" s="189"/>
      <c r="AB13" s="189"/>
      <c r="AC13" s="189" t="s">
        <v>394</v>
      </c>
      <c r="AD13" s="189">
        <v>33983.0</v>
      </c>
      <c r="AE13" s="189" t="s">
        <v>1891</v>
      </c>
      <c r="AF13" s="189" t="s">
        <v>1892</v>
      </c>
      <c r="AG13" s="189"/>
      <c r="AH13" s="189">
        <v>9.354902696E9</v>
      </c>
      <c r="AI13" s="189"/>
      <c r="AJ13" s="189" t="s">
        <v>1893</v>
      </c>
      <c r="AK13" s="189" t="s">
        <v>1894</v>
      </c>
      <c r="AL13" s="189"/>
      <c r="AM13" s="189" t="s">
        <v>1895</v>
      </c>
      <c r="AN13" s="189" t="s">
        <v>1896</v>
      </c>
      <c r="AO13" s="189"/>
      <c r="AP13" s="189"/>
      <c r="AQ13" s="190"/>
      <c r="AR13" s="189" t="s">
        <v>1241</v>
      </c>
      <c r="AS13" s="191"/>
    </row>
    <row r="14" ht="14.25" customHeight="1">
      <c r="A14" s="188">
        <v>9.0</v>
      </c>
      <c r="B14" s="142" t="s">
        <v>1897</v>
      </c>
      <c r="C14" s="142" t="s">
        <v>1898</v>
      </c>
      <c r="D14" s="142" t="s">
        <v>231</v>
      </c>
      <c r="E14" s="189" t="s">
        <v>82</v>
      </c>
      <c r="F14" s="189"/>
      <c r="G14" s="189" t="s">
        <v>1855</v>
      </c>
      <c r="H14" s="189"/>
      <c r="I14" s="189">
        <v>42189.0</v>
      </c>
      <c r="J14" s="189">
        <v>42131.0</v>
      </c>
      <c r="K14" s="189">
        <v>42223.0</v>
      </c>
      <c r="L14" s="189"/>
      <c r="M14" s="189"/>
      <c r="N14" s="189"/>
      <c r="O14" s="189"/>
      <c r="P14" s="189">
        <v>42189.0</v>
      </c>
      <c r="Q14" s="189">
        <v>42341.0</v>
      </c>
      <c r="R14" s="189"/>
      <c r="S14" s="189"/>
      <c r="T14" s="189"/>
      <c r="U14" s="189"/>
      <c r="V14" s="189"/>
      <c r="W14" s="189"/>
      <c r="X14" s="189"/>
      <c r="Y14" s="189"/>
      <c r="Z14" s="189"/>
      <c r="AA14" s="189"/>
      <c r="AB14" s="189"/>
      <c r="AC14" s="189" t="s">
        <v>394</v>
      </c>
      <c r="AD14" s="189">
        <v>34036.0</v>
      </c>
      <c r="AE14" s="189" t="s">
        <v>1899</v>
      </c>
      <c r="AF14" s="189" t="s">
        <v>1900</v>
      </c>
      <c r="AG14" s="189"/>
      <c r="AH14" s="189">
        <v>9.061219886E9</v>
      </c>
      <c r="AI14" s="189"/>
      <c r="AJ14" s="189" t="s">
        <v>1901</v>
      </c>
      <c r="AK14" s="189" t="s">
        <v>1902</v>
      </c>
      <c r="AL14" s="189" t="s">
        <v>1903</v>
      </c>
      <c r="AM14" s="189" t="s">
        <v>1904</v>
      </c>
      <c r="AN14" s="189" t="s">
        <v>1905</v>
      </c>
      <c r="AO14" s="189"/>
      <c r="AP14" s="189"/>
      <c r="AQ14" s="190"/>
      <c r="AR14" s="189" t="s">
        <v>1241</v>
      </c>
      <c r="AS14" s="191"/>
    </row>
    <row r="15" ht="14.25" customHeight="1">
      <c r="A15" s="188">
        <v>10.0</v>
      </c>
      <c r="B15" s="142" t="s">
        <v>1906</v>
      </c>
      <c r="C15" s="142" t="s">
        <v>1907</v>
      </c>
      <c r="D15" s="142" t="s">
        <v>1908</v>
      </c>
      <c r="E15" s="189" t="s">
        <v>1881</v>
      </c>
      <c r="F15" s="189"/>
      <c r="G15" s="189" t="s">
        <v>419</v>
      </c>
      <c r="H15" s="189"/>
      <c r="I15" s="189">
        <v>41770.0</v>
      </c>
      <c r="J15" s="189">
        <v>41862.0</v>
      </c>
      <c r="K15" s="189">
        <v>41770.0</v>
      </c>
      <c r="L15" s="189"/>
      <c r="M15" s="189"/>
      <c r="N15" s="189"/>
      <c r="O15" s="189"/>
      <c r="P15" s="189"/>
      <c r="Q15" s="189"/>
      <c r="R15" s="189"/>
      <c r="S15" s="189"/>
      <c r="T15" s="189"/>
      <c r="U15" s="189"/>
      <c r="V15" s="189"/>
      <c r="W15" s="189"/>
      <c r="X15" s="189"/>
      <c r="Y15" s="189"/>
      <c r="Z15" s="189"/>
      <c r="AA15" s="189"/>
      <c r="AB15" s="189"/>
      <c r="AC15" s="189" t="s">
        <v>394</v>
      </c>
      <c r="AD15" s="189">
        <v>33411.0</v>
      </c>
      <c r="AE15" s="189" t="s">
        <v>1909</v>
      </c>
      <c r="AF15" s="189"/>
      <c r="AG15" s="189"/>
      <c r="AH15" s="189">
        <v>9.092774298E9</v>
      </c>
      <c r="AI15" s="189"/>
      <c r="AJ15" s="189" t="s">
        <v>1874</v>
      </c>
      <c r="AK15" s="189" t="s">
        <v>1910</v>
      </c>
      <c r="AL15" s="192"/>
      <c r="AM15" s="192" t="s">
        <v>1911</v>
      </c>
      <c r="AN15" s="192" t="s">
        <v>1912</v>
      </c>
      <c r="AO15" s="192"/>
      <c r="AP15" s="189"/>
      <c r="AQ15" s="190"/>
      <c r="AR15" s="189" t="s">
        <v>1241</v>
      </c>
      <c r="AS15" s="191"/>
    </row>
    <row r="16" ht="14.25" customHeight="1">
      <c r="A16" s="188">
        <v>11.0</v>
      </c>
      <c r="B16" s="142" t="s">
        <v>1913</v>
      </c>
      <c r="C16" s="142" t="s">
        <v>1914</v>
      </c>
      <c r="D16" s="142" t="s">
        <v>1915</v>
      </c>
      <c r="E16" s="189" t="s">
        <v>717</v>
      </c>
      <c r="F16" s="189"/>
      <c r="G16" s="189" t="s">
        <v>1855</v>
      </c>
      <c r="H16" s="189"/>
      <c r="I16" s="189"/>
      <c r="J16" s="189">
        <v>42122.0</v>
      </c>
      <c r="K16" s="189">
        <v>42213.0</v>
      </c>
      <c r="L16" s="189"/>
      <c r="M16" s="189"/>
      <c r="N16" s="189"/>
      <c r="O16" s="189"/>
      <c r="P16" s="189">
        <v>42189.0</v>
      </c>
      <c r="Q16" s="189">
        <v>42341.0</v>
      </c>
      <c r="R16" s="189"/>
      <c r="S16" s="189"/>
      <c r="T16" s="189"/>
      <c r="U16" s="189"/>
      <c r="V16" s="189"/>
      <c r="W16" s="189"/>
      <c r="X16" s="189"/>
      <c r="Y16" s="189"/>
      <c r="Z16" s="189"/>
      <c r="AA16" s="189"/>
      <c r="AB16" s="189"/>
      <c r="AC16" s="189" t="s">
        <v>394</v>
      </c>
      <c r="AD16" s="189">
        <v>32973.0</v>
      </c>
      <c r="AE16" s="189" t="s">
        <v>1916</v>
      </c>
      <c r="AF16" s="189" t="s">
        <v>1917</v>
      </c>
      <c r="AG16" s="189"/>
      <c r="AH16" s="189">
        <v>9.284281702E9</v>
      </c>
      <c r="AI16" s="189"/>
      <c r="AJ16" s="189" t="s">
        <v>1884</v>
      </c>
      <c r="AK16" s="189" t="s">
        <v>1918</v>
      </c>
      <c r="AL16" s="189"/>
      <c r="AM16" s="189"/>
      <c r="AN16" s="189" t="s">
        <v>1919</v>
      </c>
      <c r="AO16" s="189"/>
      <c r="AP16" s="189"/>
      <c r="AQ16" s="190"/>
      <c r="AR16" s="189" t="s">
        <v>1840</v>
      </c>
      <c r="AS16" s="191">
        <v>42266.0</v>
      </c>
    </row>
    <row r="17" ht="14.25" customHeight="1">
      <c r="A17" s="188">
        <v>12.0</v>
      </c>
      <c r="B17" s="142" t="s">
        <v>1920</v>
      </c>
      <c r="C17" s="142" t="s">
        <v>1921</v>
      </c>
      <c r="D17" s="142" t="s">
        <v>1922</v>
      </c>
      <c r="E17" s="189" t="s">
        <v>1881</v>
      </c>
      <c r="F17" s="189"/>
      <c r="G17" s="189" t="s">
        <v>1832</v>
      </c>
      <c r="H17" s="189"/>
      <c r="I17" s="189">
        <v>41858.0</v>
      </c>
      <c r="J17" s="189">
        <v>41765.0</v>
      </c>
      <c r="K17" s="189">
        <v>41857.0</v>
      </c>
      <c r="L17" s="189"/>
      <c r="M17" s="189"/>
      <c r="N17" s="189"/>
      <c r="O17" s="189"/>
      <c r="P17" s="189">
        <v>41858.0</v>
      </c>
      <c r="Q17" s="189">
        <v>42010.0</v>
      </c>
      <c r="R17" s="189"/>
      <c r="S17" s="189"/>
      <c r="T17" s="189"/>
      <c r="U17" s="189"/>
      <c r="V17" s="189">
        <v>74883.0</v>
      </c>
      <c r="W17" s="189">
        <v>42375.0</v>
      </c>
      <c r="X17" s="189"/>
      <c r="Y17" s="189"/>
      <c r="Z17" s="189"/>
      <c r="AA17" s="189"/>
      <c r="AB17" s="189"/>
      <c r="AC17" s="189" t="s">
        <v>394</v>
      </c>
      <c r="AD17" s="189">
        <v>32339.0</v>
      </c>
      <c r="AE17" s="189" t="s">
        <v>1923</v>
      </c>
      <c r="AF17" s="189" t="s">
        <v>1328</v>
      </c>
      <c r="AG17" s="189"/>
      <c r="AH17" s="189">
        <v>9.05135404E9</v>
      </c>
      <c r="AI17" s="189"/>
      <c r="AJ17" s="189" t="s">
        <v>1874</v>
      </c>
      <c r="AK17" s="189" t="s">
        <v>1924</v>
      </c>
      <c r="AL17" s="189"/>
      <c r="AM17" s="192" t="s">
        <v>1925</v>
      </c>
      <c r="AN17" s="192" t="s">
        <v>1926</v>
      </c>
      <c r="AO17" s="192"/>
      <c r="AP17" s="189"/>
      <c r="AQ17" s="190"/>
      <c r="AR17" s="189" t="s">
        <v>1840</v>
      </c>
      <c r="AS17" s="191">
        <v>42088.0</v>
      </c>
    </row>
    <row r="18" ht="14.25" customHeight="1">
      <c r="A18" s="188">
        <v>13.0</v>
      </c>
      <c r="B18" s="142" t="s">
        <v>1927</v>
      </c>
      <c r="C18" s="142" t="s">
        <v>1928</v>
      </c>
      <c r="D18" s="142" t="s">
        <v>1929</v>
      </c>
      <c r="E18" s="189" t="s">
        <v>1881</v>
      </c>
      <c r="F18" s="189"/>
      <c r="G18" s="189" t="s">
        <v>1832</v>
      </c>
      <c r="H18" s="189"/>
      <c r="I18" s="189">
        <v>41306.0</v>
      </c>
      <c r="J18" s="189">
        <v>41171.0</v>
      </c>
      <c r="K18" s="189">
        <v>41262.0</v>
      </c>
      <c r="L18" s="189">
        <v>41263.0</v>
      </c>
      <c r="M18" s="189">
        <v>41293.0</v>
      </c>
      <c r="N18" s="189"/>
      <c r="O18" s="189"/>
      <c r="P18" s="189">
        <v>41306.0</v>
      </c>
      <c r="Q18" s="189">
        <v>41455.0</v>
      </c>
      <c r="R18" s="189"/>
      <c r="S18" s="189"/>
      <c r="T18" s="189"/>
      <c r="U18" s="189"/>
      <c r="V18" s="189">
        <v>41471.0</v>
      </c>
      <c r="W18" s="189">
        <v>42201.0</v>
      </c>
      <c r="X18" s="189"/>
      <c r="Y18" s="189"/>
      <c r="Z18" s="189"/>
      <c r="AA18" s="189"/>
      <c r="AB18" s="189"/>
      <c r="AC18" s="189" t="s">
        <v>394</v>
      </c>
      <c r="AD18" s="189">
        <v>33023.0</v>
      </c>
      <c r="AE18" s="189" t="s">
        <v>1930</v>
      </c>
      <c r="AF18" s="189" t="s">
        <v>1931</v>
      </c>
      <c r="AG18" s="189"/>
      <c r="AH18" s="189">
        <v>9.084377628E9</v>
      </c>
      <c r="AI18" s="189"/>
      <c r="AJ18" s="189" t="s">
        <v>1932</v>
      </c>
      <c r="AK18" s="189" t="s">
        <v>1933</v>
      </c>
      <c r="AL18" s="189" t="s">
        <v>1934</v>
      </c>
      <c r="AM18" s="189" t="s">
        <v>1935</v>
      </c>
      <c r="AN18" s="189" t="s">
        <v>1936</v>
      </c>
      <c r="AO18" s="189"/>
      <c r="AP18" s="189"/>
      <c r="AQ18" s="190"/>
      <c r="AR18" s="189" t="s">
        <v>1840</v>
      </c>
      <c r="AS18" s="191">
        <v>42024.0</v>
      </c>
    </row>
    <row r="19" ht="14.25" customHeight="1">
      <c r="A19" s="188">
        <v>14.0</v>
      </c>
      <c r="B19" s="142" t="s">
        <v>1937</v>
      </c>
      <c r="C19" s="142" t="s">
        <v>75</v>
      </c>
      <c r="D19" s="142" t="s">
        <v>1938</v>
      </c>
      <c r="E19" s="189" t="s">
        <v>717</v>
      </c>
      <c r="F19" s="189"/>
      <c r="G19" s="189" t="s">
        <v>1832</v>
      </c>
      <c r="H19" s="189"/>
      <c r="I19" s="189">
        <v>41609.0</v>
      </c>
      <c r="J19" s="189">
        <v>41501.0</v>
      </c>
      <c r="K19" s="189">
        <v>41593.0</v>
      </c>
      <c r="L19" s="189"/>
      <c r="M19" s="189"/>
      <c r="N19" s="189"/>
      <c r="O19" s="189"/>
      <c r="P19" s="189">
        <v>41609.0</v>
      </c>
      <c r="Q19" s="189">
        <v>41759.0</v>
      </c>
      <c r="R19" s="189">
        <v>41760.0</v>
      </c>
      <c r="S19" s="189">
        <v>41820.0</v>
      </c>
      <c r="T19" s="189"/>
      <c r="U19" s="189"/>
      <c r="V19" s="189">
        <v>41821.0</v>
      </c>
      <c r="W19" s="189">
        <v>42185.0</v>
      </c>
      <c r="X19" s="189"/>
      <c r="Y19" s="189"/>
      <c r="Z19" s="189"/>
      <c r="AA19" s="189"/>
      <c r="AB19" s="189"/>
      <c r="AC19" s="189" t="s">
        <v>394</v>
      </c>
      <c r="AD19" s="189">
        <v>32720.0</v>
      </c>
      <c r="AE19" s="189" t="s">
        <v>1939</v>
      </c>
      <c r="AF19" s="189" t="s">
        <v>1940</v>
      </c>
      <c r="AG19" s="189"/>
      <c r="AH19" s="189">
        <v>9.058830936E9</v>
      </c>
      <c r="AI19" s="189"/>
      <c r="AJ19" s="189" t="s">
        <v>1941</v>
      </c>
      <c r="AK19" s="189" t="s">
        <v>1942</v>
      </c>
      <c r="AL19" s="189" t="s">
        <v>1943</v>
      </c>
      <c r="AM19" s="189" t="s">
        <v>1944</v>
      </c>
      <c r="AN19" s="189" t="s">
        <v>1945</v>
      </c>
      <c r="AO19" s="189"/>
      <c r="AP19" s="189"/>
      <c r="AQ19" s="190"/>
      <c r="AR19" s="189" t="s">
        <v>1241</v>
      </c>
      <c r="AS19" s="191">
        <v>42185.0</v>
      </c>
    </row>
    <row r="20" ht="14.25" customHeight="1">
      <c r="A20" s="188">
        <v>15.0</v>
      </c>
      <c r="B20" s="142" t="s">
        <v>1326</v>
      </c>
      <c r="C20" s="142" t="s">
        <v>1946</v>
      </c>
      <c r="D20" s="142" t="s">
        <v>1947</v>
      </c>
      <c r="E20" s="189" t="s">
        <v>82</v>
      </c>
      <c r="F20" s="189"/>
      <c r="G20" s="189" t="s">
        <v>1832</v>
      </c>
      <c r="H20" s="189"/>
      <c r="I20" s="189">
        <v>41634.0</v>
      </c>
      <c r="J20" s="189">
        <v>41542.0</v>
      </c>
      <c r="K20" s="189">
        <v>41633.0</v>
      </c>
      <c r="L20" s="189"/>
      <c r="M20" s="189"/>
      <c r="N20" s="189"/>
      <c r="O20" s="189"/>
      <c r="P20" s="189">
        <v>41634.0</v>
      </c>
      <c r="Q20" s="189">
        <v>41784.0</v>
      </c>
      <c r="R20" s="189"/>
      <c r="S20" s="189"/>
      <c r="T20" s="189"/>
      <c r="U20" s="189"/>
      <c r="V20" s="189">
        <v>41785.0</v>
      </c>
      <c r="W20" s="189">
        <v>42149.0</v>
      </c>
      <c r="X20" s="189"/>
      <c r="Y20" s="189"/>
      <c r="Z20" s="189"/>
      <c r="AA20" s="189"/>
      <c r="AB20" s="189"/>
      <c r="AC20" s="189" t="s">
        <v>394</v>
      </c>
      <c r="AD20" s="189">
        <v>33667.0</v>
      </c>
      <c r="AE20" s="189" t="s">
        <v>1948</v>
      </c>
      <c r="AF20" s="189" t="s">
        <v>1949</v>
      </c>
      <c r="AG20" s="189"/>
      <c r="AH20" s="189">
        <v>9.363244891E9</v>
      </c>
      <c r="AI20" s="189"/>
      <c r="AJ20" s="189" t="s">
        <v>1950</v>
      </c>
      <c r="AK20" s="189" t="s">
        <v>1951</v>
      </c>
      <c r="AL20" s="192" t="s">
        <v>1952</v>
      </c>
      <c r="AM20" s="192" t="s">
        <v>1953</v>
      </c>
      <c r="AN20" s="192" t="s">
        <v>1954</v>
      </c>
      <c r="AO20" s="192"/>
      <c r="AP20" s="189">
        <v>1.0</v>
      </c>
      <c r="AQ20" s="190" t="s">
        <v>1955</v>
      </c>
      <c r="AR20" s="189" t="s">
        <v>1840</v>
      </c>
      <c r="AS20" s="191">
        <v>42088.0</v>
      </c>
    </row>
    <row r="21" ht="14.25" customHeight="1">
      <c r="A21" s="188">
        <v>16.0</v>
      </c>
      <c r="B21" s="142" t="s">
        <v>1956</v>
      </c>
      <c r="C21" s="142" t="s">
        <v>1957</v>
      </c>
      <c r="D21" s="142" t="s">
        <v>1958</v>
      </c>
      <c r="E21" s="189" t="s">
        <v>82</v>
      </c>
      <c r="F21" s="189"/>
      <c r="G21" s="189" t="s">
        <v>1832</v>
      </c>
      <c r="H21" s="189"/>
      <c r="I21" s="189">
        <v>41752.0</v>
      </c>
      <c r="J21" s="189">
        <v>41661.0</v>
      </c>
      <c r="K21" s="189">
        <v>41751.0</v>
      </c>
      <c r="L21" s="189"/>
      <c r="M21" s="189"/>
      <c r="N21" s="189"/>
      <c r="O21" s="189"/>
      <c r="P21" s="189">
        <v>41752.0</v>
      </c>
      <c r="Q21" s="189">
        <v>41904.0</v>
      </c>
      <c r="R21" s="189"/>
      <c r="S21" s="189"/>
      <c r="T21" s="189"/>
      <c r="U21" s="189"/>
      <c r="V21" s="189">
        <v>41905.0</v>
      </c>
      <c r="W21" s="189">
        <v>42269.0</v>
      </c>
      <c r="X21" s="189"/>
      <c r="Y21" s="189"/>
      <c r="Z21" s="189"/>
      <c r="AA21" s="189"/>
      <c r="AB21" s="189"/>
      <c r="AC21" s="189" t="s">
        <v>394</v>
      </c>
      <c r="AD21" s="189">
        <v>33940.0</v>
      </c>
      <c r="AE21" s="189" t="s">
        <v>1959</v>
      </c>
      <c r="AF21" s="189" t="s">
        <v>1960</v>
      </c>
      <c r="AG21" s="189"/>
      <c r="AH21" s="189">
        <v>9.068009375E9</v>
      </c>
      <c r="AI21" s="189"/>
      <c r="AJ21" s="189" t="s">
        <v>1961</v>
      </c>
      <c r="AK21" s="189" t="s">
        <v>1962</v>
      </c>
      <c r="AL21" s="189" t="s">
        <v>1963</v>
      </c>
      <c r="AM21" s="192" t="s">
        <v>1964</v>
      </c>
      <c r="AN21" s="192" t="s">
        <v>1965</v>
      </c>
      <c r="AO21" s="192"/>
      <c r="AP21" s="189"/>
      <c r="AQ21" s="190"/>
      <c r="AR21" s="189" t="s">
        <v>1840</v>
      </c>
      <c r="AS21" s="191">
        <v>42018.0</v>
      </c>
    </row>
    <row r="22" ht="14.25" customHeight="1">
      <c r="A22" s="188">
        <v>17.0</v>
      </c>
      <c r="B22" s="142" t="s">
        <v>1966</v>
      </c>
      <c r="C22" s="142" t="s">
        <v>1967</v>
      </c>
      <c r="D22" s="142" t="s">
        <v>1968</v>
      </c>
      <c r="E22" s="189" t="s">
        <v>176</v>
      </c>
      <c r="F22" s="189"/>
      <c r="G22" s="189" t="s">
        <v>1832</v>
      </c>
      <c r="H22" s="189"/>
      <c r="I22" s="189">
        <v>41579.0</v>
      </c>
      <c r="J22" s="189"/>
      <c r="K22" s="189"/>
      <c r="L22" s="189"/>
      <c r="M22" s="189"/>
      <c r="N22" s="189"/>
      <c r="O22" s="189"/>
      <c r="P22" s="189">
        <v>41579.0</v>
      </c>
      <c r="Q22" s="189">
        <v>41729.0</v>
      </c>
      <c r="R22" s="189"/>
      <c r="S22" s="189"/>
      <c r="T22" s="189"/>
      <c r="U22" s="189"/>
      <c r="V22" s="189">
        <v>41730.0</v>
      </c>
      <c r="W22" s="189">
        <v>42094.0</v>
      </c>
      <c r="X22" s="189"/>
      <c r="Y22" s="189"/>
      <c r="Z22" s="189"/>
      <c r="AA22" s="189"/>
      <c r="AB22" s="189"/>
      <c r="AC22" s="189" t="s">
        <v>217</v>
      </c>
      <c r="AD22" s="189">
        <v>27839.0</v>
      </c>
      <c r="AE22" s="189" t="s">
        <v>1969</v>
      </c>
      <c r="AF22" s="189" t="s">
        <v>1970</v>
      </c>
      <c r="AG22" s="189"/>
      <c r="AH22" s="189">
        <v>9.47968077E9</v>
      </c>
      <c r="AI22" s="189"/>
      <c r="AJ22" s="189" t="s">
        <v>352</v>
      </c>
      <c r="AK22" s="189" t="s">
        <v>1971</v>
      </c>
      <c r="AL22" s="189"/>
      <c r="AM22" s="189" t="s">
        <v>1972</v>
      </c>
      <c r="AN22" s="189" t="s">
        <v>1973</v>
      </c>
      <c r="AO22" s="189"/>
      <c r="AP22" s="189">
        <v>4.0</v>
      </c>
      <c r="AQ22" s="190"/>
      <c r="AR22" s="189" t="s">
        <v>1241</v>
      </c>
      <c r="AS22" s="191">
        <v>42093.0</v>
      </c>
    </row>
    <row r="23" ht="14.25" customHeight="1">
      <c r="A23" s="188">
        <v>18.0</v>
      </c>
      <c r="B23" s="142" t="s">
        <v>676</v>
      </c>
      <c r="C23" s="142" t="s">
        <v>677</v>
      </c>
      <c r="D23" s="142" t="s">
        <v>678</v>
      </c>
      <c r="E23" s="189" t="s">
        <v>176</v>
      </c>
      <c r="F23" s="189"/>
      <c r="G23" s="189" t="s">
        <v>424</v>
      </c>
      <c r="H23" s="189"/>
      <c r="I23" s="189">
        <v>41691.0</v>
      </c>
      <c r="J23" s="189">
        <v>41691.0</v>
      </c>
      <c r="K23" s="189">
        <v>41750.0</v>
      </c>
      <c r="L23" s="189">
        <v>41751.0</v>
      </c>
      <c r="M23" s="189">
        <v>41811.0</v>
      </c>
      <c r="N23" s="189">
        <v>41812.0</v>
      </c>
      <c r="O23" s="189">
        <v>41903.0</v>
      </c>
      <c r="P23" s="189">
        <v>41904.0</v>
      </c>
      <c r="Q23" s="189">
        <v>41933.0</v>
      </c>
      <c r="R23" s="189">
        <v>41934.0</v>
      </c>
      <c r="S23" s="189">
        <v>41964.0</v>
      </c>
      <c r="T23" s="189"/>
      <c r="U23" s="189"/>
      <c r="V23" s="189"/>
      <c r="W23" s="189"/>
      <c r="X23" s="189"/>
      <c r="Y23" s="189"/>
      <c r="Z23" s="189"/>
      <c r="AA23" s="189"/>
      <c r="AB23" s="189"/>
      <c r="AC23" s="189" t="s">
        <v>217</v>
      </c>
      <c r="AD23" s="189">
        <v>29560.0</v>
      </c>
      <c r="AE23" s="189" t="s">
        <v>1974</v>
      </c>
      <c r="AF23" s="189" t="s">
        <v>1975</v>
      </c>
      <c r="AG23" s="189"/>
      <c r="AH23" s="189">
        <v>9.322298674E9</v>
      </c>
      <c r="AI23" s="189"/>
      <c r="AJ23" s="189" t="s">
        <v>223</v>
      </c>
      <c r="AK23" s="189" t="s">
        <v>683</v>
      </c>
      <c r="AL23" s="189"/>
      <c r="AM23" s="189"/>
      <c r="AN23" s="189"/>
      <c r="AO23" s="189"/>
      <c r="AP23" s="189"/>
      <c r="AQ23" s="190"/>
      <c r="AR23" s="189" t="s">
        <v>1241</v>
      </c>
      <c r="AS23" s="191">
        <v>41994.0</v>
      </c>
    </row>
    <row r="24" ht="14.25" customHeight="1">
      <c r="A24" s="188">
        <v>19.0</v>
      </c>
      <c r="B24" s="142" t="s">
        <v>1976</v>
      </c>
      <c r="C24" s="142" t="s">
        <v>1977</v>
      </c>
      <c r="D24" s="142" t="s">
        <v>1978</v>
      </c>
      <c r="E24" s="189" t="s">
        <v>1831</v>
      </c>
      <c r="F24" s="189"/>
      <c r="G24" s="189" t="s">
        <v>1832</v>
      </c>
      <c r="H24" s="189"/>
      <c r="I24" s="189">
        <v>41333.0</v>
      </c>
      <c r="J24" s="189">
        <v>41078.0</v>
      </c>
      <c r="K24" s="189">
        <v>41170.0</v>
      </c>
      <c r="L24" s="189"/>
      <c r="M24" s="189"/>
      <c r="N24" s="189"/>
      <c r="O24" s="189"/>
      <c r="P24" s="189">
        <v>41183.0</v>
      </c>
      <c r="Q24" s="189">
        <v>41333.0</v>
      </c>
      <c r="R24" s="189"/>
      <c r="S24" s="189"/>
      <c r="T24" s="189"/>
      <c r="U24" s="189"/>
      <c r="V24" s="189">
        <v>41349.0</v>
      </c>
      <c r="W24" s="189">
        <v>42079.0</v>
      </c>
      <c r="X24" s="189"/>
      <c r="Y24" s="189"/>
      <c r="Z24" s="189"/>
      <c r="AA24" s="189"/>
      <c r="AB24" s="189"/>
      <c r="AC24" s="189" t="s">
        <v>217</v>
      </c>
      <c r="AD24" s="189">
        <v>31669.0</v>
      </c>
      <c r="AE24" s="189" t="s">
        <v>1979</v>
      </c>
      <c r="AF24" s="189" t="s">
        <v>1980</v>
      </c>
      <c r="AG24" s="189"/>
      <c r="AH24" s="189">
        <v>9.48679046E9</v>
      </c>
      <c r="AI24" s="189"/>
      <c r="AJ24" s="189" t="s">
        <v>1961</v>
      </c>
      <c r="AK24" s="189" t="s">
        <v>1981</v>
      </c>
      <c r="AL24" s="189" t="s">
        <v>1982</v>
      </c>
      <c r="AM24" s="189" t="s">
        <v>1983</v>
      </c>
      <c r="AN24" s="189" t="s">
        <v>1984</v>
      </c>
      <c r="AO24" s="189"/>
      <c r="AP24" s="189">
        <v>1.0</v>
      </c>
      <c r="AQ24" s="190" t="s">
        <v>1985</v>
      </c>
      <c r="AR24" s="189" t="s">
        <v>1241</v>
      </c>
      <c r="AS24" s="191">
        <v>42079.0</v>
      </c>
    </row>
    <row r="25" ht="14.25" customHeight="1">
      <c r="A25" s="188">
        <v>20.0</v>
      </c>
      <c r="B25" s="142" t="s">
        <v>1986</v>
      </c>
      <c r="C25" s="142" t="s">
        <v>1987</v>
      </c>
      <c r="D25" s="142" t="s">
        <v>1987</v>
      </c>
      <c r="E25" s="189" t="s">
        <v>1881</v>
      </c>
      <c r="F25" s="189"/>
      <c r="G25" s="189" t="s">
        <v>419</v>
      </c>
      <c r="H25" s="189"/>
      <c r="I25" s="189"/>
      <c r="J25" s="189">
        <v>42226.0</v>
      </c>
      <c r="K25" s="189">
        <v>42240.0</v>
      </c>
      <c r="L25" s="189"/>
      <c r="M25" s="189"/>
      <c r="N25" s="189"/>
      <c r="O25" s="189"/>
      <c r="P25" s="189"/>
      <c r="Q25" s="189"/>
      <c r="R25" s="189"/>
      <c r="S25" s="189"/>
      <c r="T25" s="189"/>
      <c r="U25" s="189"/>
      <c r="V25" s="189"/>
      <c r="W25" s="189"/>
      <c r="X25" s="189"/>
      <c r="Y25" s="189"/>
      <c r="Z25" s="189"/>
      <c r="AA25" s="189"/>
      <c r="AB25" s="189"/>
      <c r="AC25" s="189" t="s">
        <v>394</v>
      </c>
      <c r="AD25" s="189">
        <v>33653.0</v>
      </c>
      <c r="AE25" s="189" t="s">
        <v>1988</v>
      </c>
      <c r="AF25" s="189" t="s">
        <v>1989</v>
      </c>
      <c r="AG25" s="189"/>
      <c r="AH25" s="189">
        <v>9.306661332E9</v>
      </c>
      <c r="AI25" s="189"/>
      <c r="AJ25" s="189" t="s">
        <v>298</v>
      </c>
      <c r="AK25" s="189" t="s">
        <v>1990</v>
      </c>
      <c r="AL25" s="189" t="s">
        <v>1991</v>
      </c>
      <c r="AM25" s="189" t="s">
        <v>1992</v>
      </c>
      <c r="AN25" s="189" t="s">
        <v>1993</v>
      </c>
      <c r="AO25" s="189"/>
      <c r="AP25" s="189"/>
      <c r="AQ25" s="190"/>
      <c r="AR25" s="189" t="s">
        <v>1994</v>
      </c>
      <c r="AS25" s="191"/>
    </row>
    <row r="26" ht="14.25" customHeight="1">
      <c r="A26" s="188">
        <v>21.0</v>
      </c>
      <c r="B26" s="142" t="s">
        <v>1995</v>
      </c>
      <c r="C26" s="142" t="s">
        <v>1996</v>
      </c>
      <c r="D26" s="142" t="s">
        <v>1997</v>
      </c>
      <c r="E26" s="189" t="s">
        <v>219</v>
      </c>
      <c r="F26" s="189"/>
      <c r="G26" s="189" t="s">
        <v>57</v>
      </c>
      <c r="H26" s="189"/>
      <c r="I26" s="189">
        <v>39794.0</v>
      </c>
      <c r="J26" s="189"/>
      <c r="K26" s="189"/>
      <c r="L26" s="189"/>
      <c r="M26" s="189"/>
      <c r="N26" s="189"/>
      <c r="O26" s="189"/>
      <c r="P26" s="189">
        <v>39794.0</v>
      </c>
      <c r="Q26" s="189">
        <v>39976.0</v>
      </c>
      <c r="R26" s="189">
        <v>39995.0</v>
      </c>
      <c r="S26" s="189">
        <v>40179.0</v>
      </c>
      <c r="T26" s="189"/>
      <c r="U26" s="189"/>
      <c r="V26" s="189"/>
      <c r="W26" s="189"/>
      <c r="X26" s="189"/>
      <c r="Y26" s="189"/>
      <c r="Z26" s="189">
        <v>40194.0</v>
      </c>
      <c r="AA26" s="189">
        <v>40375.0</v>
      </c>
      <c r="AB26" s="189"/>
      <c r="AC26" s="189" t="s">
        <v>217</v>
      </c>
      <c r="AD26" s="189">
        <v>31391.0</v>
      </c>
      <c r="AE26" s="189" t="s">
        <v>1998</v>
      </c>
      <c r="AF26" s="189"/>
      <c r="AG26" s="189"/>
      <c r="AH26" s="189">
        <v>9.17957456E9</v>
      </c>
      <c r="AI26" s="189"/>
      <c r="AJ26" s="189" t="s">
        <v>1961</v>
      </c>
      <c r="AK26" s="189" t="s">
        <v>1999</v>
      </c>
      <c r="AL26" s="189" t="s">
        <v>2000</v>
      </c>
      <c r="AM26" s="189" t="s">
        <v>2001</v>
      </c>
      <c r="AN26" s="189" t="s">
        <v>2002</v>
      </c>
      <c r="AO26" s="189"/>
      <c r="AP26" s="189">
        <v>1.0</v>
      </c>
      <c r="AQ26" s="190" t="s">
        <v>2003</v>
      </c>
      <c r="AR26" s="189" t="s">
        <v>1840</v>
      </c>
      <c r="AS26" s="191">
        <v>41934.0</v>
      </c>
    </row>
    <row r="27" ht="14.25" customHeight="1">
      <c r="A27" s="188">
        <v>22.0</v>
      </c>
      <c r="B27" s="142" t="s">
        <v>506</v>
      </c>
      <c r="C27" s="142" t="s">
        <v>2004</v>
      </c>
      <c r="D27" s="142" t="s">
        <v>231</v>
      </c>
      <c r="E27" s="189" t="s">
        <v>717</v>
      </c>
      <c r="F27" s="189"/>
      <c r="G27" s="189" t="s">
        <v>1855</v>
      </c>
      <c r="H27" s="189"/>
      <c r="I27" s="189">
        <v>42161.0</v>
      </c>
      <c r="J27" s="189">
        <v>42068.0</v>
      </c>
      <c r="K27" s="189">
        <v>42160.0</v>
      </c>
      <c r="L27" s="189"/>
      <c r="M27" s="189"/>
      <c r="N27" s="189"/>
      <c r="O27" s="189"/>
      <c r="P27" s="189">
        <v>42161.0</v>
      </c>
      <c r="Q27" s="189">
        <v>42313.0</v>
      </c>
      <c r="R27" s="189"/>
      <c r="S27" s="189"/>
      <c r="T27" s="189"/>
      <c r="U27" s="189"/>
      <c r="V27" s="189"/>
      <c r="W27" s="189"/>
      <c r="X27" s="189"/>
      <c r="Y27" s="189"/>
      <c r="Z27" s="189"/>
      <c r="AA27" s="189"/>
      <c r="AB27" s="189"/>
      <c r="AC27" s="189" t="s">
        <v>394</v>
      </c>
      <c r="AD27" s="189">
        <v>34442.0</v>
      </c>
      <c r="AE27" s="189" t="s">
        <v>2005</v>
      </c>
      <c r="AF27" s="189" t="s">
        <v>2006</v>
      </c>
      <c r="AG27" s="189"/>
      <c r="AH27" s="189" t="s">
        <v>2007</v>
      </c>
      <c r="AI27" s="189"/>
      <c r="AJ27" s="189" t="s">
        <v>643</v>
      </c>
      <c r="AK27" s="189" t="s">
        <v>2008</v>
      </c>
      <c r="AL27" s="189"/>
      <c r="AM27" s="192" t="s">
        <v>2009</v>
      </c>
      <c r="AN27" s="192" t="s">
        <v>2010</v>
      </c>
      <c r="AO27" s="192"/>
      <c r="AP27" s="189"/>
      <c r="AQ27" s="190" t="s">
        <v>2011</v>
      </c>
      <c r="AR27" s="189" t="s">
        <v>1241</v>
      </c>
      <c r="AS27" s="191"/>
    </row>
    <row r="28" ht="14.25" customHeight="1">
      <c r="A28" s="188">
        <v>23.0</v>
      </c>
      <c r="B28" s="142" t="s">
        <v>407</v>
      </c>
      <c r="C28" s="142" t="s">
        <v>75</v>
      </c>
      <c r="D28" s="142" t="s">
        <v>2012</v>
      </c>
      <c r="E28" s="189" t="s">
        <v>1831</v>
      </c>
      <c r="F28" s="189"/>
      <c r="G28" s="189" t="s">
        <v>1832</v>
      </c>
      <c r="H28" s="189"/>
      <c r="I28" s="189">
        <v>41857.0</v>
      </c>
      <c r="J28" s="189">
        <v>41764.0</v>
      </c>
      <c r="K28" s="189">
        <v>41856.0</v>
      </c>
      <c r="L28" s="189"/>
      <c r="M28" s="189"/>
      <c r="N28" s="189"/>
      <c r="O28" s="189"/>
      <c r="P28" s="189">
        <v>41857.0</v>
      </c>
      <c r="Q28" s="189">
        <v>42009.0</v>
      </c>
      <c r="R28" s="189"/>
      <c r="S28" s="189"/>
      <c r="T28" s="189"/>
      <c r="U28" s="189"/>
      <c r="V28" s="189">
        <v>42010.0</v>
      </c>
      <c r="W28" s="189">
        <v>42374.0</v>
      </c>
      <c r="X28" s="189"/>
      <c r="Y28" s="189"/>
      <c r="Z28" s="189"/>
      <c r="AA28" s="189"/>
      <c r="AB28" s="189"/>
      <c r="AC28" s="189" t="s">
        <v>394</v>
      </c>
      <c r="AD28" s="189">
        <v>33836.0</v>
      </c>
      <c r="AE28" s="189" t="s">
        <v>2013</v>
      </c>
      <c r="AF28" s="189" t="s">
        <v>2014</v>
      </c>
      <c r="AG28" s="189"/>
      <c r="AH28" s="189">
        <v>9.128216114E9</v>
      </c>
      <c r="AI28" s="189"/>
      <c r="AJ28" s="189" t="s">
        <v>1961</v>
      </c>
      <c r="AK28" s="189" t="s">
        <v>2015</v>
      </c>
      <c r="AL28" s="192" t="s">
        <v>2016</v>
      </c>
      <c r="AM28" s="192" t="s">
        <v>2017</v>
      </c>
      <c r="AN28" s="192" t="s">
        <v>2018</v>
      </c>
      <c r="AO28" s="192"/>
      <c r="AP28" s="189"/>
      <c r="AQ28" s="190"/>
      <c r="AR28" s="189" t="s">
        <v>1241</v>
      </c>
      <c r="AS28" s="191"/>
    </row>
    <row r="29" ht="14.25" customHeight="1">
      <c r="A29" s="188">
        <v>24.0</v>
      </c>
      <c r="B29" s="142" t="s">
        <v>78</v>
      </c>
      <c r="C29" s="142" t="s">
        <v>2019</v>
      </c>
      <c r="D29" s="142" t="s">
        <v>76</v>
      </c>
      <c r="E29" s="189" t="s">
        <v>717</v>
      </c>
      <c r="F29" s="189"/>
      <c r="G29" s="189" t="s">
        <v>1855</v>
      </c>
      <c r="H29" s="189"/>
      <c r="I29" s="189">
        <v>42189.0</v>
      </c>
      <c r="J29" s="189">
        <v>42165.0</v>
      </c>
      <c r="K29" s="189">
        <v>42257.0</v>
      </c>
      <c r="L29" s="189"/>
      <c r="M29" s="189"/>
      <c r="N29" s="189"/>
      <c r="O29" s="189"/>
      <c r="P29" s="189">
        <v>42189.0</v>
      </c>
      <c r="Q29" s="189">
        <v>42341.0</v>
      </c>
      <c r="R29" s="189"/>
      <c r="S29" s="189"/>
      <c r="T29" s="189"/>
      <c r="U29" s="189"/>
      <c r="V29" s="189"/>
      <c r="W29" s="189"/>
      <c r="X29" s="189"/>
      <c r="Y29" s="189"/>
      <c r="Z29" s="189"/>
      <c r="AA29" s="189"/>
      <c r="AB29" s="189"/>
      <c r="AC29" s="189" t="s">
        <v>394</v>
      </c>
      <c r="AD29" s="189">
        <v>34409.0</v>
      </c>
      <c r="AE29" s="189" t="s">
        <v>2020</v>
      </c>
      <c r="AF29" s="189"/>
      <c r="AG29" s="189"/>
      <c r="AH29" s="189">
        <v>9.05883195E9</v>
      </c>
      <c r="AI29" s="189"/>
      <c r="AJ29" s="189" t="s">
        <v>2021</v>
      </c>
      <c r="AK29" s="189" t="s">
        <v>2022</v>
      </c>
      <c r="AL29" s="189"/>
      <c r="AM29" s="189" t="s">
        <v>2023</v>
      </c>
      <c r="AN29" s="189" t="s">
        <v>2024</v>
      </c>
      <c r="AO29" s="189"/>
      <c r="AP29" s="189"/>
      <c r="AQ29" s="190"/>
      <c r="AR29" s="189" t="s">
        <v>1840</v>
      </c>
      <c r="AS29" s="191"/>
    </row>
    <row r="30" ht="14.25" customHeight="1">
      <c r="A30" s="188">
        <v>25.0</v>
      </c>
      <c r="B30" s="142" t="s">
        <v>2025</v>
      </c>
      <c r="C30" s="142" t="s">
        <v>2026</v>
      </c>
      <c r="D30" s="142" t="s">
        <v>2027</v>
      </c>
      <c r="E30" s="189" t="s">
        <v>2028</v>
      </c>
      <c r="F30" s="189"/>
      <c r="G30" s="189" t="s">
        <v>57</v>
      </c>
      <c r="H30" s="189"/>
      <c r="I30" s="189">
        <v>40026.0</v>
      </c>
      <c r="J30" s="189">
        <v>38586.0</v>
      </c>
      <c r="K30" s="189">
        <v>38678.0</v>
      </c>
      <c r="L30" s="189"/>
      <c r="M30" s="189"/>
      <c r="N30" s="189"/>
      <c r="O30" s="189"/>
      <c r="P30" s="189"/>
      <c r="Q30" s="189"/>
      <c r="R30" s="189"/>
      <c r="S30" s="189"/>
      <c r="T30" s="189"/>
      <c r="U30" s="189"/>
      <c r="V30" s="189"/>
      <c r="W30" s="189"/>
      <c r="X30" s="189"/>
      <c r="Y30" s="189"/>
      <c r="Z30" s="189">
        <v>38679.0</v>
      </c>
      <c r="AA30" s="189">
        <v>38830.0</v>
      </c>
      <c r="AB30" s="189">
        <v>40026.0</v>
      </c>
      <c r="AC30" s="189" t="s">
        <v>394</v>
      </c>
      <c r="AD30" s="189">
        <v>28494.0</v>
      </c>
      <c r="AE30" s="189" t="s">
        <v>2029</v>
      </c>
      <c r="AF30" s="189"/>
      <c r="AG30" s="189"/>
      <c r="AH30" s="189">
        <v>9.205060532E9</v>
      </c>
      <c r="AI30" s="189"/>
      <c r="AJ30" s="189" t="s">
        <v>2030</v>
      </c>
      <c r="AK30" s="189" t="s">
        <v>2031</v>
      </c>
      <c r="AL30" s="189" t="s">
        <v>2032</v>
      </c>
      <c r="AM30" s="189" t="s">
        <v>2033</v>
      </c>
      <c r="AN30" s="189" t="s">
        <v>2034</v>
      </c>
      <c r="AO30" s="189"/>
      <c r="AP30" s="189"/>
      <c r="AQ30" s="190"/>
      <c r="AR30" s="189" t="s">
        <v>1840</v>
      </c>
      <c r="AS30" s="191">
        <v>42046.0</v>
      </c>
    </row>
    <row r="31" ht="14.25" customHeight="1">
      <c r="A31" s="188">
        <v>26.0</v>
      </c>
      <c r="B31" s="142" t="s">
        <v>2035</v>
      </c>
      <c r="C31" s="142" t="s">
        <v>2036</v>
      </c>
      <c r="D31" s="142" t="s">
        <v>2037</v>
      </c>
      <c r="E31" s="189" t="s">
        <v>82</v>
      </c>
      <c r="F31" s="189"/>
      <c r="G31" s="189" t="s">
        <v>1855</v>
      </c>
      <c r="H31" s="189"/>
      <c r="I31" s="189">
        <v>42229.0</v>
      </c>
      <c r="J31" s="189">
        <v>42214.0</v>
      </c>
      <c r="K31" s="189">
        <v>42228.0</v>
      </c>
      <c r="L31" s="189"/>
      <c r="M31" s="189"/>
      <c r="N31" s="189"/>
      <c r="O31" s="189"/>
      <c r="P31" s="189">
        <v>42229.0</v>
      </c>
      <c r="Q31" s="189">
        <v>42381.0</v>
      </c>
      <c r="R31" s="189"/>
      <c r="S31" s="189"/>
      <c r="T31" s="189"/>
      <c r="U31" s="189"/>
      <c r="V31" s="189"/>
      <c r="W31" s="189"/>
      <c r="X31" s="189"/>
      <c r="Y31" s="189"/>
      <c r="Z31" s="189"/>
      <c r="AA31" s="189"/>
      <c r="AB31" s="189"/>
      <c r="AC31" s="189" t="s">
        <v>394</v>
      </c>
      <c r="AD31" s="189">
        <v>33573.0</v>
      </c>
      <c r="AE31" s="189" t="s">
        <v>2038</v>
      </c>
      <c r="AF31" s="189" t="s">
        <v>2039</v>
      </c>
      <c r="AG31" s="189"/>
      <c r="AH31" s="189">
        <v>9.058876305E9</v>
      </c>
      <c r="AI31" s="189"/>
      <c r="AJ31" s="189" t="s">
        <v>1847</v>
      </c>
      <c r="AK31" s="189" t="s">
        <v>2040</v>
      </c>
      <c r="AL31" s="192"/>
      <c r="AM31" s="192" t="s">
        <v>2041</v>
      </c>
      <c r="AN31" s="192" t="s">
        <v>2042</v>
      </c>
      <c r="AO31" s="192"/>
      <c r="AP31" s="189" t="s">
        <v>2043</v>
      </c>
      <c r="AQ31" s="190"/>
      <c r="AR31" s="189" t="s">
        <v>1241</v>
      </c>
      <c r="AS31" s="191"/>
    </row>
    <row r="32" ht="14.25" customHeight="1">
      <c r="A32" s="188">
        <v>27.0</v>
      </c>
      <c r="B32" s="142" t="s">
        <v>2044</v>
      </c>
      <c r="C32" s="142" t="s">
        <v>2045</v>
      </c>
      <c r="D32" s="142" t="s">
        <v>2046</v>
      </c>
      <c r="E32" s="189" t="s">
        <v>2047</v>
      </c>
      <c r="F32" s="189"/>
      <c r="G32" s="189" t="s">
        <v>1855</v>
      </c>
      <c r="H32" s="189"/>
      <c r="I32" s="189">
        <v>42227.0</v>
      </c>
      <c r="J32" s="189">
        <v>42212.0</v>
      </c>
      <c r="K32" s="189">
        <v>42226.0</v>
      </c>
      <c r="L32" s="189"/>
      <c r="M32" s="189"/>
      <c r="N32" s="189"/>
      <c r="O32" s="189"/>
      <c r="P32" s="189">
        <v>42227.0</v>
      </c>
      <c r="Q32" s="189">
        <v>42379.0</v>
      </c>
      <c r="R32" s="189"/>
      <c r="S32" s="189"/>
      <c r="T32" s="189"/>
      <c r="U32" s="189"/>
      <c r="V32" s="189"/>
      <c r="W32" s="189"/>
      <c r="X32" s="189"/>
      <c r="Y32" s="189"/>
      <c r="Z32" s="189"/>
      <c r="AA32" s="189"/>
      <c r="AB32" s="189"/>
      <c r="AC32" s="189" t="s">
        <v>394</v>
      </c>
      <c r="AD32" s="189">
        <v>34339.0</v>
      </c>
      <c r="AE32" s="189" t="s">
        <v>2048</v>
      </c>
      <c r="AF32" s="189" t="s">
        <v>2049</v>
      </c>
      <c r="AG32" s="189"/>
      <c r="AH32" s="189">
        <v>9.207855498E9</v>
      </c>
      <c r="AI32" s="189"/>
      <c r="AJ32" s="189" t="s">
        <v>1834</v>
      </c>
      <c r="AK32" s="189" t="s">
        <v>2050</v>
      </c>
      <c r="AL32" s="189"/>
      <c r="AM32" s="189" t="s">
        <v>2051</v>
      </c>
      <c r="AN32" s="189" t="s">
        <v>2052</v>
      </c>
      <c r="AO32" s="189"/>
      <c r="AP32" s="189"/>
      <c r="AQ32" s="190"/>
      <c r="AR32" s="189" t="s">
        <v>1241</v>
      </c>
      <c r="AS32" s="191"/>
    </row>
    <row r="33" ht="14.25" customHeight="1">
      <c r="A33" s="188">
        <v>28.0</v>
      </c>
      <c r="B33" s="142" t="s">
        <v>2053</v>
      </c>
      <c r="C33" s="142" t="s">
        <v>2054</v>
      </c>
      <c r="D33" s="142" t="s">
        <v>2055</v>
      </c>
      <c r="E33" s="189" t="s">
        <v>2056</v>
      </c>
      <c r="F33" s="189"/>
      <c r="G33" s="189" t="s">
        <v>57</v>
      </c>
      <c r="H33" s="189"/>
      <c r="I33" s="189">
        <v>39322.0</v>
      </c>
      <c r="J33" s="189">
        <v>39234.0</v>
      </c>
      <c r="K33" s="189">
        <v>39326.0</v>
      </c>
      <c r="L33" s="189"/>
      <c r="M33" s="189"/>
      <c r="N33" s="189"/>
      <c r="O33" s="189"/>
      <c r="P33" s="189"/>
      <c r="Q33" s="189"/>
      <c r="R33" s="189"/>
      <c r="S33" s="189"/>
      <c r="T33" s="189"/>
      <c r="U33" s="189"/>
      <c r="V33" s="189"/>
      <c r="W33" s="189"/>
      <c r="X33" s="189"/>
      <c r="Y33" s="189"/>
      <c r="Z33" s="189"/>
      <c r="AA33" s="189"/>
      <c r="AB33" s="189">
        <v>39322.0</v>
      </c>
      <c r="AC33" s="189" t="s">
        <v>217</v>
      </c>
      <c r="AD33" s="189">
        <v>29892.0</v>
      </c>
      <c r="AE33" s="189" t="s">
        <v>2057</v>
      </c>
      <c r="AF33" s="189"/>
      <c r="AG33" s="189"/>
      <c r="AH33" s="189" t="s">
        <v>2058</v>
      </c>
      <c r="AI33" s="189"/>
      <c r="AJ33" s="189" t="s">
        <v>526</v>
      </c>
      <c r="AK33" s="189" t="s">
        <v>2059</v>
      </c>
      <c r="AL33" s="189" t="s">
        <v>2060</v>
      </c>
      <c r="AM33" s="189" t="s">
        <v>2061</v>
      </c>
      <c r="AN33" s="189" t="s">
        <v>2062</v>
      </c>
      <c r="AO33" s="189"/>
      <c r="AP33" s="189" t="s">
        <v>2063</v>
      </c>
      <c r="AQ33" s="190"/>
      <c r="AR33" s="189" t="s">
        <v>1840</v>
      </c>
      <c r="AS33" s="191">
        <v>42063.0</v>
      </c>
    </row>
    <row r="34" ht="14.25" customHeight="1">
      <c r="A34" s="188">
        <v>29.0</v>
      </c>
      <c r="B34" s="142" t="s">
        <v>2064</v>
      </c>
      <c r="C34" s="142" t="s">
        <v>2065</v>
      </c>
      <c r="D34" s="142" t="s">
        <v>2066</v>
      </c>
      <c r="E34" s="189" t="s">
        <v>1831</v>
      </c>
      <c r="F34" s="189"/>
      <c r="G34" s="189" t="s">
        <v>1832</v>
      </c>
      <c r="H34" s="189"/>
      <c r="I34" s="189">
        <v>41410.0</v>
      </c>
      <c r="J34" s="189">
        <v>41291.0</v>
      </c>
      <c r="K34" s="189">
        <v>41381.0</v>
      </c>
      <c r="L34" s="189"/>
      <c r="M34" s="189"/>
      <c r="N34" s="189"/>
      <c r="O34" s="189"/>
      <c r="P34" s="189">
        <v>41410.0</v>
      </c>
      <c r="Q34" s="189">
        <v>41563.0</v>
      </c>
      <c r="R34" s="189"/>
      <c r="S34" s="189"/>
      <c r="T34" s="189"/>
      <c r="U34" s="189"/>
      <c r="V34" s="189">
        <v>41579.0</v>
      </c>
      <c r="W34" s="189">
        <v>42309.0</v>
      </c>
      <c r="X34" s="189"/>
      <c r="Y34" s="189"/>
      <c r="Z34" s="189"/>
      <c r="AA34" s="189"/>
      <c r="AB34" s="189"/>
      <c r="AC34" s="189" t="s">
        <v>394</v>
      </c>
      <c r="AD34" s="189">
        <v>33331.0</v>
      </c>
      <c r="AE34" s="189" t="s">
        <v>2067</v>
      </c>
      <c r="AF34" s="189" t="s">
        <v>2068</v>
      </c>
      <c r="AG34" s="189"/>
      <c r="AH34" s="189" t="s">
        <v>2069</v>
      </c>
      <c r="AI34" s="189"/>
      <c r="AJ34" s="189" t="s">
        <v>2070</v>
      </c>
      <c r="AK34" s="189" t="s">
        <v>2071</v>
      </c>
      <c r="AL34" s="189"/>
      <c r="AM34" s="189" t="s">
        <v>2072</v>
      </c>
      <c r="AN34" s="189" t="s">
        <v>2073</v>
      </c>
      <c r="AO34" s="189"/>
      <c r="AP34" s="189"/>
      <c r="AQ34" s="190"/>
      <c r="AR34" s="189" t="s">
        <v>1840</v>
      </c>
      <c r="AS34" s="191"/>
    </row>
    <row r="35" ht="14.25" customHeight="1">
      <c r="A35" s="188">
        <v>30.0</v>
      </c>
      <c r="B35" s="142" t="s">
        <v>2074</v>
      </c>
      <c r="C35" s="142" t="s">
        <v>2075</v>
      </c>
      <c r="D35" s="142" t="s">
        <v>1819</v>
      </c>
      <c r="E35" s="189" t="s">
        <v>82</v>
      </c>
      <c r="F35" s="189"/>
      <c r="G35" s="189" t="s">
        <v>1855</v>
      </c>
      <c r="H35" s="189"/>
      <c r="I35" s="189">
        <v>42189.0</v>
      </c>
      <c r="J35" s="189">
        <v>42100.0</v>
      </c>
      <c r="K35" s="189">
        <v>42191.0</v>
      </c>
      <c r="L35" s="189"/>
      <c r="M35" s="189"/>
      <c r="N35" s="189"/>
      <c r="O35" s="189"/>
      <c r="P35" s="189">
        <v>42189.0</v>
      </c>
      <c r="Q35" s="189">
        <v>42341.0</v>
      </c>
      <c r="R35" s="189"/>
      <c r="S35" s="189"/>
      <c r="T35" s="189"/>
      <c r="U35" s="189"/>
      <c r="V35" s="189"/>
      <c r="W35" s="189"/>
      <c r="X35" s="189"/>
      <c r="Y35" s="189"/>
      <c r="Z35" s="189"/>
      <c r="AA35" s="189"/>
      <c r="AB35" s="189"/>
      <c r="AC35" s="189" t="s">
        <v>394</v>
      </c>
      <c r="AD35" s="189">
        <v>32478.0</v>
      </c>
      <c r="AE35" s="189" t="s">
        <v>2076</v>
      </c>
      <c r="AF35" s="189" t="s">
        <v>2077</v>
      </c>
      <c r="AG35" s="189"/>
      <c r="AH35" s="189">
        <v>9.109561329E9</v>
      </c>
      <c r="AI35" s="189"/>
      <c r="AJ35" s="189" t="s">
        <v>2078</v>
      </c>
      <c r="AK35" s="189" t="s">
        <v>2079</v>
      </c>
      <c r="AL35" s="189" t="s">
        <v>2080</v>
      </c>
      <c r="AM35" s="189" t="s">
        <v>2081</v>
      </c>
      <c r="AN35" s="189" t="s">
        <v>2082</v>
      </c>
      <c r="AO35" s="189"/>
      <c r="AP35" s="189" t="s">
        <v>2083</v>
      </c>
      <c r="AQ35" s="190"/>
      <c r="AR35" s="189" t="s">
        <v>1241</v>
      </c>
      <c r="AS35" s="191"/>
    </row>
    <row r="36" ht="14.25" customHeight="1">
      <c r="A36" s="188">
        <v>31.0</v>
      </c>
      <c r="B36" s="142" t="s">
        <v>84</v>
      </c>
      <c r="C36" s="142" t="s">
        <v>2084</v>
      </c>
      <c r="D36" s="142" t="s">
        <v>2085</v>
      </c>
      <c r="E36" s="189" t="s">
        <v>2047</v>
      </c>
      <c r="F36" s="189"/>
      <c r="G36" s="189" t="s">
        <v>1855</v>
      </c>
      <c r="H36" s="189"/>
      <c r="I36" s="189">
        <v>42046.0</v>
      </c>
      <c r="J36" s="189">
        <v>41953.0</v>
      </c>
      <c r="K36" s="189">
        <v>42045.0</v>
      </c>
      <c r="L36" s="189"/>
      <c r="M36" s="189"/>
      <c r="N36" s="189"/>
      <c r="O36" s="189"/>
      <c r="P36" s="189">
        <v>42046.0</v>
      </c>
      <c r="Q36" s="189">
        <v>42196.0</v>
      </c>
      <c r="R36" s="189"/>
      <c r="S36" s="189"/>
      <c r="T36" s="189"/>
      <c r="U36" s="189"/>
      <c r="V36" s="189"/>
      <c r="W36" s="189"/>
      <c r="X36" s="189"/>
      <c r="Y36" s="189"/>
      <c r="Z36" s="189"/>
      <c r="AA36" s="189"/>
      <c r="AB36" s="189"/>
      <c r="AC36" s="189" t="s">
        <v>394</v>
      </c>
      <c r="AD36" s="189">
        <v>34091.0</v>
      </c>
      <c r="AE36" s="189" t="s">
        <v>2086</v>
      </c>
      <c r="AF36" s="189"/>
      <c r="AG36" s="189"/>
      <c r="AH36" s="189">
        <v>9.395042683E9</v>
      </c>
      <c r="AI36" s="189"/>
      <c r="AJ36" s="189" t="s">
        <v>1847</v>
      </c>
      <c r="AK36" s="189" t="s">
        <v>2087</v>
      </c>
      <c r="AL36" s="189"/>
      <c r="AM36" s="189" t="s">
        <v>2088</v>
      </c>
      <c r="AN36" s="189" t="s">
        <v>2089</v>
      </c>
      <c r="AO36" s="189"/>
      <c r="AP36" s="189"/>
      <c r="AQ36" s="190"/>
      <c r="AR36" s="189" t="s">
        <v>1241</v>
      </c>
      <c r="AS36" s="191">
        <v>42196.0</v>
      </c>
    </row>
    <row r="37" ht="14.25" customHeight="1">
      <c r="A37" s="188">
        <v>32.0</v>
      </c>
      <c r="B37" s="142" t="s">
        <v>84</v>
      </c>
      <c r="C37" s="142" t="s">
        <v>2090</v>
      </c>
      <c r="D37" s="142" t="s">
        <v>2091</v>
      </c>
      <c r="E37" s="189" t="s">
        <v>1881</v>
      </c>
      <c r="F37" s="189"/>
      <c r="G37" s="189" t="s">
        <v>1855</v>
      </c>
      <c r="H37" s="189"/>
      <c r="I37" s="189">
        <v>42189.0</v>
      </c>
      <c r="J37" s="189">
        <v>42154.0</v>
      </c>
      <c r="K37" s="189">
        <v>42246.0</v>
      </c>
      <c r="L37" s="189"/>
      <c r="M37" s="189"/>
      <c r="N37" s="189"/>
      <c r="O37" s="189"/>
      <c r="P37" s="189">
        <v>42189.0</v>
      </c>
      <c r="Q37" s="189">
        <v>42341.0</v>
      </c>
      <c r="R37" s="189"/>
      <c r="S37" s="189"/>
      <c r="T37" s="189"/>
      <c r="U37" s="189"/>
      <c r="V37" s="189"/>
      <c r="W37" s="189"/>
      <c r="X37" s="189"/>
      <c r="Y37" s="189"/>
      <c r="Z37" s="189"/>
      <c r="AA37" s="189"/>
      <c r="AB37" s="189"/>
      <c r="AC37" s="189" t="s">
        <v>394</v>
      </c>
      <c r="AD37" s="189">
        <v>34603.0</v>
      </c>
      <c r="AE37" s="189" t="s">
        <v>2092</v>
      </c>
      <c r="AF37" s="189"/>
      <c r="AG37" s="189"/>
      <c r="AH37" s="189">
        <v>9.085441888E9</v>
      </c>
      <c r="AI37" s="189"/>
      <c r="AJ37" s="189" t="s">
        <v>2093</v>
      </c>
      <c r="AK37" s="189" t="s">
        <v>2094</v>
      </c>
      <c r="AL37" s="189" t="s">
        <v>2095</v>
      </c>
      <c r="AM37" s="189" t="s">
        <v>2096</v>
      </c>
      <c r="AN37" s="189" t="s">
        <v>2097</v>
      </c>
      <c r="AO37" s="189"/>
      <c r="AP37" s="189"/>
      <c r="AQ37" s="190"/>
      <c r="AR37" s="189" t="s">
        <v>1241</v>
      </c>
      <c r="AS37" s="191"/>
    </row>
    <row r="38" ht="14.25" customHeight="1">
      <c r="A38" s="188">
        <v>33.0</v>
      </c>
      <c r="B38" s="142" t="s">
        <v>2098</v>
      </c>
      <c r="C38" s="142" t="s">
        <v>2099</v>
      </c>
      <c r="D38" s="142" t="s">
        <v>2100</v>
      </c>
      <c r="E38" s="189" t="s">
        <v>717</v>
      </c>
      <c r="F38" s="189"/>
      <c r="G38" s="189" t="s">
        <v>1832</v>
      </c>
      <c r="H38" s="189"/>
      <c r="I38" s="189">
        <v>41609.0</v>
      </c>
      <c r="J38" s="189">
        <v>41501.0</v>
      </c>
      <c r="K38" s="189">
        <v>41593.0</v>
      </c>
      <c r="L38" s="189"/>
      <c r="M38" s="189"/>
      <c r="N38" s="189"/>
      <c r="O38" s="189"/>
      <c r="P38" s="189">
        <v>41609.0</v>
      </c>
      <c r="Q38" s="189">
        <v>41759.0</v>
      </c>
      <c r="R38" s="189"/>
      <c r="S38" s="189"/>
      <c r="T38" s="189"/>
      <c r="U38" s="189"/>
      <c r="V38" s="189">
        <v>41760.0</v>
      </c>
      <c r="W38" s="189">
        <v>42124.0</v>
      </c>
      <c r="X38" s="189"/>
      <c r="Y38" s="189"/>
      <c r="Z38" s="189"/>
      <c r="AA38" s="189"/>
      <c r="AB38" s="189"/>
      <c r="AC38" s="189" t="s">
        <v>394</v>
      </c>
      <c r="AD38" s="189">
        <v>34035.0</v>
      </c>
      <c r="AE38" s="189" t="s">
        <v>2101</v>
      </c>
      <c r="AF38" s="189"/>
      <c r="AG38" s="189"/>
      <c r="AH38" s="189">
        <v>9.332273447E9</v>
      </c>
      <c r="AI38" s="189"/>
      <c r="AJ38" s="189" t="s">
        <v>1847</v>
      </c>
      <c r="AK38" s="189" t="s">
        <v>2102</v>
      </c>
      <c r="AL38" s="189" t="s">
        <v>2103</v>
      </c>
      <c r="AM38" s="189" t="s">
        <v>2104</v>
      </c>
      <c r="AN38" s="189" t="s">
        <v>2105</v>
      </c>
      <c r="AO38" s="189"/>
      <c r="AP38" s="189"/>
      <c r="AQ38" s="190"/>
      <c r="AR38" s="189" t="s">
        <v>1241</v>
      </c>
      <c r="AS38" s="191">
        <v>42124.0</v>
      </c>
    </row>
    <row r="39" ht="14.25" customHeight="1">
      <c r="A39" s="188">
        <v>34.0</v>
      </c>
      <c r="B39" s="142" t="s">
        <v>2106</v>
      </c>
      <c r="C39" s="142" t="s">
        <v>677</v>
      </c>
      <c r="D39" s="142" t="s">
        <v>2107</v>
      </c>
      <c r="E39" s="189" t="s">
        <v>561</v>
      </c>
      <c r="F39" s="189"/>
      <c r="G39" s="189" t="s">
        <v>1832</v>
      </c>
      <c r="H39" s="189"/>
      <c r="I39" s="189">
        <v>41609.0</v>
      </c>
      <c r="J39" s="189">
        <v>41501.0</v>
      </c>
      <c r="K39" s="189">
        <v>41593.0</v>
      </c>
      <c r="L39" s="189"/>
      <c r="M39" s="189"/>
      <c r="N39" s="189"/>
      <c r="O39" s="189"/>
      <c r="P39" s="189">
        <v>41609.0</v>
      </c>
      <c r="Q39" s="189">
        <v>41759.0</v>
      </c>
      <c r="R39" s="189"/>
      <c r="S39" s="189"/>
      <c r="T39" s="189"/>
      <c r="U39" s="189"/>
      <c r="V39" s="189">
        <v>41760.0</v>
      </c>
      <c r="W39" s="189">
        <v>42124.0</v>
      </c>
      <c r="X39" s="189"/>
      <c r="Y39" s="189"/>
      <c r="Z39" s="189"/>
      <c r="AA39" s="189"/>
      <c r="AB39" s="189"/>
      <c r="AC39" s="189" t="s">
        <v>394</v>
      </c>
      <c r="AD39" s="189">
        <v>33554.0</v>
      </c>
      <c r="AE39" s="189" t="s">
        <v>2108</v>
      </c>
      <c r="AF39" s="189" t="s">
        <v>2109</v>
      </c>
      <c r="AG39" s="189"/>
      <c r="AH39" s="189">
        <v>9.36743378E9</v>
      </c>
      <c r="AI39" s="189"/>
      <c r="AJ39" s="189" t="s">
        <v>2110</v>
      </c>
      <c r="AK39" s="189" t="s">
        <v>2111</v>
      </c>
      <c r="AL39" s="189" t="s">
        <v>2112</v>
      </c>
      <c r="AM39" s="189" t="s">
        <v>2113</v>
      </c>
      <c r="AN39" s="189" t="s">
        <v>2114</v>
      </c>
      <c r="AO39" s="189"/>
      <c r="AP39" s="189"/>
      <c r="AQ39" s="190"/>
      <c r="AR39" s="189" t="s">
        <v>1241</v>
      </c>
      <c r="AS39" s="191">
        <v>42124.0</v>
      </c>
    </row>
    <row r="40" ht="14.25" customHeight="1">
      <c r="A40" s="188">
        <v>35.0</v>
      </c>
      <c r="B40" s="142" t="s">
        <v>2115</v>
      </c>
      <c r="C40" s="142" t="s">
        <v>2116</v>
      </c>
      <c r="D40" s="142" t="s">
        <v>2117</v>
      </c>
      <c r="E40" s="189" t="s">
        <v>1881</v>
      </c>
      <c r="F40" s="189"/>
      <c r="G40" s="189" t="s">
        <v>1832</v>
      </c>
      <c r="H40" s="189"/>
      <c r="I40" s="189">
        <v>41609.0</v>
      </c>
      <c r="J40" s="189">
        <v>41501.0</v>
      </c>
      <c r="K40" s="189">
        <v>41593.0</v>
      </c>
      <c r="L40" s="189"/>
      <c r="M40" s="189"/>
      <c r="N40" s="189"/>
      <c r="O40" s="189"/>
      <c r="P40" s="189">
        <v>41609.0</v>
      </c>
      <c r="Q40" s="189">
        <v>41759.0</v>
      </c>
      <c r="R40" s="189"/>
      <c r="S40" s="189"/>
      <c r="T40" s="189"/>
      <c r="U40" s="189"/>
      <c r="V40" s="189">
        <v>41760.0</v>
      </c>
      <c r="W40" s="189">
        <v>42124.0</v>
      </c>
      <c r="X40" s="189"/>
      <c r="Y40" s="189"/>
      <c r="Z40" s="189"/>
      <c r="AA40" s="189"/>
      <c r="AB40" s="189"/>
      <c r="AC40" s="189" t="s">
        <v>394</v>
      </c>
      <c r="AD40" s="189">
        <v>32889.0</v>
      </c>
      <c r="AE40" s="189" t="s">
        <v>2118</v>
      </c>
      <c r="AF40" s="189" t="s">
        <v>2119</v>
      </c>
      <c r="AG40" s="189"/>
      <c r="AH40" s="189">
        <v>9.99959002E9</v>
      </c>
      <c r="AI40" s="189"/>
      <c r="AJ40" s="189" t="s">
        <v>2120</v>
      </c>
      <c r="AK40" s="189" t="s">
        <v>2121</v>
      </c>
      <c r="AL40" s="192" t="s">
        <v>2122</v>
      </c>
      <c r="AM40" s="189" t="s">
        <v>2123</v>
      </c>
      <c r="AN40" s="189" t="s">
        <v>2124</v>
      </c>
      <c r="AO40" s="189"/>
      <c r="AP40" s="189"/>
      <c r="AQ40" s="190"/>
      <c r="AR40" s="189" t="s">
        <v>1840</v>
      </c>
      <c r="AS40" s="191">
        <v>42109.0</v>
      </c>
    </row>
    <row r="41" ht="14.25" customHeight="1">
      <c r="A41" s="188">
        <v>36.0</v>
      </c>
      <c r="B41" s="142" t="s">
        <v>2125</v>
      </c>
      <c r="C41" s="142" t="s">
        <v>2126</v>
      </c>
      <c r="D41" s="142" t="s">
        <v>2127</v>
      </c>
      <c r="E41" s="189" t="s">
        <v>82</v>
      </c>
      <c r="F41" s="189"/>
      <c r="G41" s="189" t="s">
        <v>1855</v>
      </c>
      <c r="H41" s="189"/>
      <c r="I41" s="189">
        <v>42151.0</v>
      </c>
      <c r="J41" s="189">
        <v>42061.0</v>
      </c>
      <c r="K41" s="189">
        <v>42150.0</v>
      </c>
      <c r="L41" s="189"/>
      <c r="M41" s="189"/>
      <c r="N41" s="189"/>
      <c r="O41" s="189"/>
      <c r="P41" s="189">
        <v>42151.0</v>
      </c>
      <c r="Q41" s="189">
        <v>42303.0</v>
      </c>
      <c r="R41" s="189"/>
      <c r="S41" s="189"/>
      <c r="T41" s="189"/>
      <c r="U41" s="189"/>
      <c r="V41" s="189"/>
      <c r="W41" s="189"/>
      <c r="X41" s="189"/>
      <c r="Y41" s="189"/>
      <c r="Z41" s="189"/>
      <c r="AA41" s="189"/>
      <c r="AB41" s="189"/>
      <c r="AC41" s="189" t="s">
        <v>394</v>
      </c>
      <c r="AD41" s="189">
        <v>33751.0</v>
      </c>
      <c r="AE41" s="189" t="s">
        <v>2128</v>
      </c>
      <c r="AF41" s="189" t="s">
        <v>2129</v>
      </c>
      <c r="AG41" s="189"/>
      <c r="AH41" s="189">
        <v>9.489950285E9</v>
      </c>
      <c r="AI41" s="189"/>
      <c r="AJ41" s="189" t="s">
        <v>1847</v>
      </c>
      <c r="AK41" s="189" t="s">
        <v>2130</v>
      </c>
      <c r="AL41" s="189" t="s">
        <v>2131</v>
      </c>
      <c r="AM41" s="189" t="s">
        <v>2132</v>
      </c>
      <c r="AN41" s="189" t="s">
        <v>2133</v>
      </c>
      <c r="AO41" s="189"/>
      <c r="AP41" s="189" t="s">
        <v>2134</v>
      </c>
      <c r="AQ41" s="190"/>
      <c r="AR41" s="189" t="s">
        <v>1241</v>
      </c>
      <c r="AS41" s="191"/>
    </row>
    <row r="42" ht="14.25" customHeight="1">
      <c r="A42" s="188">
        <v>37.0</v>
      </c>
      <c r="B42" s="142" t="s">
        <v>2135</v>
      </c>
      <c r="C42" s="142" t="s">
        <v>2136</v>
      </c>
      <c r="D42" s="142" t="s">
        <v>2137</v>
      </c>
      <c r="E42" s="189" t="s">
        <v>82</v>
      </c>
      <c r="F42" s="189"/>
      <c r="G42" s="189" t="s">
        <v>1855</v>
      </c>
      <c r="H42" s="189"/>
      <c r="I42" s="189">
        <v>42235.0</v>
      </c>
      <c r="J42" s="189">
        <v>42220.0</v>
      </c>
      <c r="K42" s="189">
        <v>42234.0</v>
      </c>
      <c r="L42" s="189"/>
      <c r="M42" s="189"/>
      <c r="N42" s="189"/>
      <c r="O42" s="189"/>
      <c r="P42" s="189">
        <v>42235.0</v>
      </c>
      <c r="Q42" s="189">
        <v>42387.0</v>
      </c>
      <c r="R42" s="189"/>
      <c r="S42" s="189"/>
      <c r="T42" s="189"/>
      <c r="U42" s="189"/>
      <c r="V42" s="189"/>
      <c r="W42" s="189"/>
      <c r="X42" s="189"/>
      <c r="Y42" s="189"/>
      <c r="Z42" s="189"/>
      <c r="AA42" s="189"/>
      <c r="AB42" s="189"/>
      <c r="AC42" s="189" t="s">
        <v>394</v>
      </c>
      <c r="AD42" s="189">
        <v>35271.0</v>
      </c>
      <c r="AE42" s="189" t="s">
        <v>2138</v>
      </c>
      <c r="AF42" s="189"/>
      <c r="AG42" s="189"/>
      <c r="AH42" s="189">
        <v>9.158245079E9</v>
      </c>
      <c r="AI42" s="189"/>
      <c r="AJ42" s="189" t="s">
        <v>1884</v>
      </c>
      <c r="AK42" s="189" t="s">
        <v>2139</v>
      </c>
      <c r="AL42" s="189" t="s">
        <v>2140</v>
      </c>
      <c r="AM42" s="189" t="s">
        <v>2141</v>
      </c>
      <c r="AN42" s="189" t="s">
        <v>2142</v>
      </c>
      <c r="AO42" s="189"/>
      <c r="AP42" s="189"/>
      <c r="AQ42" s="190"/>
      <c r="AR42" s="189" t="s">
        <v>1241</v>
      </c>
      <c r="AS42" s="191"/>
    </row>
    <row r="43" ht="14.25" customHeight="1">
      <c r="A43" s="188">
        <v>38.0</v>
      </c>
      <c r="B43" s="142" t="s">
        <v>449</v>
      </c>
      <c r="C43" s="142" t="s">
        <v>2143</v>
      </c>
      <c r="D43" s="142" t="s">
        <v>2144</v>
      </c>
      <c r="E43" s="189" t="s">
        <v>82</v>
      </c>
      <c r="F43" s="189"/>
      <c r="G43" s="189" t="s">
        <v>1832</v>
      </c>
      <c r="H43" s="189"/>
      <c r="I43" s="189">
        <v>41634.0</v>
      </c>
      <c r="J43" s="189">
        <v>41542.0</v>
      </c>
      <c r="K43" s="189">
        <v>41633.0</v>
      </c>
      <c r="L43" s="189"/>
      <c r="M43" s="189"/>
      <c r="N43" s="189"/>
      <c r="O43" s="189"/>
      <c r="P43" s="189">
        <v>41634.0</v>
      </c>
      <c r="Q43" s="189">
        <v>41784.0</v>
      </c>
      <c r="R43" s="189"/>
      <c r="S43" s="189"/>
      <c r="T43" s="189"/>
      <c r="U43" s="189"/>
      <c r="V43" s="189">
        <v>41785.0</v>
      </c>
      <c r="W43" s="189">
        <v>42149.0</v>
      </c>
      <c r="X43" s="189"/>
      <c r="Y43" s="189"/>
      <c r="Z43" s="189"/>
      <c r="AA43" s="189"/>
      <c r="AB43" s="189"/>
      <c r="AC43" s="189" t="s">
        <v>394</v>
      </c>
      <c r="AD43" s="189">
        <v>32988.0</v>
      </c>
      <c r="AE43" s="189" t="s">
        <v>2145</v>
      </c>
      <c r="AF43" s="189" t="s">
        <v>2146</v>
      </c>
      <c r="AG43" s="189"/>
      <c r="AH43" s="189">
        <v>9.263081626E9</v>
      </c>
      <c r="AI43" s="189"/>
      <c r="AJ43" s="189" t="s">
        <v>2147</v>
      </c>
      <c r="AK43" s="189" t="s">
        <v>2148</v>
      </c>
      <c r="AL43" s="192" t="s">
        <v>2149</v>
      </c>
      <c r="AM43" s="192" t="s">
        <v>2150</v>
      </c>
      <c r="AN43" s="192" t="s">
        <v>2151</v>
      </c>
      <c r="AO43" s="189"/>
      <c r="AP43" s="189"/>
      <c r="AQ43" s="190"/>
      <c r="AR43" s="189" t="s">
        <v>1241</v>
      </c>
      <c r="AS43" s="191">
        <v>42149.0</v>
      </c>
    </row>
    <row r="44" ht="14.25" customHeight="1">
      <c r="A44" s="188">
        <v>39.0</v>
      </c>
      <c r="B44" s="142" t="s">
        <v>2152</v>
      </c>
      <c r="C44" s="142" t="s">
        <v>2153</v>
      </c>
      <c r="D44" s="142" t="s">
        <v>76</v>
      </c>
      <c r="E44" s="189" t="s">
        <v>2047</v>
      </c>
      <c r="F44" s="189"/>
      <c r="G44" s="189" t="s">
        <v>1855</v>
      </c>
      <c r="H44" s="189"/>
      <c r="I44" s="189">
        <v>42275.0</v>
      </c>
      <c r="J44" s="189">
        <v>42260.0</v>
      </c>
      <c r="K44" s="189">
        <v>42274.0</v>
      </c>
      <c r="L44" s="189"/>
      <c r="M44" s="189"/>
      <c r="N44" s="189"/>
      <c r="O44" s="189"/>
      <c r="P44" s="189">
        <v>42275.0</v>
      </c>
      <c r="Q44" s="189">
        <v>42428.0</v>
      </c>
      <c r="R44" s="189"/>
      <c r="S44" s="189"/>
      <c r="T44" s="189"/>
      <c r="U44" s="189"/>
      <c r="V44" s="189"/>
      <c r="W44" s="189"/>
      <c r="X44" s="189"/>
      <c r="Y44" s="189"/>
      <c r="Z44" s="189"/>
      <c r="AA44" s="189"/>
      <c r="AB44" s="189"/>
      <c r="AC44" s="189" t="s">
        <v>394</v>
      </c>
      <c r="AD44" s="189">
        <v>33745.0</v>
      </c>
      <c r="AE44" s="189" t="s">
        <v>2154</v>
      </c>
      <c r="AF44" s="189"/>
      <c r="AG44" s="189"/>
      <c r="AH44" s="189"/>
      <c r="AI44" s="189"/>
      <c r="AJ44" s="189" t="s">
        <v>1834</v>
      </c>
      <c r="AK44" s="189" t="s">
        <v>2155</v>
      </c>
      <c r="AL44" s="189"/>
      <c r="AM44" s="189" t="s">
        <v>2156</v>
      </c>
      <c r="AN44" s="189" t="s">
        <v>2157</v>
      </c>
      <c r="AO44" s="189"/>
      <c r="AP44" s="189"/>
      <c r="AQ44" s="190"/>
      <c r="AR44" s="189" t="s">
        <v>983</v>
      </c>
      <c r="AS44" s="191"/>
    </row>
    <row r="45" ht="14.25" customHeight="1">
      <c r="A45" s="188">
        <v>40.0</v>
      </c>
      <c r="B45" s="142" t="s">
        <v>2158</v>
      </c>
      <c r="C45" s="142" t="s">
        <v>2159</v>
      </c>
      <c r="D45" s="142" t="s">
        <v>2160</v>
      </c>
      <c r="E45" s="189" t="s">
        <v>1881</v>
      </c>
      <c r="F45" s="189"/>
      <c r="G45" s="189" t="s">
        <v>1855</v>
      </c>
      <c r="H45" s="189"/>
      <c r="I45" s="189">
        <v>41580.0</v>
      </c>
      <c r="J45" s="189">
        <v>41852.0</v>
      </c>
      <c r="K45" s="189">
        <v>41944.0</v>
      </c>
      <c r="L45" s="189"/>
      <c r="M45" s="189"/>
      <c r="N45" s="189"/>
      <c r="O45" s="189"/>
      <c r="P45" s="189">
        <v>41580.0</v>
      </c>
      <c r="Q45" s="189">
        <v>42095.0</v>
      </c>
      <c r="R45" s="189"/>
      <c r="S45" s="189"/>
      <c r="T45" s="189"/>
      <c r="U45" s="189"/>
      <c r="V45" s="189"/>
      <c r="W45" s="189"/>
      <c r="X45" s="189"/>
      <c r="Y45" s="189"/>
      <c r="Z45" s="189"/>
      <c r="AA45" s="189"/>
      <c r="AB45" s="189"/>
      <c r="AC45" s="189" t="s">
        <v>394</v>
      </c>
      <c r="AD45" s="189">
        <v>34351.0</v>
      </c>
      <c r="AE45" s="189" t="s">
        <v>2161</v>
      </c>
      <c r="AF45" s="189"/>
      <c r="AG45" s="189"/>
      <c r="AH45" s="189">
        <v>9.068818582E9</v>
      </c>
      <c r="AI45" s="189"/>
      <c r="AJ45" s="189" t="s">
        <v>2162</v>
      </c>
      <c r="AK45" s="189" t="s">
        <v>2163</v>
      </c>
      <c r="AL45" s="189"/>
      <c r="AM45" s="189" t="s">
        <v>2164</v>
      </c>
      <c r="AN45" s="189" t="s">
        <v>2165</v>
      </c>
      <c r="AO45" s="189"/>
      <c r="AP45" s="189"/>
      <c r="AQ45" s="190"/>
      <c r="AR45" s="189" t="s">
        <v>1241</v>
      </c>
      <c r="AS45" s="191">
        <v>42095.0</v>
      </c>
    </row>
    <row r="46" ht="14.25" customHeight="1">
      <c r="A46" s="188">
        <v>41.0</v>
      </c>
      <c r="B46" s="142" t="s">
        <v>2166</v>
      </c>
      <c r="C46" s="142" t="s">
        <v>2167</v>
      </c>
      <c r="D46" s="142" t="s">
        <v>2168</v>
      </c>
      <c r="E46" s="189" t="s">
        <v>1881</v>
      </c>
      <c r="F46" s="189"/>
      <c r="G46" s="189" t="s">
        <v>1855</v>
      </c>
      <c r="H46" s="189"/>
      <c r="I46" s="189"/>
      <c r="J46" s="189">
        <v>42028.0</v>
      </c>
      <c r="K46" s="189">
        <v>42118.0</v>
      </c>
      <c r="L46" s="189"/>
      <c r="M46" s="189"/>
      <c r="N46" s="189"/>
      <c r="O46" s="189"/>
      <c r="P46" s="189">
        <v>42119.0</v>
      </c>
      <c r="Q46" s="189">
        <v>42272.0</v>
      </c>
      <c r="R46" s="189"/>
      <c r="S46" s="189"/>
      <c r="T46" s="189"/>
      <c r="U46" s="189"/>
      <c r="V46" s="189"/>
      <c r="W46" s="189"/>
      <c r="X46" s="189"/>
      <c r="Y46" s="189"/>
      <c r="Z46" s="189"/>
      <c r="AA46" s="189"/>
      <c r="AB46" s="189"/>
      <c r="AC46" s="189" t="s">
        <v>394</v>
      </c>
      <c r="AD46" s="189">
        <v>34246.0</v>
      </c>
      <c r="AE46" s="189" t="s">
        <v>2169</v>
      </c>
      <c r="AF46" s="189" t="s">
        <v>2170</v>
      </c>
      <c r="AG46" s="189"/>
      <c r="AH46" s="189">
        <v>9.094255587E9</v>
      </c>
      <c r="AI46" s="189"/>
      <c r="AJ46" s="189" t="s">
        <v>2171</v>
      </c>
      <c r="AK46" s="189" t="s">
        <v>2172</v>
      </c>
      <c r="AL46" s="189"/>
      <c r="AM46" s="189" t="s">
        <v>2173</v>
      </c>
      <c r="AN46" s="189" t="s">
        <v>2174</v>
      </c>
      <c r="AO46" s="189"/>
      <c r="AP46" s="189" t="s">
        <v>2175</v>
      </c>
      <c r="AQ46" s="190"/>
      <c r="AR46" s="189" t="s">
        <v>1241</v>
      </c>
      <c r="AS46" s="191"/>
    </row>
    <row r="47" ht="14.25" customHeight="1">
      <c r="A47" s="188">
        <v>42.0</v>
      </c>
      <c r="B47" s="142" t="s">
        <v>2176</v>
      </c>
      <c r="C47" s="142" t="s">
        <v>2177</v>
      </c>
      <c r="D47" s="142" t="s">
        <v>1560</v>
      </c>
      <c r="E47" s="189" t="s">
        <v>82</v>
      </c>
      <c r="F47" s="189"/>
      <c r="G47" s="189" t="s">
        <v>1855</v>
      </c>
      <c r="H47" s="189"/>
      <c r="I47" s="189">
        <v>42190.0</v>
      </c>
      <c r="J47" s="189">
        <v>42175.0</v>
      </c>
      <c r="K47" s="189">
        <v>42189.0</v>
      </c>
      <c r="L47" s="189"/>
      <c r="M47" s="189"/>
      <c r="N47" s="189"/>
      <c r="O47" s="189"/>
      <c r="P47" s="189">
        <v>42190.0</v>
      </c>
      <c r="Q47" s="189">
        <v>42343.0</v>
      </c>
      <c r="R47" s="189"/>
      <c r="S47" s="189"/>
      <c r="T47" s="189"/>
      <c r="U47" s="189"/>
      <c r="V47" s="189"/>
      <c r="W47" s="189"/>
      <c r="X47" s="189"/>
      <c r="Y47" s="189"/>
      <c r="Z47" s="189"/>
      <c r="AA47" s="189"/>
      <c r="AB47" s="189"/>
      <c r="AC47" s="189" t="s">
        <v>394</v>
      </c>
      <c r="AD47" s="189">
        <v>34680.0</v>
      </c>
      <c r="AE47" s="189" t="s">
        <v>2178</v>
      </c>
      <c r="AF47" s="189"/>
      <c r="AG47" s="189"/>
      <c r="AH47" s="189">
        <v>9.174364559E9</v>
      </c>
      <c r="AI47" s="189"/>
      <c r="AJ47" s="189" t="s">
        <v>643</v>
      </c>
      <c r="AK47" s="189" t="s">
        <v>2179</v>
      </c>
      <c r="AL47" s="189"/>
      <c r="AM47" s="189" t="s">
        <v>2180</v>
      </c>
      <c r="AN47" s="189" t="s">
        <v>2181</v>
      </c>
      <c r="AO47" s="189"/>
      <c r="AP47" s="189"/>
      <c r="AQ47" s="190"/>
      <c r="AR47" s="189" t="s">
        <v>1241</v>
      </c>
      <c r="AS47" s="191"/>
    </row>
    <row r="48" ht="14.25" customHeight="1">
      <c r="A48" s="188">
        <v>43.0</v>
      </c>
      <c r="B48" s="142" t="s">
        <v>2182</v>
      </c>
      <c r="C48" s="142" t="s">
        <v>2183</v>
      </c>
      <c r="D48" s="142" t="s">
        <v>1523</v>
      </c>
      <c r="E48" s="189" t="s">
        <v>2047</v>
      </c>
      <c r="F48" s="189"/>
      <c r="G48" s="189" t="s">
        <v>1855</v>
      </c>
      <c r="H48" s="189"/>
      <c r="I48" s="189">
        <v>42189.0</v>
      </c>
      <c r="J48" s="189">
        <v>42164.0</v>
      </c>
      <c r="K48" s="189">
        <v>42256.0</v>
      </c>
      <c r="L48" s="189"/>
      <c r="M48" s="189"/>
      <c r="N48" s="189"/>
      <c r="O48" s="189"/>
      <c r="P48" s="189">
        <v>42189.0</v>
      </c>
      <c r="Q48" s="189">
        <v>42341.0</v>
      </c>
      <c r="R48" s="189"/>
      <c r="S48" s="189"/>
      <c r="T48" s="189"/>
      <c r="U48" s="189"/>
      <c r="V48" s="189"/>
      <c r="W48" s="189"/>
      <c r="X48" s="189"/>
      <c r="Y48" s="189"/>
      <c r="Z48" s="189"/>
      <c r="AA48" s="189"/>
      <c r="AB48" s="189"/>
      <c r="AC48" s="189" t="s">
        <v>394</v>
      </c>
      <c r="AD48" s="189">
        <v>34712.0</v>
      </c>
      <c r="AE48" s="189"/>
      <c r="AF48" s="189" t="s">
        <v>2184</v>
      </c>
      <c r="AG48" s="189"/>
      <c r="AH48" s="189">
        <v>9.06958514E9</v>
      </c>
      <c r="AI48" s="189"/>
      <c r="AJ48" s="189" t="s">
        <v>2185</v>
      </c>
      <c r="AK48" s="189" t="s">
        <v>2186</v>
      </c>
      <c r="AL48" s="189"/>
      <c r="AM48" s="189" t="s">
        <v>2187</v>
      </c>
      <c r="AN48" s="189" t="s">
        <v>2188</v>
      </c>
      <c r="AO48" s="189"/>
      <c r="AP48" s="189" t="s">
        <v>2189</v>
      </c>
      <c r="AQ48" s="190"/>
      <c r="AR48" s="189" t="s">
        <v>1241</v>
      </c>
      <c r="AS48" s="191"/>
    </row>
    <row r="49" ht="14.25" customHeight="1">
      <c r="A49" s="188">
        <v>44.0</v>
      </c>
      <c r="B49" s="142" t="s">
        <v>2190</v>
      </c>
      <c r="C49" s="142" t="s">
        <v>1987</v>
      </c>
      <c r="D49" s="142" t="s">
        <v>2191</v>
      </c>
      <c r="E49" s="189" t="s">
        <v>1881</v>
      </c>
      <c r="F49" s="189"/>
      <c r="G49" s="189" t="s">
        <v>1832</v>
      </c>
      <c r="H49" s="189"/>
      <c r="I49" s="189">
        <v>41410.0</v>
      </c>
      <c r="J49" s="189">
        <v>41291.0</v>
      </c>
      <c r="K49" s="189">
        <v>41381.0</v>
      </c>
      <c r="L49" s="189"/>
      <c r="M49" s="189"/>
      <c r="N49" s="189"/>
      <c r="O49" s="189"/>
      <c r="P49" s="189">
        <v>41410.0</v>
      </c>
      <c r="Q49" s="189">
        <v>41563.0</v>
      </c>
      <c r="R49" s="189"/>
      <c r="S49" s="189"/>
      <c r="T49" s="189"/>
      <c r="U49" s="189"/>
      <c r="V49" s="189">
        <v>41579.0</v>
      </c>
      <c r="W49" s="189">
        <v>42309.0</v>
      </c>
      <c r="X49" s="189"/>
      <c r="Y49" s="189"/>
      <c r="Z49" s="189"/>
      <c r="AA49" s="189"/>
      <c r="AB49" s="189"/>
      <c r="AC49" s="189" t="s">
        <v>394</v>
      </c>
      <c r="AD49" s="189">
        <v>33733.0</v>
      </c>
      <c r="AE49" s="189" t="s">
        <v>2192</v>
      </c>
      <c r="AF49" s="189" t="s">
        <v>2193</v>
      </c>
      <c r="AG49" s="189"/>
      <c r="AH49" s="189" t="s">
        <v>2194</v>
      </c>
      <c r="AI49" s="189"/>
      <c r="AJ49" s="189" t="s">
        <v>2195</v>
      </c>
      <c r="AK49" s="189" t="s">
        <v>2196</v>
      </c>
      <c r="AL49" s="189" t="s">
        <v>2197</v>
      </c>
      <c r="AM49" s="189" t="s">
        <v>2198</v>
      </c>
      <c r="AN49" s="189" t="s">
        <v>2199</v>
      </c>
      <c r="AO49" s="189"/>
      <c r="AP49" s="189"/>
      <c r="AQ49" s="190"/>
      <c r="AR49" s="189" t="s">
        <v>1840</v>
      </c>
      <c r="AS49" s="191">
        <v>42139.0</v>
      </c>
    </row>
    <row r="50" ht="14.25" customHeight="1">
      <c r="A50" s="188">
        <v>45.0</v>
      </c>
      <c r="B50" s="142" t="s">
        <v>2200</v>
      </c>
      <c r="C50" s="142" t="s">
        <v>2201</v>
      </c>
      <c r="D50" s="142" t="s">
        <v>84</v>
      </c>
      <c r="E50" s="189" t="s">
        <v>82</v>
      </c>
      <c r="F50" s="189"/>
      <c r="G50" s="189" t="s">
        <v>1855</v>
      </c>
      <c r="H50" s="189"/>
      <c r="I50" s="189">
        <v>41794.0</v>
      </c>
      <c r="J50" s="189">
        <v>41794.0</v>
      </c>
      <c r="K50" s="189">
        <v>41886.0</v>
      </c>
      <c r="L50" s="189"/>
      <c r="M50" s="189"/>
      <c r="N50" s="189"/>
      <c r="O50" s="189"/>
      <c r="P50" s="189">
        <v>41887.0</v>
      </c>
      <c r="Q50" s="189">
        <v>42039.0</v>
      </c>
      <c r="R50" s="189"/>
      <c r="S50" s="189"/>
      <c r="T50" s="189"/>
      <c r="U50" s="189"/>
      <c r="V50" s="189"/>
      <c r="W50" s="189"/>
      <c r="X50" s="189"/>
      <c r="Y50" s="189"/>
      <c r="Z50" s="189"/>
      <c r="AA50" s="189"/>
      <c r="AB50" s="189"/>
      <c r="AC50" s="189" t="s">
        <v>394</v>
      </c>
      <c r="AD50" s="189">
        <v>34306.0</v>
      </c>
      <c r="AE50" s="189"/>
      <c r="AF50" s="189" t="s">
        <v>2202</v>
      </c>
      <c r="AG50" s="189"/>
      <c r="AH50" s="189">
        <v>9.997908563E9</v>
      </c>
      <c r="AI50" s="189"/>
      <c r="AJ50" s="189" t="s">
        <v>2203</v>
      </c>
      <c r="AK50" s="189" t="s">
        <v>2204</v>
      </c>
      <c r="AL50" s="192"/>
      <c r="AM50" s="192" t="s">
        <v>2205</v>
      </c>
      <c r="AN50" s="192" t="s">
        <v>2206</v>
      </c>
      <c r="AO50" s="189"/>
      <c r="AP50" s="189"/>
      <c r="AQ50" s="190"/>
      <c r="AR50" s="189" t="s">
        <v>983</v>
      </c>
      <c r="AS50" s="191"/>
    </row>
    <row r="51" ht="14.25" customHeight="1">
      <c r="A51" s="188">
        <v>46.0</v>
      </c>
      <c r="B51" s="142" t="s">
        <v>781</v>
      </c>
      <c r="C51" s="142" t="s">
        <v>2207</v>
      </c>
      <c r="D51" s="142" t="s">
        <v>2208</v>
      </c>
      <c r="E51" s="189" t="s">
        <v>1881</v>
      </c>
      <c r="F51" s="189"/>
      <c r="G51" s="189" t="s">
        <v>1855</v>
      </c>
      <c r="H51" s="189"/>
      <c r="I51" s="189">
        <v>42189.0</v>
      </c>
      <c r="J51" s="189">
        <v>42110.0</v>
      </c>
      <c r="K51" s="189">
        <v>42567.0</v>
      </c>
      <c r="L51" s="189"/>
      <c r="M51" s="189"/>
      <c r="N51" s="189"/>
      <c r="O51" s="189"/>
      <c r="P51" s="189">
        <v>42189.0</v>
      </c>
      <c r="Q51" s="189">
        <v>42341.0</v>
      </c>
      <c r="R51" s="189"/>
      <c r="S51" s="189"/>
      <c r="T51" s="189"/>
      <c r="U51" s="189"/>
      <c r="V51" s="189"/>
      <c r="W51" s="189"/>
      <c r="X51" s="189"/>
      <c r="Y51" s="189"/>
      <c r="Z51" s="189"/>
      <c r="AA51" s="189"/>
      <c r="AB51" s="189"/>
      <c r="AC51" s="189" t="s">
        <v>394</v>
      </c>
      <c r="AD51" s="189">
        <v>34488.0</v>
      </c>
      <c r="AE51" s="189" t="s">
        <v>2209</v>
      </c>
      <c r="AF51" s="189" t="s">
        <v>2210</v>
      </c>
      <c r="AG51" s="189"/>
      <c r="AH51" s="189" t="s">
        <v>2211</v>
      </c>
      <c r="AI51" s="189"/>
      <c r="AJ51" s="189" t="s">
        <v>1884</v>
      </c>
      <c r="AK51" s="189" t="s">
        <v>2212</v>
      </c>
      <c r="AL51" s="189"/>
      <c r="AM51" s="189" t="s">
        <v>2213</v>
      </c>
      <c r="AN51" s="189" t="s">
        <v>2214</v>
      </c>
      <c r="AO51" s="189"/>
      <c r="AP51" s="189"/>
      <c r="AQ51" s="190"/>
      <c r="AR51" s="189" t="s">
        <v>1241</v>
      </c>
      <c r="AS51" s="191"/>
    </row>
    <row r="52" ht="14.25" customHeight="1">
      <c r="A52" s="188">
        <v>47.0</v>
      </c>
      <c r="B52" s="142" t="s">
        <v>2215</v>
      </c>
      <c r="C52" s="142" t="s">
        <v>2216</v>
      </c>
      <c r="D52" s="142" t="s">
        <v>2217</v>
      </c>
      <c r="E52" s="189" t="s">
        <v>1881</v>
      </c>
      <c r="F52" s="189"/>
      <c r="G52" s="189" t="s">
        <v>1832</v>
      </c>
      <c r="H52" s="189"/>
      <c r="I52" s="189">
        <v>41862.0</v>
      </c>
      <c r="J52" s="189">
        <v>41769.0</v>
      </c>
      <c r="K52" s="189">
        <v>41861.0</v>
      </c>
      <c r="L52" s="189"/>
      <c r="M52" s="189"/>
      <c r="N52" s="189"/>
      <c r="O52" s="189"/>
      <c r="P52" s="189">
        <v>41862.0</v>
      </c>
      <c r="Q52" s="189">
        <v>42014.0</v>
      </c>
      <c r="R52" s="189"/>
      <c r="S52" s="189"/>
      <c r="T52" s="189"/>
      <c r="U52" s="189"/>
      <c r="V52" s="189">
        <v>42015.0</v>
      </c>
      <c r="W52" s="189">
        <v>42379.0</v>
      </c>
      <c r="X52" s="189"/>
      <c r="Y52" s="189"/>
      <c r="Z52" s="189"/>
      <c r="AA52" s="189"/>
      <c r="AB52" s="189"/>
      <c r="AC52" s="189" t="s">
        <v>394</v>
      </c>
      <c r="AD52" s="189">
        <v>34826.0</v>
      </c>
      <c r="AE52" s="189" t="s">
        <v>2218</v>
      </c>
      <c r="AF52" s="189" t="s">
        <v>2219</v>
      </c>
      <c r="AG52" s="189"/>
      <c r="AH52" s="189">
        <v>9.461319742E9</v>
      </c>
      <c r="AI52" s="189"/>
      <c r="AJ52" s="189" t="s">
        <v>1961</v>
      </c>
      <c r="AK52" s="189" t="s">
        <v>2220</v>
      </c>
      <c r="AL52" s="192" t="s">
        <v>2221</v>
      </c>
      <c r="AM52" s="192" t="s">
        <v>2222</v>
      </c>
      <c r="AN52" s="192" t="s">
        <v>2223</v>
      </c>
      <c r="AO52" s="192"/>
      <c r="AP52" s="189"/>
      <c r="AQ52" s="190"/>
      <c r="AR52" s="189" t="s">
        <v>2224</v>
      </c>
      <c r="AS52" s="191"/>
    </row>
    <row r="53" ht="14.25" customHeight="1">
      <c r="A53" s="188">
        <v>48.0</v>
      </c>
      <c r="B53" s="142" t="s">
        <v>2225</v>
      </c>
      <c r="C53" s="142" t="s">
        <v>2226</v>
      </c>
      <c r="D53" s="142" t="s">
        <v>2227</v>
      </c>
      <c r="E53" s="189" t="s">
        <v>2047</v>
      </c>
      <c r="F53" s="189"/>
      <c r="G53" s="189" t="s">
        <v>1832</v>
      </c>
      <c r="H53" s="189"/>
      <c r="I53" s="189">
        <v>41410.0</v>
      </c>
      <c r="J53" s="189">
        <v>41291.0</v>
      </c>
      <c r="K53" s="189">
        <v>41381.0</v>
      </c>
      <c r="L53" s="189"/>
      <c r="M53" s="189"/>
      <c r="N53" s="189"/>
      <c r="O53" s="189"/>
      <c r="P53" s="189">
        <v>41410.0</v>
      </c>
      <c r="Q53" s="189">
        <v>41563.0</v>
      </c>
      <c r="R53" s="189"/>
      <c r="S53" s="189"/>
      <c r="T53" s="189"/>
      <c r="U53" s="189"/>
      <c r="V53" s="189">
        <v>41579.0</v>
      </c>
      <c r="W53" s="189">
        <v>42309.0</v>
      </c>
      <c r="X53" s="189"/>
      <c r="Y53" s="189"/>
      <c r="Z53" s="189"/>
      <c r="AA53" s="189"/>
      <c r="AB53" s="189"/>
      <c r="AC53" s="189" t="s">
        <v>394</v>
      </c>
      <c r="AD53" s="189">
        <v>33976.0</v>
      </c>
      <c r="AE53" s="189" t="s">
        <v>2228</v>
      </c>
      <c r="AF53" s="189"/>
      <c r="AG53" s="189"/>
      <c r="AH53" s="189">
        <v>9.307586799E9</v>
      </c>
      <c r="AI53" s="189"/>
      <c r="AJ53" s="189" t="s">
        <v>2229</v>
      </c>
      <c r="AK53" s="189" t="s">
        <v>2230</v>
      </c>
      <c r="AL53" s="189"/>
      <c r="AM53" s="189" t="s">
        <v>2231</v>
      </c>
      <c r="AN53" s="189" t="s">
        <v>2232</v>
      </c>
      <c r="AO53" s="189"/>
      <c r="AP53" s="189"/>
      <c r="AQ53" s="190"/>
      <c r="AR53" s="189" t="s">
        <v>2224</v>
      </c>
      <c r="AS53" s="191">
        <v>42145.0</v>
      </c>
    </row>
    <row r="54" ht="14.25" customHeight="1">
      <c r="A54" s="188">
        <v>49.0</v>
      </c>
      <c r="B54" s="142" t="s">
        <v>2233</v>
      </c>
      <c r="C54" s="142" t="s">
        <v>2234</v>
      </c>
      <c r="D54" s="142" t="s">
        <v>2235</v>
      </c>
      <c r="E54" s="189" t="s">
        <v>577</v>
      </c>
      <c r="F54" s="189"/>
      <c r="G54" s="189" t="s">
        <v>1832</v>
      </c>
      <c r="H54" s="189"/>
      <c r="I54" s="189">
        <v>41634.0</v>
      </c>
      <c r="J54" s="189">
        <v>41542.0</v>
      </c>
      <c r="K54" s="189">
        <v>41633.0</v>
      </c>
      <c r="L54" s="189"/>
      <c r="M54" s="189"/>
      <c r="N54" s="189"/>
      <c r="O54" s="189"/>
      <c r="P54" s="189">
        <v>41634.0</v>
      </c>
      <c r="Q54" s="189">
        <v>41784.0</v>
      </c>
      <c r="R54" s="189"/>
      <c r="S54" s="189"/>
      <c r="T54" s="189"/>
      <c r="U54" s="189"/>
      <c r="V54" s="189">
        <v>41786.0</v>
      </c>
      <c r="W54" s="189">
        <v>42515.0</v>
      </c>
      <c r="X54" s="189"/>
      <c r="Y54" s="189"/>
      <c r="Z54" s="189"/>
      <c r="AA54" s="189"/>
      <c r="AB54" s="189"/>
      <c r="AC54" s="189" t="s">
        <v>394</v>
      </c>
      <c r="AD54" s="189">
        <v>33373.0</v>
      </c>
      <c r="AE54" s="189" t="s">
        <v>2236</v>
      </c>
      <c r="AF54" s="189"/>
      <c r="AG54" s="189"/>
      <c r="AH54" s="189">
        <v>9.161777169E9</v>
      </c>
      <c r="AI54" s="189"/>
      <c r="AJ54" s="189" t="s">
        <v>2237</v>
      </c>
      <c r="AK54" s="189" t="s">
        <v>2238</v>
      </c>
      <c r="AL54" s="192" t="s">
        <v>2239</v>
      </c>
      <c r="AM54" s="192" t="s">
        <v>2240</v>
      </c>
      <c r="AN54" s="192" t="s">
        <v>2241</v>
      </c>
      <c r="AO54" s="189"/>
      <c r="AP54" s="189"/>
      <c r="AQ54" s="190"/>
      <c r="AR54" s="189" t="s">
        <v>1840</v>
      </c>
      <c r="AS54" s="191">
        <v>42214.0</v>
      </c>
    </row>
    <row r="55" ht="14.25" customHeight="1">
      <c r="A55" s="188">
        <v>50.0</v>
      </c>
      <c r="B55" s="142" t="s">
        <v>2242</v>
      </c>
      <c r="C55" s="142" t="s">
        <v>1215</v>
      </c>
      <c r="D55" s="142" t="s">
        <v>2243</v>
      </c>
      <c r="E55" s="189" t="s">
        <v>82</v>
      </c>
      <c r="F55" s="189"/>
      <c r="G55" s="189" t="s">
        <v>1855</v>
      </c>
      <c r="H55" s="189"/>
      <c r="I55" s="189">
        <v>42189.0</v>
      </c>
      <c r="J55" s="189">
        <v>42143.0</v>
      </c>
      <c r="K55" s="189">
        <v>42235.0</v>
      </c>
      <c r="L55" s="189"/>
      <c r="M55" s="189"/>
      <c r="N55" s="189"/>
      <c r="O55" s="189"/>
      <c r="P55" s="189">
        <v>42189.0</v>
      </c>
      <c r="Q55" s="189">
        <v>42341.0</v>
      </c>
      <c r="R55" s="189"/>
      <c r="S55" s="189"/>
      <c r="T55" s="189"/>
      <c r="U55" s="189"/>
      <c r="V55" s="189"/>
      <c r="W55" s="189"/>
      <c r="X55" s="189"/>
      <c r="Y55" s="189"/>
      <c r="Z55" s="189"/>
      <c r="AA55" s="189"/>
      <c r="AB55" s="189"/>
      <c r="AC55" s="189" t="s">
        <v>394</v>
      </c>
      <c r="AD55" s="189">
        <v>33248.0</v>
      </c>
      <c r="AE55" s="189" t="s">
        <v>2244</v>
      </c>
      <c r="AF55" s="189" t="s">
        <v>2245</v>
      </c>
      <c r="AG55" s="189"/>
      <c r="AH55" s="189"/>
      <c r="AI55" s="189"/>
      <c r="AJ55" s="189"/>
      <c r="AK55" s="189"/>
      <c r="AL55" s="189" t="s">
        <v>2246</v>
      </c>
      <c r="AM55" s="189" t="s">
        <v>2247</v>
      </c>
      <c r="AN55" s="189" t="s">
        <v>2248</v>
      </c>
      <c r="AO55" s="189"/>
      <c r="AP55" s="189"/>
      <c r="AQ55" s="190"/>
      <c r="AR55" s="189" t="s">
        <v>1241</v>
      </c>
      <c r="AS55" s="191"/>
    </row>
    <row r="56" ht="14.25" customHeight="1">
      <c r="A56" s="188">
        <v>51.0</v>
      </c>
      <c r="B56" s="142" t="s">
        <v>2217</v>
      </c>
      <c r="C56" s="142" t="s">
        <v>2249</v>
      </c>
      <c r="D56" s="142" t="s">
        <v>2250</v>
      </c>
      <c r="E56" s="189" t="s">
        <v>1881</v>
      </c>
      <c r="F56" s="189"/>
      <c r="G56" s="189" t="s">
        <v>1855</v>
      </c>
      <c r="H56" s="189"/>
      <c r="I56" s="189">
        <v>42301.0</v>
      </c>
      <c r="J56" s="189">
        <v>42286.0</v>
      </c>
      <c r="K56" s="189">
        <v>42300.0</v>
      </c>
      <c r="L56" s="189"/>
      <c r="M56" s="189"/>
      <c r="N56" s="189"/>
      <c r="O56" s="189"/>
      <c r="P56" s="189">
        <v>42301.0</v>
      </c>
      <c r="Q56" s="189">
        <v>42087.0</v>
      </c>
      <c r="R56" s="189"/>
      <c r="S56" s="189"/>
      <c r="T56" s="189"/>
      <c r="U56" s="189"/>
      <c r="V56" s="189"/>
      <c r="W56" s="189"/>
      <c r="X56" s="189"/>
      <c r="Y56" s="189"/>
      <c r="Z56" s="189"/>
      <c r="AA56" s="189"/>
      <c r="AB56" s="189"/>
      <c r="AC56" s="189" t="s">
        <v>394</v>
      </c>
      <c r="AD56" s="189"/>
      <c r="AE56" s="189"/>
      <c r="AF56" s="189"/>
      <c r="AG56" s="189"/>
      <c r="AH56" s="189"/>
      <c r="AI56" s="189"/>
      <c r="AJ56" s="189"/>
      <c r="AK56" s="189"/>
      <c r="AL56" s="192"/>
      <c r="AM56" s="192"/>
      <c r="AN56" s="192"/>
      <c r="AO56" s="192"/>
      <c r="AP56" s="189"/>
      <c r="AQ56" s="190"/>
      <c r="AR56" s="189" t="s">
        <v>2251</v>
      </c>
      <c r="AS56" s="191"/>
    </row>
    <row r="57" ht="14.25" customHeight="1">
      <c r="A57" s="188">
        <v>52.0</v>
      </c>
      <c r="B57" s="142" t="s">
        <v>2252</v>
      </c>
      <c r="C57" s="142" t="s">
        <v>2253</v>
      </c>
      <c r="D57" s="142" t="s">
        <v>2254</v>
      </c>
      <c r="E57" s="189" t="s">
        <v>717</v>
      </c>
      <c r="F57" s="189"/>
      <c r="G57" s="189" t="s">
        <v>1832</v>
      </c>
      <c r="H57" s="189"/>
      <c r="I57" s="189">
        <v>41275.0</v>
      </c>
      <c r="J57" s="189">
        <v>41171.0</v>
      </c>
      <c r="K57" s="189">
        <v>41262.0</v>
      </c>
      <c r="L57" s="189"/>
      <c r="M57" s="189"/>
      <c r="N57" s="189"/>
      <c r="O57" s="189"/>
      <c r="P57" s="189">
        <v>41275.0</v>
      </c>
      <c r="Q57" s="189">
        <v>41425.0</v>
      </c>
      <c r="R57" s="189"/>
      <c r="S57" s="189"/>
      <c r="T57" s="189"/>
      <c r="U57" s="189"/>
      <c r="V57" s="189">
        <v>41441.0</v>
      </c>
      <c r="W57" s="189">
        <v>42171.0</v>
      </c>
      <c r="X57" s="189"/>
      <c r="Y57" s="189"/>
      <c r="Z57" s="189"/>
      <c r="AA57" s="189"/>
      <c r="AB57" s="189"/>
      <c r="AC57" s="189" t="s">
        <v>394</v>
      </c>
      <c r="AD57" s="189">
        <v>33191.0</v>
      </c>
      <c r="AE57" s="189" t="s">
        <v>2255</v>
      </c>
      <c r="AF57" s="189" t="s">
        <v>2256</v>
      </c>
      <c r="AG57" s="189"/>
      <c r="AH57" s="189" t="s">
        <v>2257</v>
      </c>
      <c r="AI57" s="189"/>
      <c r="AJ57" s="189" t="s">
        <v>2258</v>
      </c>
      <c r="AK57" s="189" t="s">
        <v>2259</v>
      </c>
      <c r="AL57" s="189" t="s">
        <v>2260</v>
      </c>
      <c r="AM57" s="189" t="s">
        <v>2261</v>
      </c>
      <c r="AN57" s="189" t="s">
        <v>2262</v>
      </c>
      <c r="AO57" s="189"/>
      <c r="AP57" s="189"/>
      <c r="AQ57" s="190"/>
      <c r="AR57" s="189" t="s">
        <v>1241</v>
      </c>
      <c r="AS57" s="191">
        <v>42171.0</v>
      </c>
    </row>
    <row r="58" ht="14.25" customHeight="1">
      <c r="A58" s="188">
        <v>53.0</v>
      </c>
      <c r="B58" s="142" t="s">
        <v>2263</v>
      </c>
      <c r="C58" s="142" t="s">
        <v>2264</v>
      </c>
      <c r="D58" s="142" t="s">
        <v>2265</v>
      </c>
      <c r="E58" s="189" t="s">
        <v>160</v>
      </c>
      <c r="F58" s="189"/>
      <c r="G58" s="189" t="s">
        <v>57</v>
      </c>
      <c r="H58" s="189"/>
      <c r="I58" s="189">
        <v>38580.0</v>
      </c>
      <c r="J58" s="189"/>
      <c r="K58" s="189"/>
      <c r="L58" s="189"/>
      <c r="M58" s="189"/>
      <c r="N58" s="189"/>
      <c r="O58" s="189"/>
      <c r="P58" s="189">
        <v>38580.0</v>
      </c>
      <c r="Q58" s="189">
        <v>39067.0</v>
      </c>
      <c r="R58" s="189"/>
      <c r="S58" s="189"/>
      <c r="T58" s="189"/>
      <c r="U58" s="189"/>
      <c r="V58" s="189"/>
      <c r="W58" s="189"/>
      <c r="X58" s="189"/>
      <c r="Y58" s="189"/>
      <c r="Z58" s="189"/>
      <c r="AA58" s="189"/>
      <c r="AB58" s="189">
        <v>39083.0</v>
      </c>
      <c r="AC58" s="189" t="s">
        <v>217</v>
      </c>
      <c r="AD58" s="189">
        <v>25537.0</v>
      </c>
      <c r="AE58" s="189" t="s">
        <v>2266</v>
      </c>
      <c r="AF58" s="189" t="s">
        <v>2267</v>
      </c>
      <c r="AG58" s="189"/>
      <c r="AH58" s="189">
        <v>9.284468435E9</v>
      </c>
      <c r="AI58" s="189"/>
      <c r="AJ58" s="189" t="s">
        <v>2268</v>
      </c>
      <c r="AK58" s="189" t="s">
        <v>2269</v>
      </c>
      <c r="AL58" s="189" t="s">
        <v>2270</v>
      </c>
      <c r="AM58" s="189" t="s">
        <v>2271</v>
      </c>
      <c r="AN58" s="189" t="s">
        <v>2272</v>
      </c>
      <c r="AO58" s="189"/>
      <c r="AP58" s="189" t="s">
        <v>2273</v>
      </c>
      <c r="AQ58" s="190"/>
      <c r="AR58" s="189" t="s">
        <v>1840</v>
      </c>
      <c r="AS58" s="191">
        <v>42180.0</v>
      </c>
    </row>
    <row r="59" ht="14.25" customHeight="1">
      <c r="A59" s="188">
        <v>54.0</v>
      </c>
      <c r="B59" s="142" t="s">
        <v>2274</v>
      </c>
      <c r="C59" s="142" t="s">
        <v>2275</v>
      </c>
      <c r="D59" s="142" t="s">
        <v>2276</v>
      </c>
      <c r="E59" s="189" t="s">
        <v>1881</v>
      </c>
      <c r="F59" s="189"/>
      <c r="G59" s="189" t="s">
        <v>1855</v>
      </c>
      <c r="H59" s="189"/>
      <c r="I59" s="189">
        <v>42189.0</v>
      </c>
      <c r="J59" s="189">
        <v>42117.0</v>
      </c>
      <c r="K59" s="189">
        <v>42208.0</v>
      </c>
      <c r="L59" s="189"/>
      <c r="M59" s="189"/>
      <c r="N59" s="189"/>
      <c r="O59" s="189"/>
      <c r="P59" s="189">
        <v>42189.0</v>
      </c>
      <c r="Q59" s="189">
        <v>42341.0</v>
      </c>
      <c r="R59" s="189"/>
      <c r="S59" s="189"/>
      <c r="T59" s="189"/>
      <c r="U59" s="189"/>
      <c r="V59" s="189"/>
      <c r="W59" s="189"/>
      <c r="X59" s="189"/>
      <c r="Y59" s="189"/>
      <c r="Z59" s="189"/>
      <c r="AA59" s="189"/>
      <c r="AB59" s="189"/>
      <c r="AC59" s="189" t="s">
        <v>394</v>
      </c>
      <c r="AD59" s="189">
        <v>33794.0</v>
      </c>
      <c r="AE59" s="189" t="s">
        <v>2277</v>
      </c>
      <c r="AF59" s="189" t="s">
        <v>2278</v>
      </c>
      <c r="AG59" s="189"/>
      <c r="AH59" s="189">
        <v>9.361290557E9</v>
      </c>
      <c r="AI59" s="189"/>
      <c r="AJ59" s="189" t="s">
        <v>1884</v>
      </c>
      <c r="AK59" s="189" t="s">
        <v>2279</v>
      </c>
      <c r="AL59" s="189"/>
      <c r="AM59" s="189" t="s">
        <v>2280</v>
      </c>
      <c r="AN59" s="189" t="s">
        <v>2281</v>
      </c>
      <c r="AO59" s="189"/>
      <c r="AP59" s="189"/>
      <c r="AQ59" s="190"/>
      <c r="AR59" s="189" t="s">
        <v>1241</v>
      </c>
      <c r="AS59" s="191"/>
    </row>
    <row r="60" ht="14.25" customHeight="1">
      <c r="A60" s="188">
        <v>55.0</v>
      </c>
      <c r="B60" s="142" t="s">
        <v>2282</v>
      </c>
      <c r="C60" s="142" t="s">
        <v>2283</v>
      </c>
      <c r="D60" s="142" t="s">
        <v>2284</v>
      </c>
      <c r="E60" s="189" t="s">
        <v>82</v>
      </c>
      <c r="F60" s="189"/>
      <c r="G60" s="189" t="s">
        <v>419</v>
      </c>
      <c r="H60" s="189"/>
      <c r="I60" s="189"/>
      <c r="J60" s="189">
        <v>41976.0</v>
      </c>
      <c r="K60" s="189">
        <v>42066.0</v>
      </c>
      <c r="L60" s="189"/>
      <c r="M60" s="189"/>
      <c r="N60" s="189"/>
      <c r="O60" s="189"/>
      <c r="P60" s="189">
        <v>42067.0</v>
      </c>
      <c r="Q60" s="189">
        <v>42220.0</v>
      </c>
      <c r="R60" s="189"/>
      <c r="S60" s="189"/>
      <c r="T60" s="189"/>
      <c r="U60" s="189"/>
      <c r="V60" s="189"/>
      <c r="W60" s="189"/>
      <c r="X60" s="189"/>
      <c r="Y60" s="189"/>
      <c r="Z60" s="189"/>
      <c r="AA60" s="189"/>
      <c r="AB60" s="189"/>
      <c r="AC60" s="189" t="s">
        <v>394</v>
      </c>
      <c r="AD60" s="189">
        <v>34868.0</v>
      </c>
      <c r="AE60" s="189" t="s">
        <v>2285</v>
      </c>
      <c r="AF60" s="189"/>
      <c r="AG60" s="189"/>
      <c r="AH60" s="189">
        <v>9.463315755E9</v>
      </c>
      <c r="AI60" s="189"/>
      <c r="AJ60" s="189" t="s">
        <v>1884</v>
      </c>
      <c r="AK60" s="189" t="s">
        <v>2286</v>
      </c>
      <c r="AL60" s="189"/>
      <c r="AM60" s="189" t="s">
        <v>2287</v>
      </c>
      <c r="AN60" s="189" t="s">
        <v>2288</v>
      </c>
      <c r="AO60" s="189"/>
      <c r="AP60" s="189"/>
      <c r="AQ60" s="190"/>
      <c r="AR60" s="189" t="s">
        <v>1241</v>
      </c>
      <c r="AS60" s="191"/>
    </row>
    <row r="61" ht="14.25" customHeight="1">
      <c r="A61" s="188">
        <v>56.0</v>
      </c>
      <c r="B61" s="142" t="s">
        <v>2289</v>
      </c>
      <c r="C61" s="142" t="s">
        <v>188</v>
      </c>
      <c r="D61" s="142" t="s">
        <v>638</v>
      </c>
      <c r="E61" s="189" t="s">
        <v>82</v>
      </c>
      <c r="F61" s="189"/>
      <c r="G61" s="189" t="s">
        <v>1855</v>
      </c>
      <c r="H61" s="189"/>
      <c r="I61" s="189">
        <v>41671.0</v>
      </c>
      <c r="J61" s="189">
        <v>41671.0</v>
      </c>
      <c r="K61" s="189">
        <v>41760.0</v>
      </c>
      <c r="L61" s="189"/>
      <c r="M61" s="189"/>
      <c r="N61" s="189"/>
      <c r="O61" s="189"/>
      <c r="P61" s="189">
        <v>41761.0</v>
      </c>
      <c r="Q61" s="189">
        <v>41913.0</v>
      </c>
      <c r="R61" s="189"/>
      <c r="S61" s="189"/>
      <c r="T61" s="189"/>
      <c r="U61" s="189"/>
      <c r="V61" s="189"/>
      <c r="W61" s="189"/>
      <c r="X61" s="189"/>
      <c r="Y61" s="189"/>
      <c r="Z61" s="189"/>
      <c r="AA61" s="189"/>
      <c r="AB61" s="189"/>
      <c r="AC61" s="189" t="s">
        <v>394</v>
      </c>
      <c r="AD61" s="189">
        <v>33797.0</v>
      </c>
      <c r="AE61" s="189" t="s">
        <v>2290</v>
      </c>
      <c r="AF61" s="189" t="s">
        <v>2291</v>
      </c>
      <c r="AG61" s="189"/>
      <c r="AH61" s="189">
        <v>9.268281231E9</v>
      </c>
      <c r="AI61" s="189"/>
      <c r="AJ61" s="189" t="s">
        <v>2292</v>
      </c>
      <c r="AK61" s="189" t="s">
        <v>2293</v>
      </c>
      <c r="AL61" s="192" t="s">
        <v>2294</v>
      </c>
      <c r="AM61" s="192" t="s">
        <v>2295</v>
      </c>
      <c r="AN61" s="192" t="s">
        <v>2296</v>
      </c>
      <c r="AO61" s="189"/>
      <c r="AP61" s="189"/>
      <c r="AQ61" s="190"/>
      <c r="AR61" s="189" t="s">
        <v>1241</v>
      </c>
      <c r="AS61" s="191">
        <v>41922.0</v>
      </c>
    </row>
    <row r="62" ht="14.25" customHeight="1">
      <c r="A62" s="188">
        <v>57.0</v>
      </c>
      <c r="B62" s="142" t="s">
        <v>2297</v>
      </c>
      <c r="C62" s="142" t="s">
        <v>2298</v>
      </c>
      <c r="D62" s="142" t="s">
        <v>2298</v>
      </c>
      <c r="E62" s="189" t="s">
        <v>82</v>
      </c>
      <c r="F62" s="189"/>
      <c r="G62" s="189" t="s">
        <v>1832</v>
      </c>
      <c r="H62" s="189"/>
      <c r="I62" s="189">
        <v>40924.0</v>
      </c>
      <c r="J62" s="189">
        <v>40924.0</v>
      </c>
      <c r="K62" s="189">
        <v>41015.0</v>
      </c>
      <c r="L62" s="189"/>
      <c r="M62" s="189"/>
      <c r="N62" s="189"/>
      <c r="O62" s="189"/>
      <c r="P62" s="189">
        <v>41030.0</v>
      </c>
      <c r="Q62" s="189" t="s">
        <v>2299</v>
      </c>
      <c r="R62" s="189">
        <v>41333.0</v>
      </c>
      <c r="S62" s="189">
        <v>41183.0</v>
      </c>
      <c r="T62" s="189"/>
      <c r="U62" s="189"/>
      <c r="V62" s="189">
        <v>42079.0</v>
      </c>
      <c r="W62" s="189">
        <v>41349.0</v>
      </c>
      <c r="X62" s="189"/>
      <c r="Y62" s="189"/>
      <c r="Z62" s="189"/>
      <c r="AA62" s="189"/>
      <c r="AB62" s="189"/>
      <c r="AC62" s="189" t="s">
        <v>394</v>
      </c>
      <c r="AD62" s="189">
        <v>31196.0</v>
      </c>
      <c r="AE62" s="189" t="s">
        <v>2300</v>
      </c>
      <c r="AF62" s="189" t="s">
        <v>2301</v>
      </c>
      <c r="AG62" s="189"/>
      <c r="AH62" s="189">
        <v>9.103639257E9</v>
      </c>
      <c r="AI62" s="189"/>
      <c r="AJ62" s="189" t="s">
        <v>1834</v>
      </c>
      <c r="AK62" s="189" t="s">
        <v>2302</v>
      </c>
      <c r="AL62" s="189" t="s">
        <v>2303</v>
      </c>
      <c r="AM62" s="189" t="s">
        <v>2304</v>
      </c>
      <c r="AN62" s="189" t="s">
        <v>2305</v>
      </c>
      <c r="AO62" s="189"/>
      <c r="AP62" s="189"/>
      <c r="AQ62" s="190"/>
      <c r="AR62" s="189" t="s">
        <v>1840</v>
      </c>
      <c r="AS62" s="191">
        <v>41927.0</v>
      </c>
    </row>
    <row r="63" ht="14.25" customHeight="1">
      <c r="A63" s="188">
        <v>58.0</v>
      </c>
      <c r="B63" s="142" t="s">
        <v>2306</v>
      </c>
      <c r="C63" s="142" t="s">
        <v>2307</v>
      </c>
      <c r="D63" s="142" t="s">
        <v>2308</v>
      </c>
      <c r="E63" s="189" t="s">
        <v>133</v>
      </c>
      <c r="F63" s="189"/>
      <c r="G63" s="189" t="s">
        <v>1832</v>
      </c>
      <c r="H63" s="189"/>
      <c r="I63" s="189">
        <v>41634.0</v>
      </c>
      <c r="J63" s="189">
        <v>41542.0</v>
      </c>
      <c r="K63" s="189">
        <v>41633.0</v>
      </c>
      <c r="L63" s="189"/>
      <c r="M63" s="189"/>
      <c r="N63" s="189"/>
      <c r="O63" s="189"/>
      <c r="P63" s="189">
        <v>41634.0</v>
      </c>
      <c r="Q63" s="189">
        <v>41784.0</v>
      </c>
      <c r="R63" s="189"/>
      <c r="S63" s="189"/>
      <c r="T63" s="189"/>
      <c r="U63" s="189"/>
      <c r="V63" s="189">
        <v>41785.0</v>
      </c>
      <c r="W63" s="189">
        <v>42515.0</v>
      </c>
      <c r="X63" s="189"/>
      <c r="Y63" s="189"/>
      <c r="Z63" s="189"/>
      <c r="AA63" s="189"/>
      <c r="AB63" s="189"/>
      <c r="AC63" s="189" t="s">
        <v>394</v>
      </c>
      <c r="AD63" s="189">
        <v>32636.0</v>
      </c>
      <c r="AE63" s="189" t="s">
        <v>2309</v>
      </c>
      <c r="AF63" s="189" t="s">
        <v>2310</v>
      </c>
      <c r="AG63" s="189"/>
      <c r="AH63" s="189" t="s">
        <v>2311</v>
      </c>
      <c r="AI63" s="189"/>
      <c r="AJ63" s="189" t="s">
        <v>2312</v>
      </c>
      <c r="AK63" s="189" t="s">
        <v>2313</v>
      </c>
      <c r="AL63" s="192" t="s">
        <v>2314</v>
      </c>
      <c r="AM63" s="192" t="s">
        <v>2315</v>
      </c>
      <c r="AN63" s="192" t="s">
        <v>2316</v>
      </c>
      <c r="AO63" s="192"/>
      <c r="AP63" s="189" t="s">
        <v>2317</v>
      </c>
      <c r="AQ63" s="190"/>
      <c r="AR63" s="189" t="s">
        <v>2318</v>
      </c>
      <c r="AS63" s="191">
        <v>42388.0</v>
      </c>
    </row>
    <row r="64" ht="14.25" customHeight="1">
      <c r="A64" s="188">
        <v>59.0</v>
      </c>
      <c r="B64" s="142" t="s">
        <v>2319</v>
      </c>
      <c r="C64" s="142" t="s">
        <v>2320</v>
      </c>
      <c r="D64" s="142" t="s">
        <v>2321</v>
      </c>
      <c r="E64" s="189" t="s">
        <v>82</v>
      </c>
      <c r="F64" s="189"/>
      <c r="G64" s="189" t="s">
        <v>1855</v>
      </c>
      <c r="H64" s="189"/>
      <c r="I64" s="189">
        <v>42189.0</v>
      </c>
      <c r="J64" s="189">
        <v>42110.0</v>
      </c>
      <c r="K64" s="189">
        <v>42567.0</v>
      </c>
      <c r="L64" s="189"/>
      <c r="M64" s="189"/>
      <c r="N64" s="189"/>
      <c r="O64" s="189"/>
      <c r="P64" s="189">
        <v>42189.0</v>
      </c>
      <c r="Q64" s="189">
        <v>42341.0</v>
      </c>
      <c r="R64" s="189"/>
      <c r="S64" s="189"/>
      <c r="T64" s="189"/>
      <c r="U64" s="189"/>
      <c r="V64" s="189"/>
      <c r="W64" s="189"/>
      <c r="X64" s="189"/>
      <c r="Y64" s="189"/>
      <c r="Z64" s="189"/>
      <c r="AA64" s="189"/>
      <c r="AB64" s="189"/>
      <c r="AC64" s="189" t="s">
        <v>394</v>
      </c>
      <c r="AD64" s="189">
        <v>35013.0</v>
      </c>
      <c r="AE64" s="189" t="s">
        <v>2322</v>
      </c>
      <c r="AF64" s="189" t="s">
        <v>1403</v>
      </c>
      <c r="AG64" s="189"/>
      <c r="AH64" s="189">
        <v>9.23934184E9</v>
      </c>
      <c r="AI64" s="189"/>
      <c r="AJ64" s="189" t="s">
        <v>2323</v>
      </c>
      <c r="AK64" s="189" t="s">
        <v>2324</v>
      </c>
      <c r="AL64" s="189"/>
      <c r="AM64" s="189" t="s">
        <v>2325</v>
      </c>
      <c r="AN64" s="189" t="s">
        <v>2326</v>
      </c>
      <c r="AO64" s="189"/>
      <c r="AP64" s="189" t="s">
        <v>2327</v>
      </c>
      <c r="AQ64" s="190"/>
      <c r="AR64" s="189" t="s">
        <v>1241</v>
      </c>
      <c r="AS64" s="191"/>
    </row>
    <row r="65" ht="14.25" customHeight="1">
      <c r="A65" s="188">
        <v>60.0</v>
      </c>
      <c r="B65" s="142" t="s">
        <v>2319</v>
      </c>
      <c r="C65" s="142" t="s">
        <v>2328</v>
      </c>
      <c r="D65" s="142" t="s">
        <v>159</v>
      </c>
      <c r="E65" s="189" t="s">
        <v>1881</v>
      </c>
      <c r="F65" s="189"/>
      <c r="G65" s="189" t="s">
        <v>1832</v>
      </c>
      <c r="H65" s="189"/>
      <c r="I65" s="189">
        <v>41609.0</v>
      </c>
      <c r="J65" s="189">
        <v>41501.0</v>
      </c>
      <c r="K65" s="189">
        <v>41593.0</v>
      </c>
      <c r="L65" s="189"/>
      <c r="M65" s="189"/>
      <c r="N65" s="189"/>
      <c r="O65" s="189"/>
      <c r="P65" s="189">
        <v>41609.0</v>
      </c>
      <c r="Q65" s="189">
        <v>41759.0</v>
      </c>
      <c r="R65" s="189"/>
      <c r="S65" s="189"/>
      <c r="T65" s="189"/>
      <c r="U65" s="189"/>
      <c r="V65" s="189">
        <v>41760.0</v>
      </c>
      <c r="W65" s="189">
        <v>42124.0</v>
      </c>
      <c r="X65" s="189"/>
      <c r="Y65" s="189"/>
      <c r="Z65" s="189"/>
      <c r="AA65" s="189"/>
      <c r="AB65" s="189"/>
      <c r="AC65" s="189" t="s">
        <v>394</v>
      </c>
      <c r="AD65" s="189">
        <v>33816.0</v>
      </c>
      <c r="AE65" s="189" t="s">
        <v>2329</v>
      </c>
      <c r="AF65" s="189" t="s">
        <v>2330</v>
      </c>
      <c r="AG65" s="189"/>
      <c r="AH65" s="189">
        <v>9.067532431E9</v>
      </c>
      <c r="AI65" s="189"/>
      <c r="AJ65" s="189" t="s">
        <v>1950</v>
      </c>
      <c r="AK65" s="189" t="s">
        <v>2331</v>
      </c>
      <c r="AL65" s="189" t="s">
        <v>2332</v>
      </c>
      <c r="AM65" s="189" t="s">
        <v>2333</v>
      </c>
      <c r="AN65" s="189" t="s">
        <v>2334</v>
      </c>
      <c r="AO65" s="189"/>
      <c r="AP65" s="189">
        <v>9.161278994E9</v>
      </c>
      <c r="AQ65" s="190"/>
      <c r="AR65" s="189" t="s">
        <v>2318</v>
      </c>
      <c r="AS65" s="191">
        <v>42400.0</v>
      </c>
    </row>
    <row r="66" ht="14.25" customHeight="1">
      <c r="A66" s="188">
        <v>61.0</v>
      </c>
      <c r="B66" s="142" t="s">
        <v>2335</v>
      </c>
      <c r="C66" s="142" t="s">
        <v>2336</v>
      </c>
      <c r="D66" s="142" t="s">
        <v>2337</v>
      </c>
      <c r="E66" s="189" t="s">
        <v>82</v>
      </c>
      <c r="F66" s="189"/>
      <c r="G66" s="189" t="s">
        <v>419</v>
      </c>
      <c r="H66" s="189"/>
      <c r="I66" s="189"/>
      <c r="J66" s="189">
        <v>41926.0</v>
      </c>
      <c r="K66" s="189">
        <v>42018.0</v>
      </c>
      <c r="L66" s="189"/>
      <c r="M66" s="189"/>
      <c r="N66" s="189"/>
      <c r="O66" s="189"/>
      <c r="P66" s="189"/>
      <c r="Q66" s="189"/>
      <c r="R66" s="189"/>
      <c r="S66" s="189"/>
      <c r="T66" s="189"/>
      <c r="U66" s="189"/>
      <c r="V66" s="189"/>
      <c r="W66" s="189"/>
      <c r="X66" s="189"/>
      <c r="Y66" s="189"/>
      <c r="Z66" s="189"/>
      <c r="AA66" s="189"/>
      <c r="AB66" s="189"/>
      <c r="AC66" s="189" t="s">
        <v>394</v>
      </c>
      <c r="AD66" s="189">
        <v>34373.0</v>
      </c>
      <c r="AE66" s="189" t="s">
        <v>2338</v>
      </c>
      <c r="AF66" s="189" t="s">
        <v>2339</v>
      </c>
      <c r="AG66" s="189"/>
      <c r="AH66" s="189">
        <v>9.064862557E9</v>
      </c>
      <c r="AI66" s="189"/>
      <c r="AJ66" s="189" t="s">
        <v>2340</v>
      </c>
      <c r="AK66" s="189" t="s">
        <v>2341</v>
      </c>
      <c r="AL66" s="189"/>
      <c r="AM66" s="189" t="s">
        <v>2342</v>
      </c>
      <c r="AN66" s="189" t="s">
        <v>2343</v>
      </c>
      <c r="AO66" s="189"/>
      <c r="AP66" s="189"/>
      <c r="AQ66" s="190"/>
      <c r="AR66" s="189" t="s">
        <v>983</v>
      </c>
      <c r="AS66" s="191">
        <v>41946.0</v>
      </c>
    </row>
    <row r="67" ht="14.25" customHeight="1">
      <c r="A67" s="188">
        <v>62.0</v>
      </c>
      <c r="B67" s="142" t="s">
        <v>2344</v>
      </c>
      <c r="C67" s="142" t="s">
        <v>2345</v>
      </c>
      <c r="D67" s="142" t="s">
        <v>2346</v>
      </c>
      <c r="E67" s="189" t="s">
        <v>82</v>
      </c>
      <c r="F67" s="189"/>
      <c r="G67" s="189" t="s">
        <v>1855</v>
      </c>
      <c r="H67" s="189"/>
      <c r="I67" s="189">
        <v>42235.0</v>
      </c>
      <c r="J67" s="189">
        <v>42220.0</v>
      </c>
      <c r="K67" s="189">
        <v>42234.0</v>
      </c>
      <c r="L67" s="189"/>
      <c r="M67" s="189"/>
      <c r="N67" s="189"/>
      <c r="O67" s="189"/>
      <c r="P67" s="189">
        <v>42235.0</v>
      </c>
      <c r="Q67" s="189">
        <v>42387.0</v>
      </c>
      <c r="R67" s="189"/>
      <c r="S67" s="189"/>
      <c r="T67" s="189"/>
      <c r="U67" s="189"/>
      <c r="V67" s="189"/>
      <c r="W67" s="189"/>
      <c r="X67" s="189"/>
      <c r="Y67" s="189"/>
      <c r="Z67" s="189"/>
      <c r="AA67" s="189"/>
      <c r="AB67" s="189"/>
      <c r="AC67" s="189" t="s">
        <v>394</v>
      </c>
      <c r="AD67" s="189">
        <v>32894.0</v>
      </c>
      <c r="AE67" s="189" t="s">
        <v>2347</v>
      </c>
      <c r="AF67" s="189"/>
      <c r="AG67" s="189"/>
      <c r="AH67" s="189">
        <v>9.308047587E9</v>
      </c>
      <c r="AI67" s="189"/>
      <c r="AJ67" s="189" t="s">
        <v>2348</v>
      </c>
      <c r="AK67" s="189" t="s">
        <v>2349</v>
      </c>
      <c r="AL67" s="189" t="s">
        <v>2350</v>
      </c>
      <c r="AM67" s="189" t="s">
        <v>2351</v>
      </c>
      <c r="AN67" s="189" t="s">
        <v>2352</v>
      </c>
      <c r="AO67" s="189"/>
      <c r="AP67" s="189" t="s">
        <v>2353</v>
      </c>
      <c r="AQ67" s="190"/>
      <c r="AR67" s="189" t="s">
        <v>1241</v>
      </c>
      <c r="AS67" s="191"/>
    </row>
    <row r="68" ht="14.25" customHeight="1">
      <c r="A68" s="188">
        <v>63.0</v>
      </c>
      <c r="B68" s="142" t="s">
        <v>2354</v>
      </c>
      <c r="C68" s="142" t="s">
        <v>2355</v>
      </c>
      <c r="D68" s="142" t="s">
        <v>2356</v>
      </c>
      <c r="E68" s="189" t="s">
        <v>577</v>
      </c>
      <c r="F68" s="189"/>
      <c r="G68" s="189" t="s">
        <v>1855</v>
      </c>
      <c r="H68" s="189"/>
      <c r="I68" s="189">
        <v>42189.0</v>
      </c>
      <c r="J68" s="189">
        <v>42168.0</v>
      </c>
      <c r="K68" s="189">
        <v>42260.0</v>
      </c>
      <c r="L68" s="189"/>
      <c r="M68" s="189"/>
      <c r="N68" s="189"/>
      <c r="O68" s="189"/>
      <c r="P68" s="189">
        <v>42189.0</v>
      </c>
      <c r="Q68" s="189">
        <v>42342.0</v>
      </c>
      <c r="R68" s="189"/>
      <c r="S68" s="189"/>
      <c r="T68" s="189"/>
      <c r="U68" s="189"/>
      <c r="V68" s="189"/>
      <c r="W68" s="189"/>
      <c r="X68" s="189"/>
      <c r="Y68" s="189"/>
      <c r="Z68" s="189"/>
      <c r="AA68" s="189"/>
      <c r="AB68" s="189"/>
      <c r="AC68" s="189" t="s">
        <v>394</v>
      </c>
      <c r="AD68" s="189">
        <v>33768.0</v>
      </c>
      <c r="AE68" s="189" t="s">
        <v>2357</v>
      </c>
      <c r="AF68" s="189"/>
      <c r="AG68" s="189"/>
      <c r="AH68" s="189">
        <v>9.284752056E9</v>
      </c>
      <c r="AI68" s="189"/>
      <c r="AJ68" s="189"/>
      <c r="AK68" s="189" t="s">
        <v>2358</v>
      </c>
      <c r="AL68" s="192" t="s">
        <v>2359</v>
      </c>
      <c r="AM68" s="192" t="s">
        <v>2360</v>
      </c>
      <c r="AN68" s="192" t="s">
        <v>2361</v>
      </c>
      <c r="AO68" s="192"/>
      <c r="AP68" s="189" t="s">
        <v>2362</v>
      </c>
      <c r="AQ68" s="190"/>
      <c r="AR68" s="189" t="s">
        <v>2224</v>
      </c>
      <c r="AS68" s="191"/>
    </row>
    <row r="69" ht="14.25" customHeight="1">
      <c r="A69" s="188">
        <v>64.0</v>
      </c>
      <c r="B69" s="142" t="s">
        <v>2363</v>
      </c>
      <c r="C69" s="142" t="s">
        <v>2364</v>
      </c>
      <c r="D69" s="142" t="s">
        <v>393</v>
      </c>
      <c r="E69" s="189" t="s">
        <v>82</v>
      </c>
      <c r="F69" s="189"/>
      <c r="G69" s="189" t="s">
        <v>1855</v>
      </c>
      <c r="H69" s="189"/>
      <c r="I69" s="189"/>
      <c r="J69" s="189">
        <v>42026.0</v>
      </c>
      <c r="K69" s="189">
        <v>42116.0</v>
      </c>
      <c r="L69" s="189"/>
      <c r="M69" s="189"/>
      <c r="N69" s="189"/>
      <c r="O69" s="189"/>
      <c r="P69" s="189">
        <v>42117.0</v>
      </c>
      <c r="Q69" s="189">
        <v>42269.0</v>
      </c>
      <c r="R69" s="189"/>
      <c r="S69" s="189"/>
      <c r="T69" s="189"/>
      <c r="U69" s="189"/>
      <c r="V69" s="189"/>
      <c r="W69" s="189"/>
      <c r="X69" s="189"/>
      <c r="Y69" s="189"/>
      <c r="Z69" s="189"/>
      <c r="AA69" s="189"/>
      <c r="AB69" s="189"/>
      <c r="AC69" s="189" t="s">
        <v>394</v>
      </c>
      <c r="AD69" s="189">
        <v>35032.0</v>
      </c>
      <c r="AE69" s="189" t="s">
        <v>2365</v>
      </c>
      <c r="AF69" s="189" t="s">
        <v>2366</v>
      </c>
      <c r="AG69" s="189"/>
      <c r="AH69" s="189">
        <v>9.496186157E9</v>
      </c>
      <c r="AI69" s="189"/>
      <c r="AJ69" s="189" t="s">
        <v>2367</v>
      </c>
      <c r="AK69" s="189" t="s">
        <v>2368</v>
      </c>
      <c r="AL69" s="189"/>
      <c r="AM69" s="189" t="s">
        <v>2369</v>
      </c>
      <c r="AN69" s="189" t="s">
        <v>2370</v>
      </c>
      <c r="AO69" s="189"/>
      <c r="AP69" s="189"/>
      <c r="AQ69" s="190"/>
      <c r="AR69" s="189" t="s">
        <v>983</v>
      </c>
      <c r="AS69" s="191"/>
    </row>
    <row r="70" ht="14.25" customHeight="1">
      <c r="A70" s="188">
        <v>65.0</v>
      </c>
      <c r="B70" s="142" t="s">
        <v>2371</v>
      </c>
      <c r="C70" s="142" t="s">
        <v>85</v>
      </c>
      <c r="D70" s="142" t="s">
        <v>2372</v>
      </c>
      <c r="E70" s="189" t="s">
        <v>82</v>
      </c>
      <c r="F70" s="189"/>
      <c r="G70" s="189" t="s">
        <v>1855</v>
      </c>
      <c r="H70" s="189"/>
      <c r="I70" s="189">
        <v>42226.0</v>
      </c>
      <c r="J70" s="189">
        <v>42210.0</v>
      </c>
      <c r="K70" s="189">
        <v>42224.0</v>
      </c>
      <c r="L70" s="189"/>
      <c r="M70" s="189"/>
      <c r="N70" s="189"/>
      <c r="O70" s="189"/>
      <c r="P70" s="189">
        <v>42226.0</v>
      </c>
      <c r="Q70" s="189">
        <v>42378.0</v>
      </c>
      <c r="R70" s="189"/>
      <c r="S70" s="189"/>
      <c r="T70" s="189"/>
      <c r="U70" s="189"/>
      <c r="V70" s="189"/>
      <c r="W70" s="189"/>
      <c r="X70" s="189"/>
      <c r="Y70" s="189"/>
      <c r="Z70" s="189"/>
      <c r="AA70" s="189"/>
      <c r="AB70" s="189"/>
      <c r="AC70" s="189" t="s">
        <v>394</v>
      </c>
      <c r="AD70" s="189">
        <v>34725.0</v>
      </c>
      <c r="AE70" s="189" t="s">
        <v>2373</v>
      </c>
      <c r="AF70" s="189"/>
      <c r="AG70" s="189"/>
      <c r="AH70" s="189">
        <v>9.752733134E9</v>
      </c>
      <c r="AI70" s="189"/>
      <c r="AJ70" s="189" t="s">
        <v>2374</v>
      </c>
      <c r="AK70" s="189" t="s">
        <v>2375</v>
      </c>
      <c r="AL70" s="189"/>
      <c r="AM70" s="189" t="s">
        <v>2376</v>
      </c>
      <c r="AN70" s="189" t="s">
        <v>2377</v>
      </c>
      <c r="AO70" s="189"/>
      <c r="AP70" s="189"/>
      <c r="AQ70" s="190"/>
      <c r="AR70" s="189" t="s">
        <v>1241</v>
      </c>
      <c r="AS70" s="191"/>
    </row>
    <row r="71" ht="14.25" customHeight="1">
      <c r="A71" s="188">
        <v>66.0</v>
      </c>
      <c r="B71" s="142" t="s">
        <v>2378</v>
      </c>
      <c r="C71" s="142" t="s">
        <v>2084</v>
      </c>
      <c r="D71" s="142" t="s">
        <v>2379</v>
      </c>
      <c r="E71" s="189" t="s">
        <v>82</v>
      </c>
      <c r="F71" s="189"/>
      <c r="G71" s="189" t="s">
        <v>1855</v>
      </c>
      <c r="H71" s="189"/>
      <c r="I71" s="189"/>
      <c r="J71" s="189">
        <v>41967.0</v>
      </c>
      <c r="K71" s="189">
        <v>42059.0</v>
      </c>
      <c r="L71" s="189"/>
      <c r="M71" s="189"/>
      <c r="N71" s="189"/>
      <c r="O71" s="189"/>
      <c r="P71" s="189">
        <v>42060.0</v>
      </c>
      <c r="Q71" s="189">
        <v>42210.0</v>
      </c>
      <c r="R71" s="189"/>
      <c r="S71" s="189"/>
      <c r="T71" s="189"/>
      <c r="U71" s="189"/>
      <c r="V71" s="189"/>
      <c r="W71" s="189"/>
      <c r="X71" s="189"/>
      <c r="Y71" s="189"/>
      <c r="Z71" s="189"/>
      <c r="AA71" s="189"/>
      <c r="AB71" s="189"/>
      <c r="AC71" s="189" t="s">
        <v>394</v>
      </c>
      <c r="AD71" s="189">
        <v>33893.0</v>
      </c>
      <c r="AE71" s="189" t="s">
        <v>2380</v>
      </c>
      <c r="AF71" s="189"/>
      <c r="AG71" s="189"/>
      <c r="AH71" s="189">
        <v>9.752776722E9</v>
      </c>
      <c r="AI71" s="189"/>
      <c r="AJ71" s="189" t="s">
        <v>1847</v>
      </c>
      <c r="AK71" s="189" t="s">
        <v>2381</v>
      </c>
      <c r="AL71" s="189"/>
      <c r="AM71" s="189"/>
      <c r="AN71" s="189" t="s">
        <v>2382</v>
      </c>
      <c r="AO71" s="189"/>
      <c r="AP71" s="189"/>
      <c r="AQ71" s="190"/>
      <c r="AR71" s="189" t="s">
        <v>1241</v>
      </c>
      <c r="AS71" s="191">
        <v>42210.0</v>
      </c>
    </row>
    <row r="72" ht="14.25" customHeight="1">
      <c r="A72" s="188">
        <v>67.0</v>
      </c>
      <c r="B72" s="142" t="s">
        <v>2383</v>
      </c>
      <c r="C72" s="142" t="s">
        <v>2384</v>
      </c>
      <c r="D72" s="142" t="s">
        <v>2385</v>
      </c>
      <c r="E72" s="189" t="s">
        <v>1881</v>
      </c>
      <c r="F72" s="189"/>
      <c r="G72" s="189" t="s">
        <v>1832</v>
      </c>
      <c r="H72" s="189"/>
      <c r="I72" s="189">
        <v>41518.0</v>
      </c>
      <c r="J72" s="189">
        <v>41408.0</v>
      </c>
      <c r="K72" s="189">
        <v>41500.0</v>
      </c>
      <c r="L72" s="189"/>
      <c r="M72" s="189"/>
      <c r="N72" s="189"/>
      <c r="O72" s="189"/>
      <c r="P72" s="189">
        <v>41518.0</v>
      </c>
      <c r="Q72" s="189">
        <v>41670.0</v>
      </c>
      <c r="R72" s="189"/>
      <c r="S72" s="189"/>
      <c r="T72" s="189"/>
      <c r="U72" s="189"/>
      <c r="V72" s="189">
        <v>41671.0</v>
      </c>
      <c r="W72" s="189">
        <v>42036.0</v>
      </c>
      <c r="X72" s="189">
        <v>42050.0</v>
      </c>
      <c r="Y72" s="189">
        <v>42231.0</v>
      </c>
      <c r="Z72" s="189"/>
      <c r="AA72" s="189"/>
      <c r="AB72" s="189"/>
      <c r="AC72" s="189" t="s">
        <v>394</v>
      </c>
      <c r="AD72" s="189">
        <v>32654.0</v>
      </c>
      <c r="AE72" s="189" t="s">
        <v>2386</v>
      </c>
      <c r="AF72" s="189" t="s">
        <v>2387</v>
      </c>
      <c r="AG72" s="189"/>
      <c r="AH72" s="189">
        <v>9.126881551E9</v>
      </c>
      <c r="AI72" s="189"/>
      <c r="AJ72" s="189" t="s">
        <v>2388</v>
      </c>
      <c r="AK72" s="189" t="s">
        <v>2389</v>
      </c>
      <c r="AL72" s="189" t="s">
        <v>2390</v>
      </c>
      <c r="AM72" s="193" t="s">
        <v>2391</v>
      </c>
      <c r="AN72" s="189" t="s">
        <v>2392</v>
      </c>
      <c r="AO72" s="189"/>
      <c r="AP72" s="189"/>
      <c r="AQ72" s="190"/>
      <c r="AR72" s="189" t="s">
        <v>2393</v>
      </c>
      <c r="AS72" s="191"/>
    </row>
    <row r="73" ht="14.25" customHeight="1">
      <c r="A73" s="188">
        <v>68.0</v>
      </c>
      <c r="B73" s="142" t="s">
        <v>1148</v>
      </c>
      <c r="C73" s="142" t="s">
        <v>2394</v>
      </c>
      <c r="D73" s="142" t="s">
        <v>2319</v>
      </c>
      <c r="E73" s="189" t="s">
        <v>717</v>
      </c>
      <c r="F73" s="189"/>
      <c r="G73" s="189" t="s">
        <v>1855</v>
      </c>
      <c r="H73" s="189"/>
      <c r="I73" s="189">
        <v>42203.0</v>
      </c>
      <c r="J73" s="189">
        <v>42189.0</v>
      </c>
      <c r="K73" s="189">
        <v>42203.0</v>
      </c>
      <c r="L73" s="189"/>
      <c r="M73" s="189"/>
      <c r="N73" s="189"/>
      <c r="O73" s="189"/>
      <c r="P73" s="189">
        <v>42203.0</v>
      </c>
      <c r="Q73" s="189">
        <v>42356.0</v>
      </c>
      <c r="R73" s="189"/>
      <c r="S73" s="189"/>
      <c r="T73" s="189"/>
      <c r="U73" s="189"/>
      <c r="V73" s="189"/>
      <c r="W73" s="189"/>
      <c r="X73" s="189"/>
      <c r="Y73" s="189"/>
      <c r="Z73" s="189"/>
      <c r="AA73" s="189"/>
      <c r="AB73" s="189"/>
      <c r="AC73" s="189" t="s">
        <v>394</v>
      </c>
      <c r="AD73" s="189">
        <v>34971.0</v>
      </c>
      <c r="AE73" s="189" t="s">
        <v>2395</v>
      </c>
      <c r="AF73" s="189"/>
      <c r="AG73" s="189"/>
      <c r="AH73" s="189">
        <v>9.067468395E9</v>
      </c>
      <c r="AI73" s="189"/>
      <c r="AJ73" s="189" t="s">
        <v>2374</v>
      </c>
      <c r="AK73" s="189" t="s">
        <v>2396</v>
      </c>
      <c r="AL73" s="189" t="s">
        <v>2397</v>
      </c>
      <c r="AM73" s="189" t="s">
        <v>2398</v>
      </c>
      <c r="AN73" s="189" t="s">
        <v>2399</v>
      </c>
      <c r="AO73" s="189"/>
      <c r="AP73" s="189" t="s">
        <v>2400</v>
      </c>
      <c r="AQ73" s="190"/>
      <c r="AR73" s="189" t="s">
        <v>2224</v>
      </c>
      <c r="AS73" s="191"/>
    </row>
    <row r="74" ht="14.25" customHeight="1">
      <c r="A74" s="188">
        <v>69.0</v>
      </c>
      <c r="B74" s="142" t="s">
        <v>74</v>
      </c>
      <c r="C74" s="142" t="s">
        <v>1338</v>
      </c>
      <c r="D74" s="142" t="s">
        <v>2401</v>
      </c>
      <c r="E74" s="189" t="s">
        <v>2047</v>
      </c>
      <c r="F74" s="189"/>
      <c r="G74" s="189" t="s">
        <v>1832</v>
      </c>
      <c r="H74" s="189"/>
      <c r="I74" s="189">
        <v>41634.0</v>
      </c>
      <c r="J74" s="189">
        <v>41542.0</v>
      </c>
      <c r="K74" s="189">
        <v>41633.0</v>
      </c>
      <c r="L74" s="189"/>
      <c r="M74" s="189"/>
      <c r="N74" s="189"/>
      <c r="O74" s="189"/>
      <c r="P74" s="189">
        <v>41634.0</v>
      </c>
      <c r="Q74" s="189">
        <v>41784.0</v>
      </c>
      <c r="R74" s="189"/>
      <c r="S74" s="189"/>
      <c r="T74" s="189"/>
      <c r="U74" s="189"/>
      <c r="V74" s="189">
        <v>41785.0</v>
      </c>
      <c r="W74" s="189">
        <v>42149.0</v>
      </c>
      <c r="X74" s="189"/>
      <c r="Y74" s="189"/>
      <c r="Z74" s="189"/>
      <c r="AA74" s="189"/>
      <c r="AB74" s="189"/>
      <c r="AC74" s="189" t="s">
        <v>394</v>
      </c>
      <c r="AD74" s="189">
        <v>33808.0</v>
      </c>
      <c r="AE74" s="189" t="s">
        <v>2402</v>
      </c>
      <c r="AF74" s="189"/>
      <c r="AG74" s="189"/>
      <c r="AH74" s="189" t="s">
        <v>2403</v>
      </c>
      <c r="AI74" s="189"/>
      <c r="AJ74" s="189" t="s">
        <v>1847</v>
      </c>
      <c r="AK74" s="189" t="s">
        <v>2404</v>
      </c>
      <c r="AL74" s="189" t="s">
        <v>2405</v>
      </c>
      <c r="AM74" s="192" t="s">
        <v>2406</v>
      </c>
      <c r="AN74" s="192" t="s">
        <v>2407</v>
      </c>
      <c r="AO74" s="189"/>
      <c r="AP74" s="189"/>
      <c r="AQ74" s="190"/>
      <c r="AR74" s="189" t="s">
        <v>1241</v>
      </c>
      <c r="AS74" s="191">
        <v>42149.0</v>
      </c>
    </row>
    <row r="75" ht="14.25" customHeight="1">
      <c r="A75" s="188">
        <v>70.0</v>
      </c>
      <c r="B75" s="142" t="s">
        <v>74</v>
      </c>
      <c r="C75" s="142" t="s">
        <v>2408</v>
      </c>
      <c r="D75" s="142" t="s">
        <v>2409</v>
      </c>
      <c r="E75" s="189" t="s">
        <v>133</v>
      </c>
      <c r="F75" s="189"/>
      <c r="G75" s="189"/>
      <c r="H75" s="189"/>
      <c r="I75" s="189"/>
      <c r="J75" s="189"/>
      <c r="K75" s="189"/>
      <c r="L75" s="189"/>
      <c r="M75" s="189"/>
      <c r="N75" s="189"/>
      <c r="O75" s="189"/>
      <c r="P75" s="189"/>
      <c r="Q75" s="189"/>
      <c r="R75" s="189"/>
      <c r="S75" s="189"/>
      <c r="T75" s="189"/>
      <c r="U75" s="189"/>
      <c r="V75" s="189"/>
      <c r="W75" s="189"/>
      <c r="X75" s="189"/>
      <c r="Y75" s="189"/>
      <c r="Z75" s="189"/>
      <c r="AA75" s="189"/>
      <c r="AB75" s="189"/>
      <c r="AC75" s="189"/>
      <c r="AD75" s="189"/>
      <c r="AE75" s="189"/>
      <c r="AF75" s="189"/>
      <c r="AG75" s="189"/>
      <c r="AH75" s="189"/>
      <c r="AI75" s="189"/>
      <c r="AJ75" s="189"/>
      <c r="AK75" s="189"/>
      <c r="AL75" s="189"/>
      <c r="AM75" s="189"/>
      <c r="AN75" s="192"/>
      <c r="AO75" s="192"/>
      <c r="AP75" s="189"/>
      <c r="AQ75" s="190"/>
      <c r="AR75" s="189" t="s">
        <v>983</v>
      </c>
      <c r="AS75" s="191"/>
    </row>
    <row r="76" ht="14.25" customHeight="1">
      <c r="A76" s="188">
        <v>71.0</v>
      </c>
      <c r="B76" s="142" t="s">
        <v>2410</v>
      </c>
      <c r="C76" s="142" t="s">
        <v>2253</v>
      </c>
      <c r="D76" s="142" t="s">
        <v>2411</v>
      </c>
      <c r="E76" s="189" t="s">
        <v>82</v>
      </c>
      <c r="F76" s="189"/>
      <c r="G76" s="189" t="s">
        <v>1855</v>
      </c>
      <c r="H76" s="189"/>
      <c r="I76" s="189"/>
      <c r="J76" s="189">
        <v>42147.0</v>
      </c>
      <c r="K76" s="189">
        <v>42239.0</v>
      </c>
      <c r="L76" s="189"/>
      <c r="M76" s="189"/>
      <c r="N76" s="189"/>
      <c r="O76" s="189"/>
      <c r="P76" s="189">
        <v>42189.0</v>
      </c>
      <c r="Q76" s="189">
        <v>42341.0</v>
      </c>
      <c r="R76" s="189"/>
      <c r="S76" s="189"/>
      <c r="T76" s="189"/>
      <c r="U76" s="189"/>
      <c r="V76" s="189"/>
      <c r="W76" s="189"/>
      <c r="X76" s="189"/>
      <c r="Y76" s="189"/>
      <c r="Z76" s="189"/>
      <c r="AA76" s="189"/>
      <c r="AB76" s="189"/>
      <c r="AC76" s="189" t="s">
        <v>394</v>
      </c>
      <c r="AD76" s="189">
        <v>33252.0</v>
      </c>
      <c r="AE76" s="189" t="s">
        <v>2412</v>
      </c>
      <c r="AF76" s="189" t="s">
        <v>2413</v>
      </c>
      <c r="AG76" s="189"/>
      <c r="AH76" s="189">
        <v>9.12335176E9</v>
      </c>
      <c r="AI76" s="189"/>
      <c r="AJ76" s="189" t="s">
        <v>2414</v>
      </c>
      <c r="AK76" s="189" t="s">
        <v>2415</v>
      </c>
      <c r="AL76" s="189"/>
      <c r="AM76" s="189" t="s">
        <v>2416</v>
      </c>
      <c r="AN76" s="189" t="s">
        <v>2417</v>
      </c>
      <c r="AO76" s="189"/>
      <c r="AP76" s="189"/>
      <c r="AQ76" s="190"/>
      <c r="AR76" s="189" t="s">
        <v>2224</v>
      </c>
      <c r="AS76" s="191">
        <v>42297.0</v>
      </c>
    </row>
    <row r="77" ht="14.25" customHeight="1">
      <c r="A77" s="188">
        <v>72.0</v>
      </c>
      <c r="B77" s="142" t="s">
        <v>2418</v>
      </c>
      <c r="C77" s="142" t="s">
        <v>2419</v>
      </c>
      <c r="D77" s="142" t="s">
        <v>2420</v>
      </c>
      <c r="E77" s="189" t="s">
        <v>133</v>
      </c>
      <c r="F77" s="189"/>
      <c r="G77" s="189" t="s">
        <v>1832</v>
      </c>
      <c r="H77" s="189"/>
      <c r="I77" s="189">
        <v>41290.0</v>
      </c>
      <c r="J77" s="189">
        <v>41177.0</v>
      </c>
      <c r="K77" s="189">
        <v>41268.0</v>
      </c>
      <c r="L77" s="189"/>
      <c r="M77" s="189"/>
      <c r="N77" s="189"/>
      <c r="O77" s="189"/>
      <c r="P77" s="189">
        <v>41290.0</v>
      </c>
      <c r="Q77" s="189">
        <v>41441.0</v>
      </c>
      <c r="R77" s="189"/>
      <c r="S77" s="189"/>
      <c r="T77" s="189"/>
      <c r="U77" s="189"/>
      <c r="V77" s="189">
        <v>41456.0</v>
      </c>
      <c r="W77" s="189">
        <v>42186.0</v>
      </c>
      <c r="X77" s="189"/>
      <c r="Y77" s="189"/>
      <c r="Z77" s="189"/>
      <c r="AA77" s="189"/>
      <c r="AB77" s="189"/>
      <c r="AC77" s="189" t="s">
        <v>394</v>
      </c>
      <c r="AD77" s="189">
        <v>32976.0</v>
      </c>
      <c r="AE77" s="189" t="s">
        <v>2421</v>
      </c>
      <c r="AF77" s="189" t="s">
        <v>2422</v>
      </c>
      <c r="AG77" s="189"/>
      <c r="AH77" s="189">
        <v>9.074794823E9</v>
      </c>
      <c r="AI77" s="189"/>
      <c r="AJ77" s="189" t="s">
        <v>2423</v>
      </c>
      <c r="AK77" s="189" t="s">
        <v>2424</v>
      </c>
      <c r="AL77" s="189" t="s">
        <v>2425</v>
      </c>
      <c r="AM77" s="189" t="s">
        <v>2426</v>
      </c>
      <c r="AN77" s="189" t="s">
        <v>2427</v>
      </c>
      <c r="AO77" s="189"/>
      <c r="AP77" s="189"/>
      <c r="AQ77" s="190"/>
      <c r="AR77" s="189" t="s">
        <v>1241</v>
      </c>
      <c r="AS77" s="191"/>
    </row>
    <row r="78" ht="14.25" customHeight="1">
      <c r="A78" s="188">
        <v>73.0</v>
      </c>
      <c r="B78" s="142" t="s">
        <v>2428</v>
      </c>
      <c r="C78" s="142" t="s">
        <v>85</v>
      </c>
      <c r="D78" s="142" t="s">
        <v>2429</v>
      </c>
      <c r="E78" s="189" t="s">
        <v>1831</v>
      </c>
      <c r="F78" s="189"/>
      <c r="G78" s="189" t="s">
        <v>1832</v>
      </c>
      <c r="H78" s="189"/>
      <c r="I78" s="189">
        <v>41030.0</v>
      </c>
      <c r="J78" s="189">
        <v>40924.0</v>
      </c>
      <c r="K78" s="189">
        <v>41015.0</v>
      </c>
      <c r="L78" s="189"/>
      <c r="M78" s="189"/>
      <c r="N78" s="189"/>
      <c r="O78" s="189"/>
      <c r="P78" s="189">
        <v>41030.0</v>
      </c>
      <c r="Q78" s="189" t="s">
        <v>2299</v>
      </c>
      <c r="R78" s="189">
        <v>41183.0</v>
      </c>
      <c r="S78" s="189">
        <v>41333.0</v>
      </c>
      <c r="T78" s="189"/>
      <c r="U78" s="189"/>
      <c r="V78" s="189">
        <v>41349.0</v>
      </c>
      <c r="W78" s="189">
        <v>42079.0</v>
      </c>
      <c r="X78" s="189"/>
      <c r="Y78" s="189"/>
      <c r="Z78" s="189"/>
      <c r="AA78" s="189"/>
      <c r="AB78" s="189"/>
      <c r="AC78" s="189" t="s">
        <v>217</v>
      </c>
      <c r="AD78" s="189">
        <v>32130.0</v>
      </c>
      <c r="AE78" s="189" t="s">
        <v>2430</v>
      </c>
      <c r="AF78" s="189" t="s">
        <v>2431</v>
      </c>
      <c r="AG78" s="189"/>
      <c r="AH78" s="189">
        <v>9.305544014E9</v>
      </c>
      <c r="AI78" s="189"/>
      <c r="AJ78" s="189" t="s">
        <v>2432</v>
      </c>
      <c r="AK78" s="189" t="s">
        <v>2433</v>
      </c>
      <c r="AL78" s="189" t="s">
        <v>2434</v>
      </c>
      <c r="AM78" s="189" t="s">
        <v>2435</v>
      </c>
      <c r="AN78" s="189" t="s">
        <v>2436</v>
      </c>
      <c r="AO78" s="189"/>
      <c r="AP78" s="189" t="s">
        <v>2437</v>
      </c>
      <c r="AQ78" s="190"/>
      <c r="AR78" s="189" t="s">
        <v>1241</v>
      </c>
      <c r="AS78" s="191">
        <v>42079.0</v>
      </c>
    </row>
    <row r="79" ht="14.25" customHeight="1">
      <c r="A79" s="188">
        <v>74.0</v>
      </c>
      <c r="B79" s="142" t="s">
        <v>2438</v>
      </c>
      <c r="C79" s="142" t="s">
        <v>2439</v>
      </c>
      <c r="D79" s="142" t="s">
        <v>2319</v>
      </c>
      <c r="E79" s="189" t="s">
        <v>82</v>
      </c>
      <c r="F79" s="189"/>
      <c r="G79" s="189" t="s">
        <v>419</v>
      </c>
      <c r="H79" s="189"/>
      <c r="I79" s="189"/>
      <c r="J79" s="189">
        <v>42075.0</v>
      </c>
      <c r="K79" s="189">
        <v>42167.0</v>
      </c>
      <c r="L79" s="189"/>
      <c r="M79" s="189"/>
      <c r="N79" s="189"/>
      <c r="O79" s="189"/>
      <c r="P79" s="189"/>
      <c r="Q79" s="189"/>
      <c r="R79" s="189"/>
      <c r="S79" s="189"/>
      <c r="T79" s="189"/>
      <c r="U79" s="189"/>
      <c r="V79" s="189"/>
      <c r="W79" s="189"/>
      <c r="X79" s="189"/>
      <c r="Y79" s="189"/>
      <c r="Z79" s="189"/>
      <c r="AA79" s="189"/>
      <c r="AB79" s="189"/>
      <c r="AC79" s="189" t="s">
        <v>394</v>
      </c>
      <c r="AD79" s="189">
        <v>33408.0</v>
      </c>
      <c r="AE79" s="189" t="s">
        <v>2440</v>
      </c>
      <c r="AF79" s="189" t="s">
        <v>2441</v>
      </c>
      <c r="AG79" s="189"/>
      <c r="AH79" s="189">
        <v>9.161800345E9</v>
      </c>
      <c r="AI79" s="189"/>
      <c r="AJ79" s="189" t="s">
        <v>2442</v>
      </c>
      <c r="AK79" s="189" t="s">
        <v>2443</v>
      </c>
      <c r="AL79" s="189"/>
      <c r="AM79" s="189"/>
      <c r="AN79" s="189"/>
      <c r="AO79" s="189"/>
      <c r="AP79" s="189"/>
      <c r="AQ79" s="190"/>
      <c r="AR79" s="189" t="s">
        <v>983</v>
      </c>
      <c r="AS79" s="191"/>
    </row>
    <row r="80" ht="14.25" customHeight="1">
      <c r="A80" s="188">
        <v>75.0</v>
      </c>
      <c r="B80" s="142" t="s">
        <v>2444</v>
      </c>
      <c r="C80" s="142" t="s">
        <v>2445</v>
      </c>
      <c r="D80" s="142" t="s">
        <v>2446</v>
      </c>
      <c r="E80" s="189" t="s">
        <v>82</v>
      </c>
      <c r="F80" s="189"/>
      <c r="G80" s="189" t="s">
        <v>1832</v>
      </c>
      <c r="H80" s="189"/>
      <c r="I80" s="189">
        <v>41740.0</v>
      </c>
      <c r="J80" s="189">
        <v>41650.0</v>
      </c>
      <c r="K80" s="189">
        <v>41739.0</v>
      </c>
      <c r="L80" s="189"/>
      <c r="M80" s="189"/>
      <c r="N80" s="189"/>
      <c r="O80" s="189"/>
      <c r="P80" s="189">
        <v>41740.0</v>
      </c>
      <c r="Q80" s="189">
        <v>41892.0</v>
      </c>
      <c r="R80" s="189"/>
      <c r="S80" s="189"/>
      <c r="T80" s="189"/>
      <c r="U80" s="189"/>
      <c r="V80" s="189">
        <v>41893.0</v>
      </c>
      <c r="W80" s="189">
        <v>42257.0</v>
      </c>
      <c r="X80" s="189"/>
      <c r="Y80" s="189"/>
      <c r="Z80" s="189"/>
      <c r="AA80" s="189"/>
      <c r="AB80" s="189"/>
      <c r="AC80" s="189" t="s">
        <v>394</v>
      </c>
      <c r="AD80" s="189">
        <v>31921.0</v>
      </c>
      <c r="AE80" s="189" t="s">
        <v>2447</v>
      </c>
      <c r="AF80" s="189"/>
      <c r="AG80" s="189"/>
      <c r="AH80" s="189">
        <v>9.279269112E9</v>
      </c>
      <c r="AI80" s="189"/>
      <c r="AJ80" s="189" t="s">
        <v>2448</v>
      </c>
      <c r="AK80" s="189" t="s">
        <v>2449</v>
      </c>
      <c r="AL80" s="192" t="s">
        <v>2450</v>
      </c>
      <c r="AM80" s="192" t="s">
        <v>2451</v>
      </c>
      <c r="AN80" s="192" t="s">
        <v>2452</v>
      </c>
      <c r="AO80" s="189"/>
      <c r="AP80" s="189"/>
      <c r="AQ80" s="190"/>
      <c r="AR80" s="189" t="s">
        <v>1840</v>
      </c>
      <c r="AS80" s="191">
        <v>42015.0</v>
      </c>
    </row>
    <row r="81" ht="14.25" customHeight="1">
      <c r="A81" s="188">
        <v>76.0</v>
      </c>
      <c r="B81" s="142" t="s">
        <v>602</v>
      </c>
      <c r="C81" s="142" t="s">
        <v>2453</v>
      </c>
      <c r="D81" s="142" t="s">
        <v>2046</v>
      </c>
      <c r="E81" s="189" t="s">
        <v>82</v>
      </c>
      <c r="F81" s="189"/>
      <c r="G81" s="189" t="s">
        <v>1855</v>
      </c>
      <c r="H81" s="189"/>
      <c r="I81" s="189"/>
      <c r="J81" s="189">
        <v>41739.0</v>
      </c>
      <c r="K81" s="189">
        <v>41649.0</v>
      </c>
      <c r="L81" s="189"/>
      <c r="M81" s="189"/>
      <c r="N81" s="189"/>
      <c r="O81" s="189"/>
      <c r="P81" s="189">
        <v>41892.0</v>
      </c>
      <c r="Q81" s="189">
        <v>41740.0</v>
      </c>
      <c r="R81" s="189"/>
      <c r="S81" s="189"/>
      <c r="T81" s="189"/>
      <c r="U81" s="189"/>
      <c r="V81" s="189"/>
      <c r="W81" s="189"/>
      <c r="X81" s="189"/>
      <c r="Y81" s="189"/>
      <c r="Z81" s="189"/>
      <c r="AA81" s="189"/>
      <c r="AB81" s="189"/>
      <c r="AC81" s="189" t="s">
        <v>394</v>
      </c>
      <c r="AD81" s="189">
        <v>31175.0</v>
      </c>
      <c r="AE81" s="189" t="s">
        <v>2454</v>
      </c>
      <c r="AF81" s="189"/>
      <c r="AG81" s="189"/>
      <c r="AH81" s="189">
        <v>9.179564118E9</v>
      </c>
      <c r="AI81" s="189"/>
      <c r="AJ81" s="189" t="s">
        <v>2120</v>
      </c>
      <c r="AK81" s="189" t="s">
        <v>2455</v>
      </c>
      <c r="AL81" s="189" t="s">
        <v>2456</v>
      </c>
      <c r="AM81" s="192" t="s">
        <v>2457</v>
      </c>
      <c r="AN81" s="192" t="s">
        <v>2458</v>
      </c>
      <c r="AO81" s="189"/>
      <c r="AP81" s="189"/>
      <c r="AQ81" s="190"/>
      <c r="AR81" s="189" t="s">
        <v>1241</v>
      </c>
      <c r="AS81" s="191">
        <v>41892.0</v>
      </c>
    </row>
    <row r="82" ht="14.25" customHeight="1">
      <c r="A82" s="188">
        <v>77.0</v>
      </c>
      <c r="B82" s="142" t="s">
        <v>2459</v>
      </c>
      <c r="C82" s="142" t="s">
        <v>2460</v>
      </c>
      <c r="D82" s="142" t="s">
        <v>2461</v>
      </c>
      <c r="E82" s="189" t="s">
        <v>1831</v>
      </c>
      <c r="F82" s="189"/>
      <c r="G82" s="189" t="s">
        <v>1832</v>
      </c>
      <c r="H82" s="189"/>
      <c r="I82" s="189">
        <v>40863.0</v>
      </c>
      <c r="J82" s="189">
        <v>40756.0</v>
      </c>
      <c r="K82" s="189">
        <v>40848.0</v>
      </c>
      <c r="L82" s="189"/>
      <c r="M82" s="189"/>
      <c r="N82" s="189"/>
      <c r="O82" s="189"/>
      <c r="P82" s="189">
        <v>40863.0</v>
      </c>
      <c r="Q82" s="189">
        <v>41015.0</v>
      </c>
      <c r="R82" s="189">
        <v>41030.0</v>
      </c>
      <c r="S82" s="189" t="s">
        <v>2462</v>
      </c>
      <c r="T82" s="189"/>
      <c r="U82" s="189"/>
      <c r="V82" s="189">
        <v>41183.0</v>
      </c>
      <c r="W82" s="189">
        <v>41913.0</v>
      </c>
      <c r="X82" s="189">
        <v>41947.0</v>
      </c>
      <c r="Y82" s="189">
        <v>42312.0</v>
      </c>
      <c r="Z82" s="189"/>
      <c r="AA82" s="189"/>
      <c r="AB82" s="189"/>
      <c r="AC82" s="189" t="s">
        <v>394</v>
      </c>
      <c r="AD82" s="189">
        <v>32166.0</v>
      </c>
      <c r="AE82" s="189" t="s">
        <v>2463</v>
      </c>
      <c r="AF82" s="189" t="s">
        <v>2464</v>
      </c>
      <c r="AG82" s="189"/>
      <c r="AH82" s="189" t="s">
        <v>2465</v>
      </c>
      <c r="AI82" s="189"/>
      <c r="AJ82" s="189" t="s">
        <v>2466</v>
      </c>
      <c r="AK82" s="189" t="s">
        <v>2467</v>
      </c>
      <c r="AL82" s="189" t="s">
        <v>2468</v>
      </c>
      <c r="AM82" s="189" t="s">
        <v>2469</v>
      </c>
      <c r="AN82" s="189" t="s">
        <v>2470</v>
      </c>
      <c r="AO82" s="189"/>
      <c r="AP82" s="189"/>
      <c r="AQ82" s="190"/>
      <c r="AR82" s="189" t="s">
        <v>1840</v>
      </c>
      <c r="AS82" s="191">
        <v>42000.0</v>
      </c>
    </row>
    <row r="83" ht="14.25" customHeight="1">
      <c r="A83" s="188">
        <v>78.0</v>
      </c>
      <c r="B83" s="142" t="s">
        <v>2471</v>
      </c>
      <c r="C83" s="142" t="s">
        <v>2472</v>
      </c>
      <c r="D83" s="142" t="s">
        <v>2473</v>
      </c>
      <c r="E83" s="189" t="s">
        <v>82</v>
      </c>
      <c r="F83" s="189"/>
      <c r="G83" s="189" t="s">
        <v>1855</v>
      </c>
      <c r="H83" s="189"/>
      <c r="I83" s="189"/>
      <c r="J83" s="189">
        <v>42026.0</v>
      </c>
      <c r="K83" s="189">
        <v>42116.0</v>
      </c>
      <c r="L83" s="189"/>
      <c r="M83" s="189"/>
      <c r="N83" s="189"/>
      <c r="O83" s="189"/>
      <c r="P83" s="189">
        <v>42117.0</v>
      </c>
      <c r="Q83" s="189">
        <v>42270.0</v>
      </c>
      <c r="R83" s="189"/>
      <c r="S83" s="189"/>
      <c r="T83" s="189"/>
      <c r="U83" s="189"/>
      <c r="V83" s="189"/>
      <c r="W83" s="189"/>
      <c r="X83" s="189"/>
      <c r="Y83" s="189"/>
      <c r="Z83" s="189"/>
      <c r="AA83" s="189"/>
      <c r="AB83" s="189"/>
      <c r="AC83" s="189" t="s">
        <v>394</v>
      </c>
      <c r="AD83" s="189">
        <v>33669.0</v>
      </c>
      <c r="AE83" s="189" t="s">
        <v>2365</v>
      </c>
      <c r="AF83" s="189" t="s">
        <v>2474</v>
      </c>
      <c r="AG83" s="189"/>
      <c r="AH83" s="189">
        <v>9.213505778E9</v>
      </c>
      <c r="AI83" s="189"/>
      <c r="AJ83" s="189" t="s">
        <v>1834</v>
      </c>
      <c r="AK83" s="189" t="s">
        <v>2475</v>
      </c>
      <c r="AL83" s="189" t="s">
        <v>2476</v>
      </c>
      <c r="AM83" s="189" t="s">
        <v>2477</v>
      </c>
      <c r="AN83" s="189" t="s">
        <v>2478</v>
      </c>
      <c r="AO83" s="189"/>
      <c r="AP83" s="189"/>
      <c r="AQ83" s="190"/>
      <c r="AR83" s="189" t="s">
        <v>1241</v>
      </c>
      <c r="AS83" s="191"/>
    </row>
    <row r="84" ht="14.25" customHeight="1">
      <c r="A84" s="188">
        <v>79.0</v>
      </c>
      <c r="B84" s="142" t="s">
        <v>2479</v>
      </c>
      <c r="C84" s="142" t="s">
        <v>75</v>
      </c>
      <c r="D84" s="142" t="s">
        <v>638</v>
      </c>
      <c r="E84" s="189" t="s">
        <v>82</v>
      </c>
      <c r="F84" s="189"/>
      <c r="G84" s="189" t="s">
        <v>419</v>
      </c>
      <c r="H84" s="189"/>
      <c r="I84" s="189"/>
      <c r="J84" s="189">
        <v>41960.0</v>
      </c>
      <c r="K84" s="189">
        <v>41687.0</v>
      </c>
      <c r="L84" s="189"/>
      <c r="M84" s="189"/>
      <c r="N84" s="189"/>
      <c r="O84" s="189"/>
      <c r="P84" s="189"/>
      <c r="Q84" s="189"/>
      <c r="R84" s="189"/>
      <c r="S84" s="189"/>
      <c r="T84" s="189"/>
      <c r="U84" s="189"/>
      <c r="V84" s="189"/>
      <c r="W84" s="189"/>
      <c r="X84" s="189"/>
      <c r="Y84" s="189"/>
      <c r="Z84" s="189"/>
      <c r="AA84" s="189"/>
      <c r="AB84" s="189"/>
      <c r="AC84" s="189" t="s">
        <v>394</v>
      </c>
      <c r="AD84" s="189">
        <v>34408.0</v>
      </c>
      <c r="AE84" s="189" t="s">
        <v>2480</v>
      </c>
      <c r="AF84" s="189" t="s">
        <v>2481</v>
      </c>
      <c r="AG84" s="189"/>
      <c r="AH84" s="189">
        <v>9.30755551E9</v>
      </c>
      <c r="AI84" s="189"/>
      <c r="AJ84" s="189" t="s">
        <v>1847</v>
      </c>
      <c r="AK84" s="189" t="s">
        <v>2482</v>
      </c>
      <c r="AL84" s="192"/>
      <c r="AM84" s="192" t="s">
        <v>2483</v>
      </c>
      <c r="AN84" s="192" t="s">
        <v>2484</v>
      </c>
      <c r="AO84" s="189"/>
      <c r="AP84" s="189"/>
      <c r="AQ84" s="190"/>
      <c r="AR84" s="189" t="s">
        <v>983</v>
      </c>
      <c r="AS84" s="191">
        <v>41960.0</v>
      </c>
    </row>
    <row r="85" ht="14.25" customHeight="1">
      <c r="A85" s="188">
        <v>80.0</v>
      </c>
      <c r="B85" s="142" t="s">
        <v>2485</v>
      </c>
      <c r="C85" s="142" t="s">
        <v>429</v>
      </c>
      <c r="D85" s="142" t="s">
        <v>927</v>
      </c>
      <c r="E85" s="189" t="s">
        <v>82</v>
      </c>
      <c r="F85" s="189"/>
      <c r="G85" s="189" t="s">
        <v>1855</v>
      </c>
      <c r="H85" s="189"/>
      <c r="I85" s="189"/>
      <c r="J85" s="189">
        <v>41976.0</v>
      </c>
      <c r="K85" s="189">
        <v>42066.0</v>
      </c>
      <c r="L85" s="189"/>
      <c r="M85" s="189"/>
      <c r="N85" s="189"/>
      <c r="O85" s="189"/>
      <c r="P85" s="189">
        <v>42067.0</v>
      </c>
      <c r="Q85" s="189">
        <v>42220.0</v>
      </c>
      <c r="R85" s="189"/>
      <c r="S85" s="189"/>
      <c r="T85" s="189"/>
      <c r="U85" s="189"/>
      <c r="V85" s="189"/>
      <c r="W85" s="189"/>
      <c r="X85" s="189"/>
      <c r="Y85" s="189"/>
      <c r="Z85" s="189"/>
      <c r="AA85" s="189"/>
      <c r="AB85" s="189"/>
      <c r="AC85" s="189" t="s">
        <v>394</v>
      </c>
      <c r="AD85" s="189">
        <v>34406.0</v>
      </c>
      <c r="AE85" s="189" t="s">
        <v>2486</v>
      </c>
      <c r="AF85" s="189" t="s">
        <v>2487</v>
      </c>
      <c r="AG85" s="189"/>
      <c r="AH85" s="189">
        <v>9.099789484E9</v>
      </c>
      <c r="AI85" s="189"/>
      <c r="AJ85" s="189" t="s">
        <v>1884</v>
      </c>
      <c r="AK85" s="189" t="s">
        <v>2488</v>
      </c>
      <c r="AL85" s="189"/>
      <c r="AM85" s="189" t="s">
        <v>2489</v>
      </c>
      <c r="AN85" s="189" t="s">
        <v>2490</v>
      </c>
      <c r="AO85" s="189"/>
      <c r="AP85" s="189"/>
      <c r="AQ85" s="190"/>
      <c r="AR85" s="189" t="s">
        <v>1241</v>
      </c>
      <c r="AS85" s="191"/>
    </row>
    <row r="86" ht="14.25" customHeight="1">
      <c r="A86" s="188">
        <v>81.0</v>
      </c>
      <c r="B86" s="142" t="s">
        <v>2491</v>
      </c>
      <c r="C86" s="142" t="s">
        <v>85</v>
      </c>
      <c r="D86" s="142" t="s">
        <v>2492</v>
      </c>
      <c r="E86" s="189" t="s">
        <v>82</v>
      </c>
      <c r="F86" s="189"/>
      <c r="G86" s="189" t="s">
        <v>1832</v>
      </c>
      <c r="H86" s="189"/>
      <c r="I86" s="189">
        <v>41857.0</v>
      </c>
      <c r="J86" s="189">
        <v>41764.0</v>
      </c>
      <c r="K86" s="189">
        <v>41856.0</v>
      </c>
      <c r="L86" s="189"/>
      <c r="M86" s="189"/>
      <c r="N86" s="189"/>
      <c r="O86" s="189"/>
      <c r="P86" s="189">
        <v>41857.0</v>
      </c>
      <c r="Q86" s="189">
        <v>42009.0</v>
      </c>
      <c r="R86" s="189"/>
      <c r="S86" s="189"/>
      <c r="T86" s="189"/>
      <c r="U86" s="189"/>
      <c r="V86" s="189">
        <v>42010.0</v>
      </c>
      <c r="W86" s="189">
        <v>42374.0</v>
      </c>
      <c r="X86" s="189"/>
      <c r="Y86" s="189"/>
      <c r="Z86" s="189"/>
      <c r="AA86" s="189"/>
      <c r="AB86" s="189"/>
      <c r="AC86" s="189" t="s">
        <v>394</v>
      </c>
      <c r="AD86" s="189">
        <v>34973.0</v>
      </c>
      <c r="AE86" s="189" t="s">
        <v>2493</v>
      </c>
      <c r="AF86" s="189" t="s">
        <v>2494</v>
      </c>
      <c r="AG86" s="189"/>
      <c r="AH86" s="189">
        <v>9.359308648E9</v>
      </c>
      <c r="AI86" s="189"/>
      <c r="AJ86" s="189" t="s">
        <v>1961</v>
      </c>
      <c r="AK86" s="189" t="s">
        <v>2495</v>
      </c>
      <c r="AL86" s="192" t="s">
        <v>2496</v>
      </c>
      <c r="AM86" s="192" t="s">
        <v>2497</v>
      </c>
      <c r="AN86" s="192" t="s">
        <v>2498</v>
      </c>
      <c r="AO86" s="192"/>
      <c r="AP86" s="189" t="s">
        <v>2499</v>
      </c>
      <c r="AQ86" s="190"/>
      <c r="AR86" s="189" t="s">
        <v>1241</v>
      </c>
      <c r="AS86" s="191">
        <v>42297.0</v>
      </c>
    </row>
    <row r="87" ht="14.25" customHeight="1">
      <c r="A87" s="188">
        <v>82.0</v>
      </c>
      <c r="B87" s="142" t="s">
        <v>2500</v>
      </c>
      <c r="C87" s="142" t="s">
        <v>2501</v>
      </c>
      <c r="D87" s="142" t="s">
        <v>2502</v>
      </c>
      <c r="E87" s="189" t="s">
        <v>2503</v>
      </c>
      <c r="F87" s="189"/>
      <c r="G87" s="189" t="s">
        <v>424</v>
      </c>
      <c r="H87" s="189"/>
      <c r="I87" s="189">
        <v>41584.0</v>
      </c>
      <c r="J87" s="189">
        <v>41584.0</v>
      </c>
      <c r="K87" s="189">
        <v>41676.0</v>
      </c>
      <c r="L87" s="189">
        <v>41677.0</v>
      </c>
      <c r="M87" s="189">
        <v>41797.0</v>
      </c>
      <c r="N87" s="189">
        <v>41798.0</v>
      </c>
      <c r="O87" s="189">
        <v>41890.0</v>
      </c>
      <c r="P87" s="189">
        <v>41891.0</v>
      </c>
      <c r="Q87" s="189">
        <v>41973.0</v>
      </c>
      <c r="R87" s="189"/>
      <c r="S87" s="189"/>
      <c r="T87" s="189"/>
      <c r="U87" s="189"/>
      <c r="V87" s="189"/>
      <c r="W87" s="189"/>
      <c r="X87" s="189"/>
      <c r="Y87" s="189"/>
      <c r="Z87" s="189"/>
      <c r="AA87" s="189"/>
      <c r="AB87" s="189"/>
      <c r="AC87" s="189" t="s">
        <v>394</v>
      </c>
      <c r="AD87" s="189">
        <v>33397.0</v>
      </c>
      <c r="AE87" s="189" t="s">
        <v>2504</v>
      </c>
      <c r="AF87" s="189"/>
      <c r="AG87" s="189"/>
      <c r="AH87" s="189">
        <v>9.175096586E9</v>
      </c>
      <c r="AI87" s="189"/>
      <c r="AJ87" s="189" t="s">
        <v>2505</v>
      </c>
      <c r="AK87" s="189"/>
      <c r="AL87" s="189"/>
      <c r="AM87" s="189"/>
      <c r="AN87" s="189"/>
      <c r="AO87" s="189"/>
      <c r="AP87" s="189"/>
      <c r="AQ87" s="190"/>
      <c r="AR87" s="189" t="s">
        <v>1241</v>
      </c>
      <c r="AS87" s="191"/>
    </row>
    <row r="88" ht="14.25" customHeight="1">
      <c r="A88" s="188">
        <v>83.0</v>
      </c>
      <c r="B88" s="142" t="s">
        <v>2506</v>
      </c>
      <c r="C88" s="142" t="s">
        <v>2507</v>
      </c>
      <c r="D88" s="142" t="s">
        <v>2508</v>
      </c>
      <c r="E88" s="189" t="s">
        <v>2047</v>
      </c>
      <c r="F88" s="189"/>
      <c r="G88" s="189" t="s">
        <v>1855</v>
      </c>
      <c r="H88" s="189"/>
      <c r="I88" s="189">
        <v>42397.0</v>
      </c>
      <c r="J88" s="189">
        <v>42381.0</v>
      </c>
      <c r="K88" s="189">
        <v>42396.0</v>
      </c>
      <c r="L88" s="189"/>
      <c r="M88" s="189"/>
      <c r="N88" s="189"/>
      <c r="O88" s="189"/>
      <c r="P88" s="189"/>
      <c r="Q88" s="189"/>
      <c r="R88" s="189"/>
      <c r="S88" s="189"/>
      <c r="T88" s="189"/>
      <c r="U88" s="189"/>
      <c r="V88" s="189"/>
      <c r="W88" s="189"/>
      <c r="X88" s="189"/>
      <c r="Y88" s="189"/>
      <c r="Z88" s="189"/>
      <c r="AA88" s="189"/>
      <c r="AB88" s="189"/>
      <c r="AC88" s="189" t="s">
        <v>394</v>
      </c>
      <c r="AD88" s="189">
        <v>34700.0</v>
      </c>
      <c r="AE88" s="189" t="s">
        <v>2509</v>
      </c>
      <c r="AF88" s="189" t="s">
        <v>2510</v>
      </c>
      <c r="AG88" s="189"/>
      <c r="AH88" s="189" t="s">
        <v>2511</v>
      </c>
      <c r="AI88" s="189"/>
      <c r="AJ88" s="189" t="s">
        <v>1847</v>
      </c>
      <c r="AK88" s="189" t="s">
        <v>2512</v>
      </c>
      <c r="AL88" s="189"/>
      <c r="AM88" s="189" t="s">
        <v>2513</v>
      </c>
      <c r="AN88" s="189"/>
      <c r="AO88" s="189"/>
      <c r="AP88" s="189" t="s">
        <v>2514</v>
      </c>
      <c r="AQ88" s="190"/>
      <c r="AR88" s="189" t="s">
        <v>983</v>
      </c>
      <c r="AS88" s="191"/>
    </row>
    <row r="89" ht="14.25" customHeight="1">
      <c r="A89" s="188">
        <v>84.0</v>
      </c>
      <c r="B89" s="142" t="s">
        <v>1854</v>
      </c>
      <c r="C89" s="142" t="s">
        <v>2515</v>
      </c>
      <c r="D89" s="142" t="s">
        <v>2516</v>
      </c>
      <c r="E89" s="189" t="s">
        <v>82</v>
      </c>
      <c r="F89" s="189"/>
      <c r="G89" s="189" t="s">
        <v>1832</v>
      </c>
      <c r="H89" s="189"/>
      <c r="I89" s="189">
        <v>41122.0</v>
      </c>
      <c r="J89" s="189">
        <v>41015.0</v>
      </c>
      <c r="K89" s="189">
        <v>41106.0</v>
      </c>
      <c r="L89" s="189"/>
      <c r="M89" s="189"/>
      <c r="N89" s="189"/>
      <c r="O89" s="189"/>
      <c r="P89" s="189">
        <v>41122.0</v>
      </c>
      <c r="Q89" s="189">
        <v>41274.0</v>
      </c>
      <c r="R89" s="189">
        <v>41290.0</v>
      </c>
      <c r="S89" s="189">
        <v>41441.0</v>
      </c>
      <c r="T89" s="189"/>
      <c r="U89" s="189"/>
      <c r="V89" s="189">
        <v>41456.0</v>
      </c>
      <c r="W89" s="189">
        <v>42186.0</v>
      </c>
      <c r="X89" s="189">
        <v>42186.0</v>
      </c>
      <c r="Y89" s="189">
        <v>42552.0</v>
      </c>
      <c r="Z89" s="189"/>
      <c r="AA89" s="189"/>
      <c r="AB89" s="189"/>
      <c r="AC89" s="189" t="s">
        <v>394</v>
      </c>
      <c r="AD89" s="189">
        <v>32571.0</v>
      </c>
      <c r="AE89" s="189" t="s">
        <v>2517</v>
      </c>
      <c r="AF89" s="189"/>
      <c r="AG89" s="189"/>
      <c r="AH89" s="189">
        <v>9.477854912E9</v>
      </c>
      <c r="AI89" s="189"/>
      <c r="AJ89" s="189" t="s">
        <v>1834</v>
      </c>
      <c r="AK89" s="189" t="s">
        <v>2518</v>
      </c>
      <c r="AL89" s="189"/>
      <c r="AM89" s="189" t="s">
        <v>2519</v>
      </c>
      <c r="AN89" s="189" t="s">
        <v>2520</v>
      </c>
      <c r="AO89" s="189"/>
      <c r="AP89" s="189"/>
      <c r="AQ89" s="190"/>
      <c r="AR89" s="194" t="s">
        <v>2521</v>
      </c>
      <c r="AS89" s="191">
        <v>42392.0</v>
      </c>
    </row>
    <row r="90" ht="14.25" customHeight="1">
      <c r="A90" s="188">
        <v>85.0</v>
      </c>
      <c r="B90" s="142" t="s">
        <v>2522</v>
      </c>
      <c r="C90" s="142" t="s">
        <v>2523</v>
      </c>
      <c r="D90" s="142" t="s">
        <v>1316</v>
      </c>
      <c r="E90" s="189" t="s">
        <v>133</v>
      </c>
      <c r="F90" s="189"/>
      <c r="G90" s="189" t="s">
        <v>1832</v>
      </c>
      <c r="H90" s="189"/>
      <c r="I90" s="189">
        <v>41887.0</v>
      </c>
      <c r="J90" s="189">
        <v>41794.0</v>
      </c>
      <c r="K90" s="189">
        <v>41886.0</v>
      </c>
      <c r="L90" s="189"/>
      <c r="M90" s="189"/>
      <c r="N90" s="189"/>
      <c r="O90" s="189"/>
      <c r="P90" s="189">
        <v>41887.0</v>
      </c>
      <c r="Q90" s="189">
        <v>42039.0</v>
      </c>
      <c r="R90" s="189"/>
      <c r="S90" s="189"/>
      <c r="T90" s="189"/>
      <c r="U90" s="189"/>
      <c r="V90" s="189">
        <v>42040.0</v>
      </c>
      <c r="W90" s="189">
        <v>42771.0</v>
      </c>
      <c r="X90" s="189"/>
      <c r="Y90" s="189"/>
      <c r="Z90" s="189"/>
      <c r="AA90" s="189"/>
      <c r="AB90" s="189"/>
      <c r="AC90" s="189" t="s">
        <v>394</v>
      </c>
      <c r="AD90" s="189">
        <v>33023.0</v>
      </c>
      <c r="AE90" s="189" t="s">
        <v>2524</v>
      </c>
      <c r="AF90" s="189" t="s">
        <v>2525</v>
      </c>
      <c r="AG90" s="189"/>
      <c r="AH90" s="189">
        <v>9.064444957E9</v>
      </c>
      <c r="AI90" s="189"/>
      <c r="AJ90" s="189" t="s">
        <v>2526</v>
      </c>
      <c r="AK90" s="189" t="s">
        <v>2527</v>
      </c>
      <c r="AL90" s="189"/>
      <c r="AM90" s="192" t="s">
        <v>2528</v>
      </c>
      <c r="AN90" s="192" t="s">
        <v>2529</v>
      </c>
      <c r="AO90" s="189"/>
      <c r="AP90" s="189" t="s">
        <v>2530</v>
      </c>
      <c r="AQ90" s="190"/>
      <c r="AR90" s="189" t="s">
        <v>1840</v>
      </c>
      <c r="AS90" s="191">
        <v>42400.0</v>
      </c>
    </row>
    <row r="91" ht="14.25" customHeight="1">
      <c r="A91" s="188">
        <v>86.0</v>
      </c>
      <c r="B91" s="142" t="s">
        <v>2531</v>
      </c>
      <c r="C91" s="142" t="s">
        <v>2532</v>
      </c>
      <c r="D91" s="142" t="s">
        <v>2533</v>
      </c>
      <c r="E91" s="189" t="s">
        <v>82</v>
      </c>
      <c r="F91" s="189"/>
      <c r="G91" s="189" t="s">
        <v>1855</v>
      </c>
      <c r="H91" s="189"/>
      <c r="I91" s="189">
        <v>42327.0</v>
      </c>
      <c r="J91" s="189">
        <v>42312.0</v>
      </c>
      <c r="K91" s="189">
        <v>42327.0</v>
      </c>
      <c r="L91" s="189"/>
      <c r="M91" s="189"/>
      <c r="N91" s="189"/>
      <c r="O91" s="189"/>
      <c r="P91" s="189">
        <v>42327.0</v>
      </c>
      <c r="Q91" s="189">
        <v>42113.0</v>
      </c>
      <c r="R91" s="189"/>
      <c r="S91" s="189"/>
      <c r="T91" s="189"/>
      <c r="U91" s="189"/>
      <c r="V91" s="189"/>
      <c r="W91" s="189"/>
      <c r="X91" s="189"/>
      <c r="Y91" s="189"/>
      <c r="Z91" s="189"/>
      <c r="AA91" s="189"/>
      <c r="AB91" s="189"/>
      <c r="AC91" s="189" t="s">
        <v>394</v>
      </c>
      <c r="AD91" s="189">
        <v>42338.0</v>
      </c>
      <c r="AE91" s="189" t="s">
        <v>2534</v>
      </c>
      <c r="AF91" s="189" t="s">
        <v>2535</v>
      </c>
      <c r="AG91" s="189"/>
      <c r="AH91" s="189">
        <v>9.265543492E9</v>
      </c>
      <c r="AI91" s="189"/>
      <c r="AJ91" s="189" t="s">
        <v>2423</v>
      </c>
      <c r="AK91" s="189" t="s">
        <v>2536</v>
      </c>
      <c r="AL91" s="189"/>
      <c r="AM91" s="189" t="s">
        <v>2537</v>
      </c>
      <c r="AN91" s="189" t="s">
        <v>2538</v>
      </c>
      <c r="AO91" s="189"/>
      <c r="AP91" s="189" t="s">
        <v>2539</v>
      </c>
      <c r="AQ91" s="190"/>
      <c r="AR91" s="189" t="s">
        <v>1840</v>
      </c>
      <c r="AS91" s="191"/>
    </row>
    <row r="92" ht="14.25" customHeight="1">
      <c r="A92" s="188">
        <v>87.0</v>
      </c>
      <c r="B92" s="142" t="s">
        <v>2540</v>
      </c>
      <c r="C92" s="142" t="s">
        <v>2541</v>
      </c>
      <c r="D92" s="142" t="s">
        <v>2542</v>
      </c>
      <c r="E92" s="189" t="s">
        <v>2543</v>
      </c>
      <c r="F92" s="189"/>
      <c r="G92" s="189" t="s">
        <v>1855</v>
      </c>
      <c r="H92" s="189"/>
      <c r="I92" s="189">
        <v>42264.0</v>
      </c>
      <c r="J92" s="189">
        <v>42249.0</v>
      </c>
      <c r="K92" s="189">
        <v>42263.0</v>
      </c>
      <c r="L92" s="189"/>
      <c r="M92" s="189"/>
      <c r="N92" s="189"/>
      <c r="O92" s="189"/>
      <c r="P92" s="189">
        <v>42264.0</v>
      </c>
      <c r="Q92" s="189">
        <v>42417.0</v>
      </c>
      <c r="R92" s="189"/>
      <c r="S92" s="189"/>
      <c r="T92" s="189"/>
      <c r="U92" s="189"/>
      <c r="V92" s="189"/>
      <c r="W92" s="189"/>
      <c r="X92" s="189"/>
      <c r="Y92" s="189"/>
      <c r="Z92" s="189"/>
      <c r="AA92" s="189"/>
      <c r="AB92" s="189"/>
      <c r="AC92" s="189" t="s">
        <v>394</v>
      </c>
      <c r="AD92" s="189">
        <v>35306.0</v>
      </c>
      <c r="AE92" s="189" t="s">
        <v>2544</v>
      </c>
      <c r="AF92" s="189"/>
      <c r="AG92" s="189"/>
      <c r="AH92" s="189">
        <v>9.36535079E9</v>
      </c>
      <c r="AI92" s="189"/>
      <c r="AJ92" s="189" t="s">
        <v>2545</v>
      </c>
      <c r="AK92" s="189" t="s">
        <v>2546</v>
      </c>
      <c r="AL92" s="189" t="s">
        <v>2547</v>
      </c>
      <c r="AM92" s="189" t="s">
        <v>2548</v>
      </c>
      <c r="AN92" s="189" t="s">
        <v>2549</v>
      </c>
      <c r="AO92" s="189"/>
      <c r="AP92" s="189" t="s">
        <v>2550</v>
      </c>
      <c r="AQ92" s="190"/>
      <c r="AR92" s="189" t="s">
        <v>1241</v>
      </c>
      <c r="AS92" s="191">
        <v>42417.0</v>
      </c>
    </row>
    <row r="93" ht="14.25" customHeight="1">
      <c r="A93" s="188">
        <v>88.0</v>
      </c>
      <c r="B93" s="142" t="s">
        <v>2551</v>
      </c>
      <c r="C93" s="142" t="s">
        <v>2084</v>
      </c>
      <c r="D93" s="142" t="s">
        <v>2552</v>
      </c>
      <c r="E93" s="189" t="s">
        <v>82</v>
      </c>
      <c r="F93" s="189"/>
      <c r="G93" s="189" t="s">
        <v>1855</v>
      </c>
      <c r="H93" s="189"/>
      <c r="I93" s="189">
        <v>42276.0</v>
      </c>
      <c r="J93" s="189">
        <v>42261.0</v>
      </c>
      <c r="K93" s="189">
        <v>42275.0</v>
      </c>
      <c r="L93" s="189"/>
      <c r="M93" s="189"/>
      <c r="N93" s="189"/>
      <c r="O93" s="189"/>
      <c r="P93" s="189">
        <v>42276.0</v>
      </c>
      <c r="Q93" s="189">
        <v>42429.0</v>
      </c>
      <c r="R93" s="189"/>
      <c r="S93" s="189"/>
      <c r="T93" s="189"/>
      <c r="U93" s="189"/>
      <c r="V93" s="189"/>
      <c r="W93" s="189"/>
      <c r="X93" s="189"/>
      <c r="Y93" s="189"/>
      <c r="Z93" s="189"/>
      <c r="AA93" s="189"/>
      <c r="AB93" s="189"/>
      <c r="AC93" s="189" t="s">
        <v>394</v>
      </c>
      <c r="AD93" s="189">
        <v>34732.0</v>
      </c>
      <c r="AE93" s="189" t="s">
        <v>2553</v>
      </c>
      <c r="AF93" s="189" t="s">
        <v>2554</v>
      </c>
      <c r="AG93" s="189"/>
      <c r="AH93" s="189">
        <v>9.261820551E9</v>
      </c>
      <c r="AI93" s="189"/>
      <c r="AJ93" s="189" t="s">
        <v>2555</v>
      </c>
      <c r="AK93" s="189" t="s">
        <v>2556</v>
      </c>
      <c r="AL93" s="189"/>
      <c r="AM93" s="189" t="s">
        <v>2557</v>
      </c>
      <c r="AN93" s="189" t="s">
        <v>2558</v>
      </c>
      <c r="AO93" s="189"/>
      <c r="AP93" s="189" t="s">
        <v>2559</v>
      </c>
      <c r="AQ93" s="190"/>
      <c r="AR93" s="189" t="s">
        <v>1241</v>
      </c>
      <c r="AS93" s="191">
        <v>42429.0</v>
      </c>
    </row>
    <row r="94" ht="14.25" customHeight="1">
      <c r="A94" s="188">
        <v>89.0</v>
      </c>
      <c r="B94" s="142" t="s">
        <v>2560</v>
      </c>
      <c r="C94" s="142" t="s">
        <v>2561</v>
      </c>
      <c r="D94" s="142" t="s">
        <v>2562</v>
      </c>
      <c r="E94" s="189" t="s">
        <v>1881</v>
      </c>
      <c r="F94" s="189"/>
      <c r="G94" s="189" t="s">
        <v>1855</v>
      </c>
      <c r="H94" s="189"/>
      <c r="I94" s="189">
        <v>42288.0</v>
      </c>
      <c r="J94" s="189">
        <v>42265.0</v>
      </c>
      <c r="K94" s="189">
        <v>42279.0</v>
      </c>
      <c r="L94" s="189"/>
      <c r="M94" s="189"/>
      <c r="N94" s="189"/>
      <c r="O94" s="189"/>
      <c r="P94" s="189">
        <v>42288.0</v>
      </c>
      <c r="Q94" s="189">
        <v>42432.0</v>
      </c>
      <c r="R94" s="189"/>
      <c r="S94" s="189"/>
      <c r="T94" s="189"/>
      <c r="U94" s="189"/>
      <c r="V94" s="189"/>
      <c r="W94" s="189"/>
      <c r="X94" s="189"/>
      <c r="Y94" s="189"/>
      <c r="Z94" s="189"/>
      <c r="AA94" s="189"/>
      <c r="AB94" s="189"/>
      <c r="AC94" s="189" t="s">
        <v>394</v>
      </c>
      <c r="AD94" s="189">
        <v>34949.0</v>
      </c>
      <c r="AE94" s="189" t="s">
        <v>2563</v>
      </c>
      <c r="AF94" s="189" t="s">
        <v>2564</v>
      </c>
      <c r="AG94" s="189"/>
      <c r="AH94" s="189">
        <v>9.753490251E9</v>
      </c>
      <c r="AI94" s="189"/>
      <c r="AJ94" s="189" t="s">
        <v>2565</v>
      </c>
      <c r="AK94" s="189" t="s">
        <v>2566</v>
      </c>
      <c r="AL94" s="189" t="s">
        <v>2567</v>
      </c>
      <c r="AM94" s="189" t="s">
        <v>2568</v>
      </c>
      <c r="AN94" s="189" t="s">
        <v>2569</v>
      </c>
      <c r="AO94" s="189"/>
      <c r="AP94" s="189" t="s">
        <v>2570</v>
      </c>
      <c r="AQ94" s="190"/>
      <c r="AR94" s="189" t="s">
        <v>1241</v>
      </c>
      <c r="AS94" s="191">
        <v>42432.0</v>
      </c>
    </row>
    <row r="95" ht="14.25" customHeight="1">
      <c r="A95" s="188">
        <v>90.0</v>
      </c>
      <c r="B95" s="142" t="s">
        <v>2571</v>
      </c>
      <c r="C95" s="142" t="s">
        <v>2572</v>
      </c>
      <c r="D95" s="142" t="s">
        <v>2573</v>
      </c>
      <c r="E95" s="189" t="s">
        <v>1881</v>
      </c>
      <c r="F95" s="189"/>
      <c r="G95" s="189" t="s">
        <v>1855</v>
      </c>
      <c r="H95" s="189"/>
      <c r="I95" s="189">
        <v>42288.0</v>
      </c>
      <c r="J95" s="189">
        <v>42234.0</v>
      </c>
      <c r="K95" s="189">
        <v>42279.0</v>
      </c>
      <c r="L95" s="189"/>
      <c r="M95" s="189"/>
      <c r="N95" s="189"/>
      <c r="O95" s="189"/>
      <c r="P95" s="189">
        <v>42288.0</v>
      </c>
      <c r="Q95" s="189">
        <v>42432.0</v>
      </c>
      <c r="R95" s="189"/>
      <c r="S95" s="189"/>
      <c r="T95" s="189"/>
      <c r="U95" s="189"/>
      <c r="V95" s="189"/>
      <c r="W95" s="189"/>
      <c r="X95" s="189"/>
      <c r="Y95" s="189"/>
      <c r="Z95" s="189"/>
      <c r="AA95" s="189"/>
      <c r="AB95" s="189"/>
      <c r="AC95" s="189" t="s">
        <v>394</v>
      </c>
      <c r="AD95" s="189">
        <v>34879.0</v>
      </c>
      <c r="AE95" s="189" t="s">
        <v>2574</v>
      </c>
      <c r="AF95" s="189" t="s">
        <v>2575</v>
      </c>
      <c r="AG95" s="189"/>
      <c r="AH95" s="189">
        <v>9.485416091E9</v>
      </c>
      <c r="AI95" s="189"/>
      <c r="AJ95" s="189" t="s">
        <v>2576</v>
      </c>
      <c r="AK95" s="189" t="s">
        <v>2577</v>
      </c>
      <c r="AL95" s="189" t="s">
        <v>2578</v>
      </c>
      <c r="AM95" s="189" t="s">
        <v>2579</v>
      </c>
      <c r="AN95" s="189" t="s">
        <v>2580</v>
      </c>
      <c r="AO95" s="189"/>
      <c r="AP95" s="189" t="s">
        <v>2581</v>
      </c>
      <c r="AQ95" s="190"/>
      <c r="AR95" s="189" t="s">
        <v>1241</v>
      </c>
      <c r="AS95" s="191">
        <v>42432.0</v>
      </c>
    </row>
    <row r="96" ht="14.25" customHeight="1">
      <c r="A96" s="188">
        <v>91.0</v>
      </c>
      <c r="B96" s="142" t="s">
        <v>807</v>
      </c>
      <c r="C96" s="142" t="s">
        <v>1842</v>
      </c>
      <c r="D96" s="142" t="s">
        <v>2582</v>
      </c>
      <c r="E96" s="189" t="s">
        <v>679</v>
      </c>
      <c r="F96" s="189"/>
      <c r="G96" s="189" t="s">
        <v>1832</v>
      </c>
      <c r="H96" s="189"/>
      <c r="I96" s="189">
        <v>41781.0</v>
      </c>
      <c r="J96" s="189"/>
      <c r="K96" s="189"/>
      <c r="L96" s="189"/>
      <c r="M96" s="189"/>
      <c r="N96" s="189"/>
      <c r="O96" s="189"/>
      <c r="P96" s="189">
        <v>41933.0</v>
      </c>
      <c r="Q96" s="189">
        <v>41781.0</v>
      </c>
      <c r="R96" s="189"/>
      <c r="S96" s="189"/>
      <c r="T96" s="189"/>
      <c r="U96" s="189"/>
      <c r="V96" s="189">
        <v>41934.0</v>
      </c>
      <c r="W96" s="189">
        <v>42299.0</v>
      </c>
      <c r="X96" s="189">
        <v>42300.0</v>
      </c>
      <c r="Y96" s="189">
        <v>42666.0</v>
      </c>
      <c r="Z96" s="189"/>
      <c r="AA96" s="189"/>
      <c r="AB96" s="189"/>
      <c r="AC96" s="189" t="s">
        <v>217</v>
      </c>
      <c r="AD96" s="189">
        <v>29435.0</v>
      </c>
      <c r="AE96" s="189" t="s">
        <v>2583</v>
      </c>
      <c r="AF96" s="189" t="s">
        <v>2525</v>
      </c>
      <c r="AG96" s="189"/>
      <c r="AH96" s="189">
        <v>9.283365697E9</v>
      </c>
      <c r="AI96" s="189"/>
      <c r="AJ96" s="189" t="s">
        <v>2584</v>
      </c>
      <c r="AK96" s="189" t="s">
        <v>2585</v>
      </c>
      <c r="AL96" s="189" t="s">
        <v>2586</v>
      </c>
      <c r="AM96" s="189" t="s">
        <v>2587</v>
      </c>
      <c r="AN96" s="189" t="s">
        <v>2588</v>
      </c>
      <c r="AO96" s="189"/>
      <c r="AP96" s="189" t="s">
        <v>2589</v>
      </c>
      <c r="AQ96" s="190"/>
      <c r="AR96" s="189" t="s">
        <v>1840</v>
      </c>
      <c r="AS96" s="191">
        <v>42445.0</v>
      </c>
    </row>
    <row r="97" ht="14.25" customHeight="1">
      <c r="A97" s="188">
        <v>92.0</v>
      </c>
      <c r="B97" s="142" t="s">
        <v>2590</v>
      </c>
      <c r="C97" s="142" t="s">
        <v>1008</v>
      </c>
      <c r="D97" s="142" t="s">
        <v>2591</v>
      </c>
      <c r="E97" s="189" t="s">
        <v>82</v>
      </c>
      <c r="F97" s="189"/>
      <c r="G97" s="189" t="s">
        <v>1855</v>
      </c>
      <c r="H97" s="189"/>
      <c r="I97" s="189">
        <v>42304.0</v>
      </c>
      <c r="J97" s="189">
        <v>42289.0</v>
      </c>
      <c r="K97" s="189">
        <v>42303.0</v>
      </c>
      <c r="L97" s="189"/>
      <c r="M97" s="189"/>
      <c r="N97" s="189"/>
      <c r="O97" s="189"/>
      <c r="P97" s="189">
        <v>42304.0</v>
      </c>
      <c r="Q97" s="189">
        <v>42090.0</v>
      </c>
      <c r="R97" s="189"/>
      <c r="S97" s="189"/>
      <c r="T97" s="189"/>
      <c r="U97" s="189"/>
      <c r="V97" s="189"/>
      <c r="W97" s="189"/>
      <c r="X97" s="189"/>
      <c r="Y97" s="189"/>
      <c r="Z97" s="189"/>
      <c r="AA97" s="189"/>
      <c r="AB97" s="189"/>
      <c r="AC97" s="189" t="s">
        <v>394</v>
      </c>
      <c r="AD97" s="189">
        <v>34542.0</v>
      </c>
      <c r="AE97" s="189" t="s">
        <v>2592</v>
      </c>
      <c r="AF97" s="189"/>
      <c r="AG97" s="189"/>
      <c r="AH97" s="189">
        <v>9.070225936E9</v>
      </c>
      <c r="AI97" s="189"/>
      <c r="AJ97" s="189"/>
      <c r="AK97" s="189" t="s">
        <v>2593</v>
      </c>
      <c r="AL97" s="189" t="s">
        <v>2594</v>
      </c>
      <c r="AM97" s="189" t="s">
        <v>2595</v>
      </c>
      <c r="AN97" s="189" t="s">
        <v>2596</v>
      </c>
      <c r="AO97" s="189"/>
      <c r="AP97" s="189" t="s">
        <v>2597</v>
      </c>
      <c r="AQ97" s="190"/>
      <c r="AR97" s="189" t="s">
        <v>1241</v>
      </c>
      <c r="AS97" s="191"/>
    </row>
    <row r="98" ht="14.25" customHeight="1">
      <c r="A98" s="188">
        <v>93.0</v>
      </c>
      <c r="B98" s="142" t="s">
        <v>2598</v>
      </c>
      <c r="C98" s="142" t="s">
        <v>1957</v>
      </c>
      <c r="D98" s="142" t="s">
        <v>2599</v>
      </c>
      <c r="E98" s="189" t="s">
        <v>82</v>
      </c>
      <c r="F98" s="189"/>
      <c r="G98" s="189" t="s">
        <v>1832</v>
      </c>
      <c r="H98" s="189"/>
      <c r="I98" s="189">
        <v>42158.0</v>
      </c>
      <c r="J98" s="189">
        <v>42065.0</v>
      </c>
      <c r="K98" s="189">
        <v>42157.0</v>
      </c>
      <c r="L98" s="189"/>
      <c r="M98" s="189"/>
      <c r="N98" s="189"/>
      <c r="O98" s="189"/>
      <c r="P98" s="189">
        <v>42158.0</v>
      </c>
      <c r="Q98" s="189">
        <v>42310.0</v>
      </c>
      <c r="R98" s="189"/>
      <c r="S98" s="189"/>
      <c r="T98" s="189"/>
      <c r="U98" s="189"/>
      <c r="V98" s="189">
        <v>42311.0</v>
      </c>
      <c r="W98" s="189">
        <v>42677.0</v>
      </c>
      <c r="X98" s="189"/>
      <c r="Y98" s="189"/>
      <c r="Z98" s="189"/>
      <c r="AA98" s="189"/>
      <c r="AB98" s="189"/>
      <c r="AC98" s="189" t="s">
        <v>394</v>
      </c>
      <c r="AD98" s="189">
        <v>32973.0</v>
      </c>
      <c r="AE98" s="189" t="s">
        <v>2600</v>
      </c>
      <c r="AF98" s="189" t="s">
        <v>2601</v>
      </c>
      <c r="AG98" s="189"/>
      <c r="AH98" s="189">
        <v>9.062551144E9</v>
      </c>
      <c r="AI98" s="189"/>
      <c r="AJ98" s="189" t="s">
        <v>2602</v>
      </c>
      <c r="AK98" s="189" t="s">
        <v>2603</v>
      </c>
      <c r="AL98" s="192" t="s">
        <v>2604</v>
      </c>
      <c r="AM98" s="192" t="s">
        <v>2605</v>
      </c>
      <c r="AN98" s="192" t="s">
        <v>2606</v>
      </c>
      <c r="AO98" s="189"/>
      <c r="AP98" s="189" t="s">
        <v>2607</v>
      </c>
      <c r="AQ98" s="190"/>
      <c r="AR98" s="189" t="s">
        <v>1840</v>
      </c>
      <c r="AS98" s="191">
        <v>42457.0</v>
      </c>
    </row>
    <row r="99" ht="14.25" customHeight="1">
      <c r="A99" s="188">
        <v>94.0</v>
      </c>
      <c r="B99" s="142" t="s">
        <v>2608</v>
      </c>
      <c r="C99" s="142" t="s">
        <v>2609</v>
      </c>
      <c r="D99" s="142" t="s">
        <v>2610</v>
      </c>
      <c r="E99" s="189" t="s">
        <v>550</v>
      </c>
      <c r="F99" s="189"/>
      <c r="G99" s="189" t="s">
        <v>57</v>
      </c>
      <c r="H99" s="189"/>
      <c r="I99" s="189">
        <v>39814.0</v>
      </c>
      <c r="J99" s="189">
        <v>39234.0</v>
      </c>
      <c r="K99" s="189">
        <v>39326.0</v>
      </c>
      <c r="L99" s="189"/>
      <c r="M99" s="189"/>
      <c r="N99" s="189"/>
      <c r="O99" s="189"/>
      <c r="P99" s="189"/>
      <c r="Q99" s="189"/>
      <c r="R99" s="189"/>
      <c r="S99" s="189"/>
      <c r="T99" s="189"/>
      <c r="U99" s="189"/>
      <c r="V99" s="189"/>
      <c r="W99" s="189"/>
      <c r="X99" s="189"/>
      <c r="Y99" s="189"/>
      <c r="Z99" s="189"/>
      <c r="AA99" s="189"/>
      <c r="AB99" s="189">
        <v>39814.0</v>
      </c>
      <c r="AC99" s="189" t="s">
        <v>217</v>
      </c>
      <c r="AD99" s="189">
        <v>29825.0</v>
      </c>
      <c r="AE99" s="189" t="s">
        <v>2611</v>
      </c>
      <c r="AF99" s="189"/>
      <c r="AG99" s="189"/>
      <c r="AH99" s="189">
        <v>9.202542523E9</v>
      </c>
      <c r="AI99" s="189"/>
      <c r="AJ99" s="189" t="s">
        <v>526</v>
      </c>
      <c r="AK99" s="189" t="s">
        <v>2612</v>
      </c>
      <c r="AL99" s="189" t="s">
        <v>2613</v>
      </c>
      <c r="AM99" s="189" t="s">
        <v>2614</v>
      </c>
      <c r="AN99" s="189" t="s">
        <v>2615</v>
      </c>
      <c r="AO99" s="189"/>
      <c r="AP99" s="189" t="s">
        <v>2616</v>
      </c>
      <c r="AQ99" s="190"/>
      <c r="AR99" s="189" t="s">
        <v>1840</v>
      </c>
      <c r="AS99" s="191">
        <v>42460.0</v>
      </c>
    </row>
    <row r="100" ht="14.25" customHeight="1">
      <c r="A100" s="188">
        <v>95.0</v>
      </c>
      <c r="B100" s="142" t="s">
        <v>2617</v>
      </c>
      <c r="C100" s="142" t="s">
        <v>2618</v>
      </c>
      <c r="D100" s="142" t="s">
        <v>1316</v>
      </c>
      <c r="E100" s="189" t="s">
        <v>717</v>
      </c>
      <c r="F100" s="189"/>
      <c r="G100" s="189" t="s">
        <v>1855</v>
      </c>
      <c r="H100" s="189"/>
      <c r="I100" s="189">
        <v>42311.0</v>
      </c>
      <c r="J100" s="189">
        <v>42296.0</v>
      </c>
      <c r="K100" s="189">
        <v>42310.0</v>
      </c>
      <c r="L100" s="189"/>
      <c r="M100" s="189"/>
      <c r="N100" s="189"/>
      <c r="O100" s="189"/>
      <c r="P100" s="189">
        <v>42311.0</v>
      </c>
      <c r="Q100" s="189">
        <v>42463.0</v>
      </c>
      <c r="R100" s="189"/>
      <c r="S100" s="189"/>
      <c r="T100" s="189"/>
      <c r="U100" s="189"/>
      <c r="V100" s="189"/>
      <c r="W100" s="189"/>
      <c r="X100" s="189"/>
      <c r="Y100" s="189"/>
      <c r="Z100" s="189"/>
      <c r="AA100" s="189"/>
      <c r="AB100" s="189"/>
      <c r="AC100" s="189" t="s">
        <v>394</v>
      </c>
      <c r="AD100" s="189">
        <v>34196.0</v>
      </c>
      <c r="AE100" s="189" t="s">
        <v>2619</v>
      </c>
      <c r="AF100" s="189"/>
      <c r="AG100" s="189"/>
      <c r="AH100" s="189">
        <v>9.225363076E9</v>
      </c>
      <c r="AI100" s="189"/>
      <c r="AJ100" s="189"/>
      <c r="AK100" s="189" t="s">
        <v>2620</v>
      </c>
      <c r="AL100" s="189" t="s">
        <v>2621</v>
      </c>
      <c r="AM100" s="192" t="s">
        <v>2622</v>
      </c>
      <c r="AN100" s="192" t="s">
        <v>2623</v>
      </c>
      <c r="AO100" s="189"/>
      <c r="AP100" s="189" t="s">
        <v>2624</v>
      </c>
      <c r="AQ100" s="190"/>
      <c r="AR100" s="189" t="s">
        <v>1241</v>
      </c>
      <c r="AS100" s="191">
        <v>42463.0</v>
      </c>
    </row>
    <row r="101" ht="14.25" customHeight="1">
      <c r="A101" s="188">
        <v>96.0</v>
      </c>
      <c r="B101" s="142" t="s">
        <v>2625</v>
      </c>
      <c r="C101" s="142" t="s">
        <v>2626</v>
      </c>
      <c r="D101" s="142" t="s">
        <v>902</v>
      </c>
      <c r="E101" s="189" t="s">
        <v>82</v>
      </c>
      <c r="F101" s="189"/>
      <c r="G101" s="189" t="s">
        <v>1855</v>
      </c>
      <c r="H101" s="189"/>
      <c r="I101" s="189">
        <v>42403.0</v>
      </c>
      <c r="J101" s="189">
        <v>42388.0</v>
      </c>
      <c r="K101" s="189">
        <v>42402.0</v>
      </c>
      <c r="L101" s="189"/>
      <c r="M101" s="189"/>
      <c r="N101" s="189"/>
      <c r="O101" s="189"/>
      <c r="P101" s="189">
        <v>42403.0</v>
      </c>
      <c r="Q101" s="189">
        <v>42554.0</v>
      </c>
      <c r="R101" s="189"/>
      <c r="S101" s="189"/>
      <c r="T101" s="189"/>
      <c r="U101" s="189"/>
      <c r="V101" s="189"/>
      <c r="W101" s="189"/>
      <c r="X101" s="189"/>
      <c r="Y101" s="189"/>
      <c r="Z101" s="189"/>
      <c r="AA101" s="189"/>
      <c r="AB101" s="189"/>
      <c r="AC101" s="189" t="s">
        <v>394</v>
      </c>
      <c r="AD101" s="189">
        <v>35304.0</v>
      </c>
      <c r="AE101" s="189" t="s">
        <v>2627</v>
      </c>
      <c r="AF101" s="189"/>
      <c r="AG101" s="189"/>
      <c r="AH101" s="189" t="s">
        <v>2628</v>
      </c>
      <c r="AI101" s="189"/>
      <c r="AJ101" s="189" t="s">
        <v>2629</v>
      </c>
      <c r="AK101" s="189" t="s">
        <v>2630</v>
      </c>
      <c r="AL101" s="189" t="s">
        <v>2621</v>
      </c>
      <c r="AM101" s="189" t="s">
        <v>2631</v>
      </c>
      <c r="AN101" s="189" t="s">
        <v>2632</v>
      </c>
      <c r="AO101" s="189"/>
      <c r="AP101" s="189" t="s">
        <v>2633</v>
      </c>
      <c r="AQ101" s="190"/>
      <c r="AR101" s="189" t="s">
        <v>983</v>
      </c>
      <c r="AS101" s="191"/>
    </row>
    <row r="102" ht="14.25" customHeight="1">
      <c r="A102" s="188">
        <v>97.0</v>
      </c>
      <c r="B102" s="142" t="s">
        <v>2634</v>
      </c>
      <c r="C102" s="142" t="s">
        <v>85</v>
      </c>
      <c r="D102" s="142" t="s">
        <v>2635</v>
      </c>
      <c r="E102" s="189" t="s">
        <v>82</v>
      </c>
      <c r="F102" s="189"/>
      <c r="G102" s="189" t="s">
        <v>1855</v>
      </c>
      <c r="H102" s="189"/>
      <c r="I102" s="189">
        <v>42309.0</v>
      </c>
      <c r="J102" s="189">
        <v>42294.0</v>
      </c>
      <c r="K102" s="189">
        <v>42308.0</v>
      </c>
      <c r="L102" s="189"/>
      <c r="M102" s="189"/>
      <c r="N102" s="189"/>
      <c r="O102" s="189"/>
      <c r="P102" s="189">
        <v>42309.0</v>
      </c>
      <c r="Q102" s="189">
        <v>42461.0</v>
      </c>
      <c r="R102" s="189"/>
      <c r="S102" s="189"/>
      <c r="T102" s="189"/>
      <c r="U102" s="189"/>
      <c r="V102" s="189"/>
      <c r="W102" s="189"/>
      <c r="X102" s="189"/>
      <c r="Y102" s="189"/>
      <c r="Z102" s="189"/>
      <c r="AA102" s="189"/>
      <c r="AB102" s="189"/>
      <c r="AC102" s="189" t="s">
        <v>394</v>
      </c>
      <c r="AD102" s="189">
        <v>42017.0</v>
      </c>
      <c r="AE102" s="189" t="s">
        <v>2636</v>
      </c>
      <c r="AF102" s="189"/>
      <c r="AG102" s="189"/>
      <c r="AH102" s="189">
        <v>9.154190839E9</v>
      </c>
      <c r="AI102" s="189"/>
      <c r="AJ102" s="189" t="s">
        <v>1847</v>
      </c>
      <c r="AK102" s="189" t="s">
        <v>2637</v>
      </c>
      <c r="AL102" s="189" t="s">
        <v>2638</v>
      </c>
      <c r="AM102" s="189" t="s">
        <v>2639</v>
      </c>
      <c r="AN102" s="189" t="s">
        <v>2640</v>
      </c>
      <c r="AO102" s="189"/>
      <c r="AP102" s="189"/>
      <c r="AQ102" s="190"/>
      <c r="AR102" s="189" t="s">
        <v>1241</v>
      </c>
      <c r="AS102" s="191">
        <v>42463.0</v>
      </c>
    </row>
    <row r="103" ht="14.25" customHeight="1">
      <c r="A103" s="188">
        <v>98.0</v>
      </c>
      <c r="B103" s="142" t="s">
        <v>2641</v>
      </c>
      <c r="C103" s="142" t="s">
        <v>2642</v>
      </c>
      <c r="D103" s="142" t="s">
        <v>2643</v>
      </c>
      <c r="E103" s="189" t="s">
        <v>1881</v>
      </c>
      <c r="F103" s="189"/>
      <c r="G103" s="189" t="s">
        <v>419</v>
      </c>
      <c r="H103" s="189"/>
      <c r="I103" s="189"/>
      <c r="J103" s="189">
        <v>42459.0</v>
      </c>
      <c r="K103" s="189">
        <v>42473.0</v>
      </c>
      <c r="L103" s="189"/>
      <c r="M103" s="189"/>
      <c r="N103" s="189"/>
      <c r="O103" s="189"/>
      <c r="P103" s="189"/>
      <c r="Q103" s="189"/>
      <c r="R103" s="189"/>
      <c r="S103" s="189"/>
      <c r="T103" s="189"/>
      <c r="U103" s="189"/>
      <c r="V103" s="189"/>
      <c r="W103" s="189"/>
      <c r="X103" s="189"/>
      <c r="Y103" s="189"/>
      <c r="Z103" s="189"/>
      <c r="AA103" s="189"/>
      <c r="AB103" s="189"/>
      <c r="AC103" s="189" t="s">
        <v>394</v>
      </c>
      <c r="AD103" s="189">
        <v>34598.0</v>
      </c>
      <c r="AE103" s="189" t="s">
        <v>2644</v>
      </c>
      <c r="AF103" s="189" t="s">
        <v>2645</v>
      </c>
      <c r="AG103" s="189"/>
      <c r="AH103" s="189" t="s">
        <v>2646</v>
      </c>
      <c r="AI103" s="189"/>
      <c r="AJ103" s="189" t="s">
        <v>1847</v>
      </c>
      <c r="AK103" s="189" t="s">
        <v>2647</v>
      </c>
      <c r="AL103" s="189"/>
      <c r="AM103" s="189" t="s">
        <v>2648</v>
      </c>
      <c r="AN103" s="189" t="s">
        <v>2649</v>
      </c>
      <c r="AO103" s="189"/>
      <c r="AP103" s="189" t="s">
        <v>2650</v>
      </c>
      <c r="AQ103" s="190"/>
      <c r="AR103" s="189"/>
      <c r="AS103" s="191"/>
    </row>
    <row r="104" ht="14.25" customHeight="1">
      <c r="A104" s="188">
        <v>99.0</v>
      </c>
      <c r="B104" s="142" t="s">
        <v>2651</v>
      </c>
      <c r="C104" s="142" t="s">
        <v>2136</v>
      </c>
      <c r="D104" s="142" t="s">
        <v>2652</v>
      </c>
      <c r="E104" s="189" t="s">
        <v>717</v>
      </c>
      <c r="F104" s="189"/>
      <c r="G104" s="189" t="s">
        <v>1855</v>
      </c>
      <c r="H104" s="189"/>
      <c r="I104" s="189">
        <v>42326.0</v>
      </c>
      <c r="J104" s="189">
        <v>42311.0</v>
      </c>
      <c r="K104" s="189">
        <v>42325.0</v>
      </c>
      <c r="L104" s="189"/>
      <c r="M104" s="189"/>
      <c r="N104" s="189"/>
      <c r="O104" s="189"/>
      <c r="P104" s="189">
        <v>42326.0</v>
      </c>
      <c r="Q104" s="189">
        <v>42112.0</v>
      </c>
      <c r="R104" s="189"/>
      <c r="S104" s="189"/>
      <c r="T104" s="189"/>
      <c r="U104" s="189"/>
      <c r="V104" s="189"/>
      <c r="W104" s="189"/>
      <c r="X104" s="189"/>
      <c r="Y104" s="189"/>
      <c r="Z104" s="189"/>
      <c r="AA104" s="189"/>
      <c r="AB104" s="189"/>
      <c r="AC104" s="189" t="s">
        <v>394</v>
      </c>
      <c r="AD104" s="189">
        <v>34162.0</v>
      </c>
      <c r="AE104" s="189" t="s">
        <v>2653</v>
      </c>
      <c r="AF104" s="189"/>
      <c r="AG104" s="189"/>
      <c r="AH104" s="189">
        <v>9.069612881E9</v>
      </c>
      <c r="AI104" s="189"/>
      <c r="AJ104" s="189" t="s">
        <v>2654</v>
      </c>
      <c r="AK104" s="189" t="s">
        <v>2655</v>
      </c>
      <c r="AL104" s="189" t="s">
        <v>2656</v>
      </c>
      <c r="AM104" s="189" t="s">
        <v>2657</v>
      </c>
      <c r="AN104" s="189" t="s">
        <v>2658</v>
      </c>
      <c r="AO104" s="189"/>
      <c r="AP104" s="189" t="s">
        <v>2659</v>
      </c>
      <c r="AQ104" s="190"/>
      <c r="AR104" s="189" t="s">
        <v>1241</v>
      </c>
      <c r="AS104" s="191">
        <v>42478.0</v>
      </c>
    </row>
    <row r="105" ht="14.25" customHeight="1">
      <c r="A105" s="188">
        <v>100.0</v>
      </c>
      <c r="B105" s="142" t="s">
        <v>2660</v>
      </c>
      <c r="C105" s="142" t="s">
        <v>2661</v>
      </c>
      <c r="D105" s="142" t="s">
        <v>2662</v>
      </c>
      <c r="E105" s="189" t="s">
        <v>82</v>
      </c>
      <c r="F105" s="189"/>
      <c r="G105" s="189" t="s">
        <v>1855</v>
      </c>
      <c r="H105" s="189"/>
      <c r="I105" s="189">
        <v>42326.0</v>
      </c>
      <c r="J105" s="189">
        <v>42311.0</v>
      </c>
      <c r="K105" s="189">
        <v>42325.0</v>
      </c>
      <c r="L105" s="189"/>
      <c r="M105" s="189"/>
      <c r="N105" s="189"/>
      <c r="O105" s="189"/>
      <c r="P105" s="189">
        <v>42326.0</v>
      </c>
      <c r="Q105" s="189">
        <v>42478.0</v>
      </c>
      <c r="R105" s="189"/>
      <c r="S105" s="189"/>
      <c r="T105" s="189"/>
      <c r="U105" s="189"/>
      <c r="V105" s="189"/>
      <c r="W105" s="189"/>
      <c r="X105" s="189"/>
      <c r="Y105" s="189"/>
      <c r="Z105" s="189"/>
      <c r="AA105" s="189"/>
      <c r="AB105" s="189"/>
      <c r="AC105" s="189" t="s">
        <v>394</v>
      </c>
      <c r="AD105" s="189">
        <v>35426.0</v>
      </c>
      <c r="AE105" s="189" t="s">
        <v>2663</v>
      </c>
      <c r="AF105" s="189"/>
      <c r="AG105" s="189"/>
      <c r="AH105" s="189">
        <v>9.0057833012E10</v>
      </c>
      <c r="AI105" s="189"/>
      <c r="AJ105" s="189" t="s">
        <v>2664</v>
      </c>
      <c r="AK105" s="189" t="s">
        <v>2665</v>
      </c>
      <c r="AL105" s="189" t="s">
        <v>2666</v>
      </c>
      <c r="AM105" s="189" t="s">
        <v>2667</v>
      </c>
      <c r="AN105" s="189" t="s">
        <v>2668</v>
      </c>
      <c r="AO105" s="189"/>
      <c r="AP105" s="189"/>
      <c r="AQ105" s="190"/>
      <c r="AR105" s="189" t="s">
        <v>1241</v>
      </c>
      <c r="AS105" s="191">
        <v>42478.0</v>
      </c>
    </row>
    <row r="106" ht="14.25" customHeight="1">
      <c r="A106" s="188">
        <v>101.0</v>
      </c>
      <c r="B106" s="142" t="s">
        <v>638</v>
      </c>
      <c r="C106" s="142" t="s">
        <v>2669</v>
      </c>
      <c r="D106" s="142" t="s">
        <v>2670</v>
      </c>
      <c r="E106" s="189" t="s">
        <v>1881</v>
      </c>
      <c r="F106" s="189"/>
      <c r="G106" s="189" t="s">
        <v>1855</v>
      </c>
      <c r="H106" s="189"/>
      <c r="I106" s="189">
        <v>42693.0</v>
      </c>
      <c r="J106" s="189">
        <v>42312.0</v>
      </c>
      <c r="K106" s="189">
        <v>42326.0</v>
      </c>
      <c r="L106" s="189"/>
      <c r="M106" s="189"/>
      <c r="N106" s="189"/>
      <c r="O106" s="189"/>
      <c r="P106" s="189">
        <v>42327.0</v>
      </c>
      <c r="Q106" s="189">
        <v>42479.0</v>
      </c>
      <c r="R106" s="189"/>
      <c r="S106" s="189"/>
      <c r="T106" s="189"/>
      <c r="U106" s="189"/>
      <c r="V106" s="189"/>
      <c r="W106" s="189"/>
      <c r="X106" s="189"/>
      <c r="Y106" s="189"/>
      <c r="Z106" s="189"/>
      <c r="AA106" s="189"/>
      <c r="AB106" s="189"/>
      <c r="AC106" s="189" t="s">
        <v>394</v>
      </c>
      <c r="AD106" s="189">
        <v>34615.0</v>
      </c>
      <c r="AE106" s="189" t="s">
        <v>2671</v>
      </c>
      <c r="AF106" s="189" t="s">
        <v>2672</v>
      </c>
      <c r="AG106" s="189"/>
      <c r="AH106" s="189">
        <v>9.304803134E9</v>
      </c>
      <c r="AI106" s="189"/>
      <c r="AJ106" s="189" t="s">
        <v>1847</v>
      </c>
      <c r="AK106" s="189" t="s">
        <v>2673</v>
      </c>
      <c r="AL106" s="189" t="s">
        <v>2674</v>
      </c>
      <c r="AM106" s="189" t="s">
        <v>2675</v>
      </c>
      <c r="AN106" s="189" t="s">
        <v>2676</v>
      </c>
      <c r="AO106" s="189"/>
      <c r="AP106" s="189" t="s">
        <v>2677</v>
      </c>
      <c r="AQ106" s="190"/>
      <c r="AR106" s="189" t="s">
        <v>1241</v>
      </c>
      <c r="AS106" s="191">
        <v>42479.0</v>
      </c>
    </row>
    <row r="107" ht="14.25" customHeight="1">
      <c r="A107" s="188">
        <v>102.0</v>
      </c>
      <c r="B107" s="142" t="s">
        <v>2678</v>
      </c>
      <c r="C107" s="142" t="s">
        <v>941</v>
      </c>
      <c r="D107" s="142" t="s">
        <v>2679</v>
      </c>
      <c r="E107" s="189" t="s">
        <v>1881</v>
      </c>
      <c r="F107" s="189"/>
      <c r="G107" s="189" t="s">
        <v>1855</v>
      </c>
      <c r="H107" s="189"/>
      <c r="I107" s="189">
        <v>42327.0</v>
      </c>
      <c r="J107" s="189">
        <v>42312.0</v>
      </c>
      <c r="K107" s="189">
        <v>42326.0</v>
      </c>
      <c r="L107" s="189"/>
      <c r="M107" s="189"/>
      <c r="N107" s="189"/>
      <c r="O107" s="189"/>
      <c r="P107" s="189">
        <v>42327.0</v>
      </c>
      <c r="Q107" s="189">
        <v>42479.0</v>
      </c>
      <c r="R107" s="189"/>
      <c r="S107" s="189"/>
      <c r="T107" s="189"/>
      <c r="U107" s="189"/>
      <c r="V107" s="189"/>
      <c r="W107" s="189"/>
      <c r="X107" s="189"/>
      <c r="Y107" s="189"/>
      <c r="Z107" s="189"/>
      <c r="AA107" s="189"/>
      <c r="AB107" s="189"/>
      <c r="AC107" s="189" t="s">
        <v>394</v>
      </c>
      <c r="AD107" s="189">
        <v>35124.0</v>
      </c>
      <c r="AE107" s="189" t="s">
        <v>2680</v>
      </c>
      <c r="AF107" s="189"/>
      <c r="AG107" s="189"/>
      <c r="AH107" s="189">
        <v>9.35550002E9</v>
      </c>
      <c r="AI107" s="189"/>
      <c r="AJ107" s="189" t="s">
        <v>1847</v>
      </c>
      <c r="AK107" s="189" t="s">
        <v>2681</v>
      </c>
      <c r="AL107" s="189" t="s">
        <v>2682</v>
      </c>
      <c r="AM107" s="189" t="s">
        <v>2683</v>
      </c>
      <c r="AN107" s="189" t="s">
        <v>2684</v>
      </c>
      <c r="AO107" s="189"/>
      <c r="AP107" s="189" t="s">
        <v>2685</v>
      </c>
      <c r="AQ107" s="190"/>
      <c r="AR107" s="189" t="s">
        <v>1241</v>
      </c>
      <c r="AS107" s="191">
        <v>42479.0</v>
      </c>
    </row>
    <row r="108" ht="14.25" customHeight="1">
      <c r="A108" s="188">
        <v>103.0</v>
      </c>
      <c r="B108" s="142" t="s">
        <v>2686</v>
      </c>
      <c r="C108" s="142" t="s">
        <v>2687</v>
      </c>
      <c r="D108" s="142" t="s">
        <v>2688</v>
      </c>
      <c r="E108" s="189" t="s">
        <v>1881</v>
      </c>
      <c r="F108" s="189"/>
      <c r="G108" s="189" t="s">
        <v>1855</v>
      </c>
      <c r="H108" s="189"/>
      <c r="I108" s="189">
        <v>42326.0</v>
      </c>
      <c r="J108" s="189">
        <v>42311.0</v>
      </c>
      <c r="K108" s="189">
        <v>42325.0</v>
      </c>
      <c r="L108" s="189"/>
      <c r="M108" s="189"/>
      <c r="N108" s="189"/>
      <c r="O108" s="189"/>
      <c r="P108" s="189">
        <v>42326.0</v>
      </c>
      <c r="Q108" s="189">
        <v>42478.0</v>
      </c>
      <c r="R108" s="189"/>
      <c r="S108" s="189"/>
      <c r="T108" s="189"/>
      <c r="U108" s="189"/>
      <c r="V108" s="189"/>
      <c r="W108" s="189"/>
      <c r="X108" s="189"/>
      <c r="Y108" s="189"/>
      <c r="Z108" s="189"/>
      <c r="AA108" s="189"/>
      <c r="AB108" s="189"/>
      <c r="AC108" s="189" t="s">
        <v>394</v>
      </c>
      <c r="AD108" s="189">
        <v>34726.0</v>
      </c>
      <c r="AE108" s="189" t="s">
        <v>2689</v>
      </c>
      <c r="AF108" s="189"/>
      <c r="AG108" s="189"/>
      <c r="AH108" s="189">
        <v>9.354433799E9</v>
      </c>
      <c r="AI108" s="189"/>
      <c r="AJ108" s="189" t="s">
        <v>2690</v>
      </c>
      <c r="AK108" s="189" t="s">
        <v>2691</v>
      </c>
      <c r="AL108" s="189" t="s">
        <v>2692</v>
      </c>
      <c r="AM108" s="192" t="s">
        <v>2693</v>
      </c>
      <c r="AN108" s="189" t="s">
        <v>2694</v>
      </c>
      <c r="AO108" s="189"/>
      <c r="AP108" s="189" t="s">
        <v>2695</v>
      </c>
      <c r="AQ108" s="190"/>
      <c r="AR108" s="189" t="s">
        <v>1241</v>
      </c>
      <c r="AS108" s="191">
        <v>42479.0</v>
      </c>
    </row>
    <row r="109" ht="14.25" customHeight="1">
      <c r="A109" s="188">
        <v>104.0</v>
      </c>
      <c r="B109" s="142" t="s">
        <v>2696</v>
      </c>
      <c r="C109" s="142" t="s">
        <v>2697</v>
      </c>
      <c r="D109" s="142" t="s">
        <v>638</v>
      </c>
      <c r="E109" s="189" t="s">
        <v>1881</v>
      </c>
      <c r="F109" s="189"/>
      <c r="G109" s="189" t="s">
        <v>1855</v>
      </c>
      <c r="H109" s="189"/>
      <c r="I109" s="189">
        <v>42698.0</v>
      </c>
      <c r="J109" s="189">
        <v>42317.0</v>
      </c>
      <c r="K109" s="189">
        <v>42331.0</v>
      </c>
      <c r="L109" s="189"/>
      <c r="M109" s="189"/>
      <c r="N109" s="189"/>
      <c r="O109" s="189"/>
      <c r="P109" s="189">
        <v>42332.0</v>
      </c>
      <c r="Q109" s="189">
        <v>42484.0</v>
      </c>
      <c r="R109" s="189"/>
      <c r="S109" s="189"/>
      <c r="T109" s="189"/>
      <c r="U109" s="189"/>
      <c r="V109" s="189"/>
      <c r="W109" s="189"/>
      <c r="X109" s="189"/>
      <c r="Y109" s="189"/>
      <c r="Z109" s="189"/>
      <c r="AA109" s="189"/>
      <c r="AB109" s="189"/>
      <c r="AC109" s="189" t="s">
        <v>394</v>
      </c>
      <c r="AD109" s="189">
        <v>34372.0</v>
      </c>
      <c r="AE109" s="189" t="s">
        <v>2698</v>
      </c>
      <c r="AF109" s="189" t="s">
        <v>2699</v>
      </c>
      <c r="AG109" s="189"/>
      <c r="AH109" s="189">
        <v>9.06311361E9</v>
      </c>
      <c r="AI109" s="189"/>
      <c r="AJ109" s="189" t="s">
        <v>1847</v>
      </c>
      <c r="AK109" s="189" t="s">
        <v>2700</v>
      </c>
      <c r="AL109" s="189" t="s">
        <v>2701</v>
      </c>
      <c r="AM109" s="189" t="s">
        <v>2702</v>
      </c>
      <c r="AN109" s="189" t="s">
        <v>2703</v>
      </c>
      <c r="AO109" s="189"/>
      <c r="AP109" s="189" t="s">
        <v>2704</v>
      </c>
      <c r="AQ109" s="190"/>
      <c r="AR109" s="189" t="s">
        <v>1241</v>
      </c>
      <c r="AS109" s="191">
        <v>42484.0</v>
      </c>
    </row>
    <row r="110" ht="14.25" customHeight="1">
      <c r="A110" s="188">
        <v>105.0</v>
      </c>
      <c r="B110" s="142" t="s">
        <v>730</v>
      </c>
      <c r="C110" s="142" t="s">
        <v>2705</v>
      </c>
      <c r="D110" s="142" t="s">
        <v>2276</v>
      </c>
      <c r="E110" s="189" t="s">
        <v>82</v>
      </c>
      <c r="F110" s="189"/>
      <c r="G110" s="189" t="s">
        <v>1855</v>
      </c>
      <c r="H110" s="189"/>
      <c r="I110" s="189">
        <v>42326.0</v>
      </c>
      <c r="J110" s="189">
        <v>42311.0</v>
      </c>
      <c r="K110" s="189">
        <v>42325.0</v>
      </c>
      <c r="L110" s="189"/>
      <c r="M110" s="189"/>
      <c r="N110" s="189"/>
      <c r="O110" s="189"/>
      <c r="P110" s="189">
        <v>42326.0</v>
      </c>
      <c r="Q110" s="189">
        <v>42485.0</v>
      </c>
      <c r="R110" s="189"/>
      <c r="S110" s="189"/>
      <c r="T110" s="189"/>
      <c r="U110" s="189"/>
      <c r="V110" s="189"/>
      <c r="W110" s="189"/>
      <c r="X110" s="189"/>
      <c r="Y110" s="189"/>
      <c r="Z110" s="189"/>
      <c r="AA110" s="189"/>
      <c r="AB110" s="189"/>
      <c r="AC110" s="189" t="s">
        <v>394</v>
      </c>
      <c r="AD110" s="189">
        <v>34667.0</v>
      </c>
      <c r="AE110" s="189" t="s">
        <v>2706</v>
      </c>
      <c r="AF110" s="189"/>
      <c r="AG110" s="189"/>
      <c r="AH110" s="189">
        <v>9.353989368E9</v>
      </c>
      <c r="AI110" s="189"/>
      <c r="AJ110" s="189" t="s">
        <v>2707</v>
      </c>
      <c r="AK110" s="189" t="s">
        <v>2708</v>
      </c>
      <c r="AL110" s="189" t="s">
        <v>2709</v>
      </c>
      <c r="AM110" s="189" t="s">
        <v>2710</v>
      </c>
      <c r="AN110" s="189" t="s">
        <v>2711</v>
      </c>
      <c r="AO110" s="189"/>
      <c r="AP110" s="189" t="s">
        <v>2712</v>
      </c>
      <c r="AQ110" s="190"/>
      <c r="AR110" s="189" t="s">
        <v>1241</v>
      </c>
      <c r="AS110" s="191">
        <v>42487.0</v>
      </c>
    </row>
    <row r="111" ht="14.25" customHeight="1">
      <c r="A111" s="188">
        <v>106.0</v>
      </c>
      <c r="B111" s="142" t="s">
        <v>2713</v>
      </c>
      <c r="C111" s="142" t="s">
        <v>2714</v>
      </c>
      <c r="D111" s="142" t="s">
        <v>2715</v>
      </c>
      <c r="E111" s="189" t="s">
        <v>82</v>
      </c>
      <c r="F111" s="189"/>
      <c r="G111" s="189" t="s">
        <v>1855</v>
      </c>
      <c r="H111" s="189"/>
      <c r="I111" s="189">
        <v>42339.0</v>
      </c>
      <c r="J111" s="189">
        <v>42324.0</v>
      </c>
      <c r="K111" s="189">
        <v>42338.0</v>
      </c>
      <c r="L111" s="189"/>
      <c r="M111" s="189"/>
      <c r="N111" s="189"/>
      <c r="O111" s="189"/>
      <c r="P111" s="189">
        <v>42339.0</v>
      </c>
      <c r="Q111" s="189">
        <v>42125.0</v>
      </c>
      <c r="R111" s="189"/>
      <c r="S111" s="189"/>
      <c r="T111" s="189"/>
      <c r="U111" s="189"/>
      <c r="V111" s="189"/>
      <c r="W111" s="189"/>
      <c r="X111" s="189"/>
      <c r="Y111" s="189"/>
      <c r="Z111" s="189"/>
      <c r="AA111" s="189"/>
      <c r="AB111" s="189"/>
      <c r="AC111" s="189" t="s">
        <v>394</v>
      </c>
      <c r="AD111" s="189">
        <v>33645.0</v>
      </c>
      <c r="AE111" s="189" t="s">
        <v>2716</v>
      </c>
      <c r="AF111" s="189"/>
      <c r="AG111" s="189"/>
      <c r="AH111" s="189">
        <v>9.158225031E9</v>
      </c>
      <c r="AI111" s="189"/>
      <c r="AJ111" s="189" t="s">
        <v>2717</v>
      </c>
      <c r="AK111" s="189" t="s">
        <v>2718</v>
      </c>
      <c r="AL111" s="189" t="s">
        <v>2719</v>
      </c>
      <c r="AM111" s="189" t="s">
        <v>2720</v>
      </c>
      <c r="AN111" s="189" t="s">
        <v>2721</v>
      </c>
      <c r="AO111" s="189"/>
      <c r="AP111" s="189" t="s">
        <v>2722</v>
      </c>
      <c r="AQ111" s="190"/>
      <c r="AR111" s="189" t="s">
        <v>1241</v>
      </c>
      <c r="AS111" s="191">
        <v>42491.0</v>
      </c>
    </row>
    <row r="112" ht="14.25" customHeight="1">
      <c r="A112" s="188">
        <v>107.0</v>
      </c>
      <c r="B112" s="142" t="s">
        <v>2723</v>
      </c>
      <c r="C112" s="142" t="s">
        <v>2724</v>
      </c>
      <c r="D112" s="142" t="s">
        <v>2725</v>
      </c>
      <c r="E112" s="189" t="s">
        <v>1881</v>
      </c>
      <c r="F112" s="189"/>
      <c r="G112" s="189" t="s">
        <v>1855</v>
      </c>
      <c r="H112" s="189"/>
      <c r="I112" s="189">
        <v>42324.0</v>
      </c>
      <c r="J112" s="189">
        <v>42338.0</v>
      </c>
      <c r="K112" s="189">
        <v>42324.0</v>
      </c>
      <c r="L112" s="189"/>
      <c r="M112" s="189"/>
      <c r="N112" s="189"/>
      <c r="O112" s="189"/>
      <c r="P112" s="189">
        <v>42339.0</v>
      </c>
      <c r="Q112" s="189">
        <v>42125.0</v>
      </c>
      <c r="R112" s="189"/>
      <c r="S112" s="189"/>
      <c r="T112" s="189"/>
      <c r="U112" s="189"/>
      <c r="V112" s="189"/>
      <c r="W112" s="189"/>
      <c r="X112" s="189"/>
      <c r="Y112" s="189"/>
      <c r="Z112" s="189"/>
      <c r="AA112" s="189"/>
      <c r="AB112" s="189"/>
      <c r="AC112" s="189" t="s">
        <v>394</v>
      </c>
      <c r="AD112" s="189">
        <v>34280.0</v>
      </c>
      <c r="AE112" s="189" t="s">
        <v>2726</v>
      </c>
      <c r="AF112" s="189" t="s">
        <v>2699</v>
      </c>
      <c r="AG112" s="189"/>
      <c r="AH112" s="189">
        <v>9.103187031E9</v>
      </c>
      <c r="AI112" s="189"/>
      <c r="AJ112" s="189" t="s">
        <v>1847</v>
      </c>
      <c r="AK112" s="189" t="s">
        <v>2727</v>
      </c>
      <c r="AL112" s="192" t="s">
        <v>2728</v>
      </c>
      <c r="AM112" s="192" t="s">
        <v>2729</v>
      </c>
      <c r="AN112" s="192" t="s">
        <v>2730</v>
      </c>
      <c r="AO112" s="189"/>
      <c r="AP112" s="189" t="s">
        <v>2731</v>
      </c>
      <c r="AQ112" s="190"/>
      <c r="AR112" s="189" t="s">
        <v>1241</v>
      </c>
      <c r="AS112" s="191">
        <v>42491.0</v>
      </c>
    </row>
    <row r="113" ht="14.25" customHeight="1">
      <c r="A113" s="188">
        <v>108.0</v>
      </c>
      <c r="B113" s="142" t="s">
        <v>2732</v>
      </c>
      <c r="C113" s="142" t="s">
        <v>2733</v>
      </c>
      <c r="D113" s="142" t="s">
        <v>2100</v>
      </c>
      <c r="E113" s="189" t="s">
        <v>2047</v>
      </c>
      <c r="F113" s="189"/>
      <c r="G113" s="189" t="s">
        <v>1855</v>
      </c>
      <c r="H113" s="189"/>
      <c r="I113" s="189">
        <v>42333.0</v>
      </c>
      <c r="J113" s="189">
        <v>42347.0</v>
      </c>
      <c r="K113" s="189">
        <v>42347.0</v>
      </c>
      <c r="L113" s="189"/>
      <c r="M113" s="189"/>
      <c r="N113" s="189"/>
      <c r="O113" s="189"/>
      <c r="P113" s="189">
        <v>42348.0</v>
      </c>
      <c r="Q113" s="189">
        <v>42500.0</v>
      </c>
      <c r="R113" s="189"/>
      <c r="S113" s="189"/>
      <c r="T113" s="189"/>
      <c r="U113" s="189"/>
      <c r="V113" s="189"/>
      <c r="W113" s="189"/>
      <c r="X113" s="189"/>
      <c r="Y113" s="189"/>
      <c r="Z113" s="189"/>
      <c r="AA113" s="189"/>
      <c r="AB113" s="189"/>
      <c r="AC113" s="189" t="s">
        <v>394</v>
      </c>
      <c r="AD113" s="189">
        <v>34646.0</v>
      </c>
      <c r="AE113" s="189" t="s">
        <v>2734</v>
      </c>
      <c r="AF113" s="189" t="s">
        <v>2735</v>
      </c>
      <c r="AG113" s="189"/>
      <c r="AH113" s="189" t="s">
        <v>2736</v>
      </c>
      <c r="AI113" s="189"/>
      <c r="AJ113" s="189" t="s">
        <v>2737</v>
      </c>
      <c r="AK113" s="189" t="s">
        <v>2738</v>
      </c>
      <c r="AL113" s="189"/>
      <c r="AM113" s="189" t="s">
        <v>2739</v>
      </c>
      <c r="AN113" s="189" t="s">
        <v>2740</v>
      </c>
      <c r="AO113" s="189"/>
      <c r="AP113" s="189" t="s">
        <v>2741</v>
      </c>
      <c r="AQ113" s="190"/>
      <c r="AR113" s="189" t="s">
        <v>1241</v>
      </c>
      <c r="AS113" s="191">
        <v>42500.0</v>
      </c>
    </row>
    <row r="114" ht="14.25" customHeight="1">
      <c r="A114" s="188">
        <v>109.0</v>
      </c>
      <c r="B114" s="142" t="s">
        <v>2742</v>
      </c>
      <c r="C114" s="142" t="s">
        <v>2743</v>
      </c>
      <c r="D114" s="142" t="s">
        <v>2744</v>
      </c>
      <c r="E114" s="189" t="s">
        <v>1831</v>
      </c>
      <c r="F114" s="189"/>
      <c r="G114" s="189" t="s">
        <v>1832</v>
      </c>
      <c r="H114" s="189"/>
      <c r="I114" s="189">
        <v>40441.0</v>
      </c>
      <c r="J114" s="189">
        <v>40559.0</v>
      </c>
      <c r="K114" s="189">
        <v>40532.0</v>
      </c>
      <c r="L114" s="189"/>
      <c r="M114" s="189"/>
      <c r="N114" s="189"/>
      <c r="O114" s="189"/>
      <c r="P114" s="189">
        <v>40559.0</v>
      </c>
      <c r="Q114" s="189">
        <v>40710.0</v>
      </c>
      <c r="R114" s="189"/>
      <c r="S114" s="189"/>
      <c r="T114" s="189"/>
      <c r="U114" s="189"/>
      <c r="V114" s="189">
        <v>40787.0</v>
      </c>
      <c r="W114" s="189">
        <v>41518.0</v>
      </c>
      <c r="X114" s="189">
        <v>41582.0</v>
      </c>
      <c r="Y114" s="189">
        <v>41947.0</v>
      </c>
      <c r="Z114" s="189">
        <v>41955.0</v>
      </c>
      <c r="AA114" s="189">
        <v>42320.0</v>
      </c>
      <c r="AB114" s="189">
        <v>42321.0</v>
      </c>
      <c r="AC114" s="189" t="s">
        <v>394</v>
      </c>
      <c r="AD114" s="189">
        <v>31899.0</v>
      </c>
      <c r="AE114" s="189" t="s">
        <v>2745</v>
      </c>
      <c r="AF114" s="189" t="s">
        <v>2746</v>
      </c>
      <c r="AG114" s="189"/>
      <c r="AH114" s="189" t="s">
        <v>2747</v>
      </c>
      <c r="AI114" s="189"/>
      <c r="AJ114" s="189" t="s">
        <v>2748</v>
      </c>
      <c r="AK114" s="189" t="s">
        <v>2749</v>
      </c>
      <c r="AL114" s="189" t="s">
        <v>2750</v>
      </c>
      <c r="AM114" s="189" t="s">
        <v>2614</v>
      </c>
      <c r="AN114" s="189" t="s">
        <v>2751</v>
      </c>
      <c r="AO114" s="189"/>
      <c r="AP114" s="189" t="s">
        <v>2752</v>
      </c>
      <c r="AQ114" s="190"/>
      <c r="AR114" s="189" t="s">
        <v>2224</v>
      </c>
      <c r="AS114" s="191">
        <v>42500.0</v>
      </c>
    </row>
    <row r="115" ht="14.25" customHeight="1">
      <c r="A115" s="188">
        <v>110.0</v>
      </c>
      <c r="B115" s="142" t="s">
        <v>2753</v>
      </c>
      <c r="C115" s="142" t="s">
        <v>2754</v>
      </c>
      <c r="D115" s="142" t="s">
        <v>2755</v>
      </c>
      <c r="E115" s="189" t="s">
        <v>1831</v>
      </c>
      <c r="F115" s="189"/>
      <c r="G115" s="189" t="s">
        <v>1832</v>
      </c>
      <c r="H115" s="189"/>
      <c r="I115" s="189">
        <v>41694.0</v>
      </c>
      <c r="J115" s="189">
        <v>41784.0</v>
      </c>
      <c r="K115" s="189">
        <v>41783.0</v>
      </c>
      <c r="L115" s="189"/>
      <c r="M115" s="189"/>
      <c r="N115" s="189"/>
      <c r="O115" s="189"/>
      <c r="P115" s="189">
        <v>41784.0</v>
      </c>
      <c r="Q115" s="189">
        <v>41936.0</v>
      </c>
      <c r="R115" s="189"/>
      <c r="S115" s="189"/>
      <c r="T115" s="189"/>
      <c r="U115" s="189"/>
      <c r="V115" s="189">
        <v>41938.0</v>
      </c>
      <c r="W115" s="189">
        <v>42303.0</v>
      </c>
      <c r="X115" s="189">
        <v>42304.0</v>
      </c>
      <c r="Y115" s="189">
        <v>42670.0</v>
      </c>
      <c r="Z115" s="189"/>
      <c r="AA115" s="189"/>
      <c r="AB115" s="189"/>
      <c r="AC115" s="189" t="s">
        <v>217</v>
      </c>
      <c r="AD115" s="189">
        <v>31591.0</v>
      </c>
      <c r="AE115" s="189" t="s">
        <v>2756</v>
      </c>
      <c r="AF115" s="189" t="s">
        <v>2757</v>
      </c>
      <c r="AG115" s="189"/>
      <c r="AH115" s="189">
        <v>9.354069574E9</v>
      </c>
      <c r="AI115" s="189"/>
      <c r="AJ115" s="189" t="s">
        <v>2758</v>
      </c>
      <c r="AK115" s="189" t="s">
        <v>2759</v>
      </c>
      <c r="AL115" s="192" t="s">
        <v>2760</v>
      </c>
      <c r="AM115" s="192" t="s">
        <v>2761</v>
      </c>
      <c r="AN115" s="192" t="s">
        <v>2762</v>
      </c>
      <c r="AO115" s="189"/>
      <c r="AP115" s="189" t="s">
        <v>2763</v>
      </c>
      <c r="AQ115" s="190"/>
      <c r="AR115" s="189" t="s">
        <v>2224</v>
      </c>
      <c r="AS115" s="191">
        <v>42500.0</v>
      </c>
    </row>
    <row r="116" ht="14.25" customHeight="1">
      <c r="A116" s="188">
        <v>111.0</v>
      </c>
      <c r="B116" s="142" t="s">
        <v>519</v>
      </c>
      <c r="C116" s="142" t="s">
        <v>520</v>
      </c>
      <c r="D116" s="142" t="s">
        <v>521</v>
      </c>
      <c r="E116" s="189" t="s">
        <v>550</v>
      </c>
      <c r="F116" s="189"/>
      <c r="G116" s="189" t="s">
        <v>57</v>
      </c>
      <c r="H116" s="189"/>
      <c r="I116" s="189">
        <v>41831.0</v>
      </c>
      <c r="J116" s="189">
        <v>41984.0</v>
      </c>
      <c r="K116" s="189">
        <v>41984.0</v>
      </c>
      <c r="L116" s="189"/>
      <c r="M116" s="189"/>
      <c r="N116" s="189"/>
      <c r="O116" s="189"/>
      <c r="P116" s="189">
        <v>41986.0</v>
      </c>
      <c r="Q116" s="189">
        <v>42167.0</v>
      </c>
      <c r="R116" s="189"/>
      <c r="S116" s="189"/>
      <c r="T116" s="189"/>
      <c r="U116" s="189"/>
      <c r="V116" s="189"/>
      <c r="W116" s="189"/>
      <c r="X116" s="189"/>
      <c r="Y116" s="189"/>
      <c r="Z116" s="189">
        <v>42167.0</v>
      </c>
      <c r="AA116" s="189"/>
      <c r="AB116" s="189"/>
      <c r="AC116" s="189" t="s">
        <v>394</v>
      </c>
      <c r="AD116" s="189">
        <v>33886.0</v>
      </c>
      <c r="AE116" s="189" t="s">
        <v>2764</v>
      </c>
      <c r="AF116" s="189"/>
      <c r="AG116" s="189"/>
      <c r="AH116" s="189">
        <v>9.051382693E9</v>
      </c>
      <c r="AI116" s="189"/>
      <c r="AJ116" s="189" t="s">
        <v>526</v>
      </c>
      <c r="AK116" s="189" t="s">
        <v>527</v>
      </c>
      <c r="AL116" s="189" t="s">
        <v>530</v>
      </c>
      <c r="AM116" s="189" t="s">
        <v>2765</v>
      </c>
      <c r="AN116" s="189" t="s">
        <v>2766</v>
      </c>
      <c r="AO116" s="189"/>
      <c r="AP116" s="189" t="s">
        <v>2767</v>
      </c>
      <c r="AQ116" s="190"/>
      <c r="AR116" s="189" t="s">
        <v>2224</v>
      </c>
      <c r="AS116" s="191">
        <v>42502.0</v>
      </c>
    </row>
    <row r="117" ht="14.25" customHeight="1">
      <c r="A117" s="188">
        <v>112.0</v>
      </c>
      <c r="B117" s="142" t="s">
        <v>2768</v>
      </c>
      <c r="C117" s="142" t="s">
        <v>2769</v>
      </c>
      <c r="D117" s="142" t="s">
        <v>2770</v>
      </c>
      <c r="E117" s="189" t="s">
        <v>1881</v>
      </c>
      <c r="F117" s="189"/>
      <c r="G117" s="189" t="s">
        <v>1855</v>
      </c>
      <c r="H117" s="189"/>
      <c r="I117" s="189">
        <v>42339.0</v>
      </c>
      <c r="J117" s="189">
        <v>42720.0</v>
      </c>
      <c r="K117" s="189">
        <v>42353.0</v>
      </c>
      <c r="L117" s="189"/>
      <c r="M117" s="189"/>
      <c r="N117" s="189"/>
      <c r="O117" s="189"/>
      <c r="P117" s="189">
        <v>42354.0</v>
      </c>
      <c r="Q117" s="189">
        <v>42506.0</v>
      </c>
      <c r="R117" s="189"/>
      <c r="S117" s="189"/>
      <c r="T117" s="189"/>
      <c r="U117" s="189"/>
      <c r="V117" s="189"/>
      <c r="W117" s="189"/>
      <c r="X117" s="189"/>
      <c r="Y117" s="189"/>
      <c r="Z117" s="189"/>
      <c r="AA117" s="189"/>
      <c r="AB117" s="189"/>
      <c r="AC117" s="189" t="s">
        <v>394</v>
      </c>
      <c r="AD117" s="189">
        <v>34004.0</v>
      </c>
      <c r="AE117" s="189" t="s">
        <v>2771</v>
      </c>
      <c r="AF117" s="189"/>
      <c r="AG117" s="189"/>
      <c r="AH117" s="189" t="s">
        <v>2772</v>
      </c>
      <c r="AI117" s="189"/>
      <c r="AJ117" s="189" t="s">
        <v>1847</v>
      </c>
      <c r="AK117" s="189" t="s">
        <v>2773</v>
      </c>
      <c r="AL117" s="189" t="s">
        <v>2774</v>
      </c>
      <c r="AM117" s="189" t="s">
        <v>2775</v>
      </c>
      <c r="AN117" s="189" t="s">
        <v>2776</v>
      </c>
      <c r="AO117" s="189"/>
      <c r="AP117" s="189" t="s">
        <v>2777</v>
      </c>
      <c r="AQ117" s="190"/>
      <c r="AR117" s="189" t="s">
        <v>1241</v>
      </c>
      <c r="AS117" s="191">
        <v>42506.0</v>
      </c>
    </row>
    <row r="118" ht="14.25" customHeight="1">
      <c r="A118" s="188">
        <v>113.0</v>
      </c>
      <c r="B118" s="142" t="s">
        <v>2713</v>
      </c>
      <c r="C118" s="142" t="s">
        <v>2778</v>
      </c>
      <c r="D118" s="142" t="s">
        <v>2779</v>
      </c>
      <c r="E118" s="189" t="s">
        <v>133</v>
      </c>
      <c r="F118" s="189"/>
      <c r="G118" s="189" t="s">
        <v>1855</v>
      </c>
      <c r="H118" s="189"/>
      <c r="I118" s="189">
        <v>42353.0</v>
      </c>
      <c r="J118" s="189">
        <v>42367.0</v>
      </c>
      <c r="K118" s="189">
        <v>42367.0</v>
      </c>
      <c r="L118" s="189"/>
      <c r="M118" s="189"/>
      <c r="N118" s="189"/>
      <c r="O118" s="189"/>
      <c r="P118" s="189">
        <v>42368.0</v>
      </c>
      <c r="Q118" s="189">
        <v>42520.0</v>
      </c>
      <c r="R118" s="189"/>
      <c r="S118" s="189"/>
      <c r="T118" s="189"/>
      <c r="U118" s="189"/>
      <c r="V118" s="189"/>
      <c r="W118" s="189"/>
      <c r="X118" s="189"/>
      <c r="Y118" s="189"/>
      <c r="Z118" s="189"/>
      <c r="AA118" s="189"/>
      <c r="AB118" s="189"/>
      <c r="AC118" s="189" t="s">
        <v>394</v>
      </c>
      <c r="AD118" s="189">
        <v>33657.0</v>
      </c>
      <c r="AE118" s="189" t="s">
        <v>2780</v>
      </c>
      <c r="AF118" s="189"/>
      <c r="AG118" s="189"/>
      <c r="AH118" s="189" t="s">
        <v>2781</v>
      </c>
      <c r="AI118" s="189"/>
      <c r="AJ118" s="189" t="s">
        <v>2782</v>
      </c>
      <c r="AK118" s="189" t="s">
        <v>2783</v>
      </c>
      <c r="AL118" s="189" t="s">
        <v>2784</v>
      </c>
      <c r="AM118" s="189" t="s">
        <v>2785</v>
      </c>
      <c r="AN118" s="189" t="s">
        <v>2786</v>
      </c>
      <c r="AO118" s="189"/>
      <c r="AP118" s="189" t="s">
        <v>2787</v>
      </c>
      <c r="AQ118" s="190"/>
      <c r="AR118" s="189" t="s">
        <v>1241</v>
      </c>
      <c r="AS118" s="191">
        <v>42520.0</v>
      </c>
    </row>
    <row r="119" ht="14.25" customHeight="1">
      <c r="A119" s="188">
        <v>114.0</v>
      </c>
      <c r="B119" s="142" t="s">
        <v>2788</v>
      </c>
      <c r="C119" s="142" t="s">
        <v>2789</v>
      </c>
      <c r="D119" s="142" t="s">
        <v>2790</v>
      </c>
      <c r="E119" s="189" t="s">
        <v>2791</v>
      </c>
      <c r="F119" s="189"/>
      <c r="G119" s="189" t="s">
        <v>57</v>
      </c>
      <c r="H119" s="189"/>
      <c r="I119" s="189"/>
      <c r="J119" s="189">
        <v>41604.0</v>
      </c>
      <c r="K119" s="189"/>
      <c r="L119" s="189"/>
      <c r="M119" s="189"/>
      <c r="N119" s="189"/>
      <c r="O119" s="189"/>
      <c r="P119" s="189">
        <v>41604.0</v>
      </c>
      <c r="Q119" s="189">
        <v>41755.0</v>
      </c>
      <c r="R119" s="189"/>
      <c r="S119" s="189"/>
      <c r="T119" s="189"/>
      <c r="U119" s="189"/>
      <c r="V119" s="189"/>
      <c r="W119" s="189"/>
      <c r="X119" s="189"/>
      <c r="Y119" s="189"/>
      <c r="Z119" s="189">
        <v>41756.0</v>
      </c>
      <c r="AA119" s="189">
        <v>41938.0</v>
      </c>
      <c r="AB119" s="189"/>
      <c r="AC119" s="189" t="s">
        <v>394</v>
      </c>
      <c r="AD119" s="189">
        <v>32840.0</v>
      </c>
      <c r="AE119" s="189" t="s">
        <v>2792</v>
      </c>
      <c r="AF119" s="189" t="s">
        <v>2793</v>
      </c>
      <c r="AG119" s="189"/>
      <c r="AH119" s="189" t="s">
        <v>2794</v>
      </c>
      <c r="AI119" s="189"/>
      <c r="AJ119" s="189" t="s">
        <v>2795</v>
      </c>
      <c r="AK119" s="189" t="s">
        <v>2796</v>
      </c>
      <c r="AL119" s="189" t="s">
        <v>2797</v>
      </c>
      <c r="AM119" s="192" t="s">
        <v>2798</v>
      </c>
      <c r="AN119" s="192" t="s">
        <v>2799</v>
      </c>
      <c r="AO119" s="189"/>
      <c r="AP119" s="189" t="s">
        <v>2800</v>
      </c>
      <c r="AQ119" s="190"/>
      <c r="AR119" s="189" t="s">
        <v>2224</v>
      </c>
      <c r="AS119" s="191">
        <v>42521.0</v>
      </c>
    </row>
    <row r="120" ht="14.25" customHeight="1">
      <c r="A120" s="188">
        <v>115.0</v>
      </c>
      <c r="B120" s="142" t="s">
        <v>2801</v>
      </c>
      <c r="C120" s="142" t="s">
        <v>75</v>
      </c>
      <c r="D120" s="142" t="s">
        <v>2802</v>
      </c>
      <c r="E120" s="189" t="s">
        <v>2803</v>
      </c>
      <c r="F120" s="189"/>
      <c r="G120" s="189" t="s">
        <v>424</v>
      </c>
      <c r="H120" s="189"/>
      <c r="I120" s="189"/>
      <c r="J120" s="189">
        <v>42528.0</v>
      </c>
      <c r="K120" s="189"/>
      <c r="L120" s="189"/>
      <c r="M120" s="189"/>
      <c r="N120" s="189"/>
      <c r="O120" s="189"/>
      <c r="P120" s="189">
        <v>42528.0</v>
      </c>
      <c r="Q120" s="189">
        <v>42557.0</v>
      </c>
      <c r="R120" s="189"/>
      <c r="S120" s="189"/>
      <c r="T120" s="189"/>
      <c r="U120" s="189"/>
      <c r="V120" s="189"/>
      <c r="W120" s="189"/>
      <c r="X120" s="189"/>
      <c r="Y120" s="189"/>
      <c r="Z120" s="189"/>
      <c r="AA120" s="189"/>
      <c r="AB120" s="189"/>
      <c r="AC120" s="189" t="s">
        <v>394</v>
      </c>
      <c r="AD120" s="189">
        <v>35480.0</v>
      </c>
      <c r="AE120" s="189" t="s">
        <v>2804</v>
      </c>
      <c r="AF120" s="189"/>
      <c r="AG120" s="189"/>
      <c r="AH120" s="189" t="s">
        <v>2805</v>
      </c>
      <c r="AI120" s="189"/>
      <c r="AJ120" s="189"/>
      <c r="AK120" s="189"/>
      <c r="AL120" s="189"/>
      <c r="AM120" s="189"/>
      <c r="AN120" s="189"/>
      <c r="AO120" s="189"/>
      <c r="AP120" s="189"/>
      <c r="AQ120" s="190"/>
      <c r="AR120" s="189"/>
      <c r="AS120" s="191"/>
    </row>
    <row r="121" ht="14.25" customHeight="1">
      <c r="A121" s="188">
        <v>116.0</v>
      </c>
      <c r="B121" s="142" t="s">
        <v>2806</v>
      </c>
      <c r="C121" s="142" t="s">
        <v>2807</v>
      </c>
      <c r="D121" s="142" t="s">
        <v>2808</v>
      </c>
      <c r="E121" s="189" t="s">
        <v>82</v>
      </c>
      <c r="F121" s="189"/>
      <c r="G121" s="189" t="s">
        <v>1855</v>
      </c>
      <c r="H121" s="189">
        <v>1.011916282E9</v>
      </c>
      <c r="I121" s="189">
        <v>42388.0</v>
      </c>
      <c r="J121" s="189">
        <v>42402.0</v>
      </c>
      <c r="K121" s="189">
        <v>42402.0</v>
      </c>
      <c r="L121" s="189"/>
      <c r="M121" s="189"/>
      <c r="N121" s="189"/>
      <c r="O121" s="189"/>
      <c r="P121" s="189">
        <v>42403.0</v>
      </c>
      <c r="Q121" s="189">
        <v>42554.0</v>
      </c>
      <c r="R121" s="189"/>
      <c r="S121" s="189"/>
      <c r="T121" s="189"/>
      <c r="U121" s="189"/>
      <c r="V121" s="189"/>
      <c r="W121" s="189"/>
      <c r="X121" s="189"/>
      <c r="Y121" s="189"/>
      <c r="Z121" s="189"/>
      <c r="AA121" s="189"/>
      <c r="AB121" s="189"/>
      <c r="AC121" s="189" t="s">
        <v>394</v>
      </c>
      <c r="AD121" s="189">
        <v>34539.0</v>
      </c>
      <c r="AE121" s="189" t="s">
        <v>2809</v>
      </c>
      <c r="AF121" s="189" t="s">
        <v>2810</v>
      </c>
      <c r="AG121" s="189"/>
      <c r="AH121" s="189" t="s">
        <v>2811</v>
      </c>
      <c r="AI121" s="189"/>
      <c r="AJ121" s="189" t="s">
        <v>2812</v>
      </c>
      <c r="AK121" s="189" t="s">
        <v>2813</v>
      </c>
      <c r="AL121" s="189" t="s">
        <v>2814</v>
      </c>
      <c r="AM121" s="189" t="s">
        <v>2815</v>
      </c>
      <c r="AN121" s="189" t="s">
        <v>2816</v>
      </c>
      <c r="AO121" s="189"/>
      <c r="AP121" s="189" t="s">
        <v>2817</v>
      </c>
      <c r="AQ121" s="190"/>
      <c r="AR121" s="189" t="s">
        <v>2224</v>
      </c>
      <c r="AS121" s="191">
        <v>42539.0</v>
      </c>
    </row>
    <row r="122" ht="14.25" customHeight="1">
      <c r="A122" s="188">
        <v>117.0</v>
      </c>
      <c r="B122" s="142" t="s">
        <v>2818</v>
      </c>
      <c r="C122" s="142" t="s">
        <v>2819</v>
      </c>
      <c r="D122" s="142" t="s">
        <v>2820</v>
      </c>
      <c r="E122" s="189" t="s">
        <v>82</v>
      </c>
      <c r="F122" s="189"/>
      <c r="G122" s="189" t="s">
        <v>1855</v>
      </c>
      <c r="H122" s="189">
        <v>1.012116277E9</v>
      </c>
      <c r="I122" s="189">
        <v>42405.0</v>
      </c>
      <c r="J122" s="189">
        <v>42390.0</v>
      </c>
      <c r="K122" s="189">
        <v>42404.0</v>
      </c>
      <c r="L122" s="189"/>
      <c r="M122" s="189"/>
      <c r="N122" s="189"/>
      <c r="O122" s="189"/>
      <c r="P122" s="189">
        <v>42405.0</v>
      </c>
      <c r="Q122" s="189">
        <v>42556.0</v>
      </c>
      <c r="R122" s="189"/>
      <c r="S122" s="189"/>
      <c r="T122" s="189"/>
      <c r="U122" s="189"/>
      <c r="V122" s="189"/>
      <c r="W122" s="189"/>
      <c r="X122" s="189"/>
      <c r="Y122" s="189"/>
      <c r="Z122" s="189"/>
      <c r="AA122" s="189"/>
      <c r="AB122" s="189"/>
      <c r="AC122" s="189" t="s">
        <v>394</v>
      </c>
      <c r="AD122" s="189">
        <v>33534.0</v>
      </c>
      <c r="AE122" s="189" t="s">
        <v>2821</v>
      </c>
      <c r="AF122" s="189" t="s">
        <v>2822</v>
      </c>
      <c r="AG122" s="189"/>
      <c r="AH122" s="189" t="s">
        <v>2823</v>
      </c>
      <c r="AI122" s="189"/>
      <c r="AJ122" s="189" t="s">
        <v>2824</v>
      </c>
      <c r="AK122" s="189" t="s">
        <v>2825</v>
      </c>
      <c r="AL122" s="189" t="s">
        <v>2826</v>
      </c>
      <c r="AM122" s="189" t="s">
        <v>2827</v>
      </c>
      <c r="AN122" s="189" t="s">
        <v>2828</v>
      </c>
      <c r="AO122" s="189"/>
      <c r="AP122" s="189" t="s">
        <v>2829</v>
      </c>
      <c r="AQ122" s="190"/>
      <c r="AR122" s="189" t="s">
        <v>2224</v>
      </c>
      <c r="AS122" s="191">
        <v>42541.0</v>
      </c>
    </row>
    <row r="123" ht="14.25" customHeight="1">
      <c r="A123" s="188">
        <v>118.0</v>
      </c>
      <c r="B123" s="142" t="s">
        <v>2830</v>
      </c>
      <c r="C123" s="142" t="s">
        <v>2831</v>
      </c>
      <c r="D123" s="142" t="s">
        <v>2832</v>
      </c>
      <c r="E123" s="189" t="s">
        <v>1881</v>
      </c>
      <c r="F123" s="189"/>
      <c r="G123" s="189" t="s">
        <v>1855</v>
      </c>
      <c r="H123" s="189">
        <v>1.010616273E9</v>
      </c>
      <c r="I123" s="189">
        <v>42390.0</v>
      </c>
      <c r="J123" s="189">
        <v>42375.0</v>
      </c>
      <c r="K123" s="189">
        <v>42389.0</v>
      </c>
      <c r="L123" s="189"/>
      <c r="M123" s="189"/>
      <c r="N123" s="189"/>
      <c r="O123" s="189"/>
      <c r="P123" s="189">
        <v>42390.0</v>
      </c>
      <c r="Q123" s="189">
        <v>42542.0</v>
      </c>
      <c r="R123" s="189"/>
      <c r="S123" s="189"/>
      <c r="T123" s="189"/>
      <c r="U123" s="189"/>
      <c r="V123" s="189"/>
      <c r="W123" s="189"/>
      <c r="X123" s="189"/>
      <c r="Y123" s="189"/>
      <c r="Z123" s="189"/>
      <c r="AA123" s="189"/>
      <c r="AB123" s="189"/>
      <c r="AC123" s="189" t="s">
        <v>394</v>
      </c>
      <c r="AD123" s="189">
        <v>33999.0</v>
      </c>
      <c r="AE123" s="189" t="s">
        <v>2833</v>
      </c>
      <c r="AF123" s="189" t="s">
        <v>2834</v>
      </c>
      <c r="AG123" s="189"/>
      <c r="AH123" s="189" t="s">
        <v>2835</v>
      </c>
      <c r="AI123" s="189"/>
      <c r="AJ123" s="189" t="s">
        <v>2836</v>
      </c>
      <c r="AK123" s="189" t="s">
        <v>2837</v>
      </c>
      <c r="AL123" s="189" t="s">
        <v>2838</v>
      </c>
      <c r="AM123" s="189" t="s">
        <v>2839</v>
      </c>
      <c r="AN123" s="189" t="s">
        <v>2840</v>
      </c>
      <c r="AO123" s="189"/>
      <c r="AP123" s="189" t="s">
        <v>2841</v>
      </c>
      <c r="AQ123" s="190"/>
      <c r="AR123" s="189" t="s">
        <v>1241</v>
      </c>
      <c r="AS123" s="191">
        <v>42542.0</v>
      </c>
    </row>
    <row r="124" ht="14.25" customHeight="1">
      <c r="A124" s="188">
        <v>119.0</v>
      </c>
      <c r="B124" s="142" t="s">
        <v>2842</v>
      </c>
      <c r="C124" s="142" t="s">
        <v>2843</v>
      </c>
      <c r="D124" s="142" t="s">
        <v>2844</v>
      </c>
      <c r="E124" s="189" t="s">
        <v>82</v>
      </c>
      <c r="F124" s="189"/>
      <c r="G124" s="189" t="s">
        <v>1855</v>
      </c>
      <c r="H124" s="189">
        <v>1.011216274E9</v>
      </c>
      <c r="I124" s="189">
        <v>42398.0</v>
      </c>
      <c r="J124" s="189">
        <v>42381.0</v>
      </c>
      <c r="K124" s="189">
        <v>42397.0</v>
      </c>
      <c r="L124" s="189"/>
      <c r="M124" s="189"/>
      <c r="N124" s="189"/>
      <c r="O124" s="189"/>
      <c r="P124" s="189">
        <v>42398.0</v>
      </c>
      <c r="Q124" s="189">
        <v>42550.0</v>
      </c>
      <c r="R124" s="189"/>
      <c r="S124" s="189"/>
      <c r="T124" s="189"/>
      <c r="U124" s="189"/>
      <c r="V124" s="189"/>
      <c r="W124" s="189"/>
      <c r="X124" s="189"/>
      <c r="Y124" s="189"/>
      <c r="Z124" s="189"/>
      <c r="AA124" s="189"/>
      <c r="AB124" s="189"/>
      <c r="AC124" s="189" t="s">
        <v>394</v>
      </c>
      <c r="AD124" s="189">
        <v>34791.0</v>
      </c>
      <c r="AE124" s="189" t="s">
        <v>2845</v>
      </c>
      <c r="AF124" s="189"/>
      <c r="AG124" s="189"/>
      <c r="AH124" s="189" t="s">
        <v>2846</v>
      </c>
      <c r="AI124" s="189"/>
      <c r="AJ124" s="189" t="s">
        <v>2847</v>
      </c>
      <c r="AK124" s="189" t="s">
        <v>2848</v>
      </c>
      <c r="AL124" s="189" t="s">
        <v>2849</v>
      </c>
      <c r="AM124" s="189" t="s">
        <v>2850</v>
      </c>
      <c r="AN124" s="189" t="s">
        <v>2851</v>
      </c>
      <c r="AO124" s="189"/>
      <c r="AP124" s="189" t="s">
        <v>2852</v>
      </c>
      <c r="AQ124" s="190"/>
      <c r="AR124" s="189" t="s">
        <v>1241</v>
      </c>
      <c r="AS124" s="191">
        <v>42550.0</v>
      </c>
    </row>
    <row r="125" ht="14.25" customHeight="1">
      <c r="A125" s="188">
        <v>120.0</v>
      </c>
      <c r="B125" s="142" t="s">
        <v>2853</v>
      </c>
      <c r="C125" s="142" t="s">
        <v>215</v>
      </c>
      <c r="D125" s="142" t="s">
        <v>2854</v>
      </c>
      <c r="E125" s="189" t="s">
        <v>2855</v>
      </c>
      <c r="F125" s="189"/>
      <c r="G125" s="189" t="s">
        <v>57</v>
      </c>
      <c r="H125" s="189">
        <v>1.120104043E9</v>
      </c>
      <c r="I125" s="189">
        <v>38322.0</v>
      </c>
      <c r="J125" s="189"/>
      <c r="K125" s="189"/>
      <c r="L125" s="189"/>
      <c r="M125" s="189"/>
      <c r="N125" s="189"/>
      <c r="O125" s="189"/>
      <c r="P125" s="189"/>
      <c r="Q125" s="189"/>
      <c r="R125" s="189"/>
      <c r="S125" s="189"/>
      <c r="T125" s="189"/>
      <c r="U125" s="189"/>
      <c r="V125" s="189"/>
      <c r="W125" s="189"/>
      <c r="X125" s="189"/>
      <c r="Y125" s="189"/>
      <c r="Z125" s="189">
        <v>38322.0</v>
      </c>
      <c r="AA125" s="189">
        <v>38504.0</v>
      </c>
      <c r="AB125" s="189"/>
      <c r="AC125" s="189" t="s">
        <v>217</v>
      </c>
      <c r="AD125" s="189">
        <v>26232.0</v>
      </c>
      <c r="AE125" s="189" t="s">
        <v>2856</v>
      </c>
      <c r="AF125" s="189"/>
      <c r="AG125" s="189"/>
      <c r="AH125" s="189">
        <v>9.393621285E9</v>
      </c>
      <c r="AI125" s="189"/>
      <c r="AJ125" s="189" t="s">
        <v>352</v>
      </c>
      <c r="AK125" s="189" t="s">
        <v>2857</v>
      </c>
      <c r="AL125" s="189" t="s">
        <v>2858</v>
      </c>
      <c r="AM125" s="189" t="s">
        <v>2859</v>
      </c>
      <c r="AN125" s="189" t="s">
        <v>2860</v>
      </c>
      <c r="AO125" s="189"/>
      <c r="AP125" s="189" t="s">
        <v>2861</v>
      </c>
      <c r="AQ125" s="190"/>
      <c r="AR125" s="189" t="s">
        <v>2224</v>
      </c>
      <c r="AS125" s="191" t="s">
        <v>2862</v>
      </c>
    </row>
    <row r="126" ht="14.25" customHeight="1">
      <c r="A126" s="188">
        <v>121.0</v>
      </c>
      <c r="B126" s="142" t="s">
        <v>2863</v>
      </c>
      <c r="C126" s="142" t="s">
        <v>2532</v>
      </c>
      <c r="D126" s="142" t="s">
        <v>2864</v>
      </c>
      <c r="E126" s="189" t="s">
        <v>2047</v>
      </c>
      <c r="F126" s="189"/>
      <c r="G126" s="189" t="s">
        <v>1855</v>
      </c>
      <c r="H126" s="189">
        <v>1.012116275E9</v>
      </c>
      <c r="I126" s="189">
        <v>42405.0</v>
      </c>
      <c r="J126" s="189">
        <v>42390.0</v>
      </c>
      <c r="K126" s="189">
        <v>42404.0</v>
      </c>
      <c r="L126" s="189"/>
      <c r="M126" s="189"/>
      <c r="N126" s="189"/>
      <c r="O126" s="189"/>
      <c r="P126" s="189">
        <v>42405.0</v>
      </c>
      <c r="Q126" s="189">
        <v>42556.0</v>
      </c>
      <c r="R126" s="189"/>
      <c r="S126" s="189"/>
      <c r="T126" s="189"/>
      <c r="U126" s="189"/>
      <c r="V126" s="189"/>
      <c r="W126" s="189"/>
      <c r="X126" s="189"/>
      <c r="Y126" s="189"/>
      <c r="Z126" s="189"/>
      <c r="AA126" s="189"/>
      <c r="AB126" s="189"/>
      <c r="AC126" s="189" t="s">
        <v>394</v>
      </c>
      <c r="AD126" s="189">
        <v>34009.0</v>
      </c>
      <c r="AE126" s="189" t="s">
        <v>2865</v>
      </c>
      <c r="AF126" s="189" t="s">
        <v>206</v>
      </c>
      <c r="AG126" s="189"/>
      <c r="AH126" s="189" t="s">
        <v>2866</v>
      </c>
      <c r="AI126" s="189"/>
      <c r="AJ126" s="189" t="s">
        <v>2867</v>
      </c>
      <c r="AK126" s="189" t="s">
        <v>2868</v>
      </c>
      <c r="AL126" s="189"/>
      <c r="AM126" s="189" t="s">
        <v>2869</v>
      </c>
      <c r="AN126" s="189" t="s">
        <v>2870</v>
      </c>
      <c r="AO126" s="189"/>
      <c r="AP126" s="189" t="s">
        <v>2871</v>
      </c>
      <c r="AQ126" s="190"/>
      <c r="AR126" s="189" t="s">
        <v>1241</v>
      </c>
      <c r="AS126" s="191">
        <v>42556.0</v>
      </c>
    </row>
    <row r="127" ht="14.25" customHeight="1">
      <c r="A127" s="188">
        <v>122.0</v>
      </c>
      <c r="B127" s="142" t="s">
        <v>2872</v>
      </c>
      <c r="C127" s="142" t="s">
        <v>2873</v>
      </c>
      <c r="D127" s="142" t="s">
        <v>2874</v>
      </c>
      <c r="E127" s="189" t="s">
        <v>82</v>
      </c>
      <c r="F127" s="189"/>
      <c r="G127" s="189" t="s">
        <v>1855</v>
      </c>
      <c r="H127" s="189">
        <v>1.012116279E9</v>
      </c>
      <c r="I127" s="189">
        <v>42405.0</v>
      </c>
      <c r="J127" s="189">
        <v>42390.0</v>
      </c>
      <c r="K127" s="189">
        <v>42404.0</v>
      </c>
      <c r="L127" s="189"/>
      <c r="M127" s="189"/>
      <c r="N127" s="189"/>
      <c r="O127" s="189"/>
      <c r="P127" s="189">
        <v>42405.0</v>
      </c>
      <c r="Q127" s="189">
        <v>42556.0</v>
      </c>
      <c r="R127" s="189"/>
      <c r="S127" s="189"/>
      <c r="T127" s="189"/>
      <c r="U127" s="189"/>
      <c r="V127" s="189"/>
      <c r="W127" s="189"/>
      <c r="X127" s="189"/>
      <c r="Y127" s="189"/>
      <c r="Z127" s="189"/>
      <c r="AA127" s="189"/>
      <c r="AB127" s="189"/>
      <c r="AC127" s="189" t="s">
        <v>394</v>
      </c>
      <c r="AD127" s="189">
        <v>42710.0</v>
      </c>
      <c r="AE127" s="189" t="s">
        <v>2875</v>
      </c>
      <c r="AF127" s="189" t="s">
        <v>2876</v>
      </c>
      <c r="AG127" s="189"/>
      <c r="AH127" s="189" t="s">
        <v>2877</v>
      </c>
      <c r="AI127" s="189"/>
      <c r="AJ127" s="189" t="s">
        <v>2878</v>
      </c>
      <c r="AK127" s="189" t="s">
        <v>2879</v>
      </c>
      <c r="AL127" s="192" t="s">
        <v>2880</v>
      </c>
      <c r="AM127" s="192" t="s">
        <v>2881</v>
      </c>
      <c r="AN127" s="192" t="s">
        <v>2882</v>
      </c>
      <c r="AO127" s="189"/>
      <c r="AP127" s="189" t="s">
        <v>2883</v>
      </c>
      <c r="AQ127" s="190"/>
      <c r="AR127" s="189" t="s">
        <v>1241</v>
      </c>
      <c r="AS127" s="191">
        <v>42556.0</v>
      </c>
    </row>
    <row r="128" ht="14.25" customHeight="1">
      <c r="A128" s="188">
        <v>123.0</v>
      </c>
      <c r="B128" s="142" t="s">
        <v>2884</v>
      </c>
      <c r="C128" s="142" t="s">
        <v>2885</v>
      </c>
      <c r="D128" s="142" t="s">
        <v>2886</v>
      </c>
      <c r="E128" s="189" t="s">
        <v>82</v>
      </c>
      <c r="F128" s="189"/>
      <c r="G128" s="189" t="s">
        <v>1855</v>
      </c>
      <c r="H128" s="189">
        <v>1.012916284E9</v>
      </c>
      <c r="I128" s="189">
        <v>42413.0</v>
      </c>
      <c r="J128" s="189">
        <v>42397.0</v>
      </c>
      <c r="K128" s="189">
        <v>42413.0</v>
      </c>
      <c r="L128" s="189"/>
      <c r="M128" s="189"/>
      <c r="N128" s="189"/>
      <c r="O128" s="189"/>
      <c r="P128" s="189">
        <v>42413.0</v>
      </c>
      <c r="Q128" s="189">
        <v>42564.0</v>
      </c>
      <c r="R128" s="189"/>
      <c r="S128" s="189"/>
      <c r="T128" s="189"/>
      <c r="U128" s="189"/>
      <c r="V128" s="189"/>
      <c r="W128" s="189"/>
      <c r="X128" s="189"/>
      <c r="Y128" s="189"/>
      <c r="Z128" s="189"/>
      <c r="AA128" s="189"/>
      <c r="AB128" s="189"/>
      <c r="AC128" s="189" t="s">
        <v>394</v>
      </c>
      <c r="AD128" s="189">
        <v>34807.0</v>
      </c>
      <c r="AE128" s="189" t="s">
        <v>2887</v>
      </c>
      <c r="AF128" s="189" t="s">
        <v>2888</v>
      </c>
      <c r="AG128" s="189"/>
      <c r="AH128" s="189" t="s">
        <v>2889</v>
      </c>
      <c r="AI128" s="189"/>
      <c r="AJ128" s="189" t="s">
        <v>2890</v>
      </c>
      <c r="AK128" s="189" t="s">
        <v>2891</v>
      </c>
      <c r="AL128" s="189" t="s">
        <v>2892</v>
      </c>
      <c r="AM128" s="189" t="s">
        <v>2893</v>
      </c>
      <c r="AN128" s="189" t="s">
        <v>2894</v>
      </c>
      <c r="AO128" s="189"/>
      <c r="AP128" s="189" t="s">
        <v>2895</v>
      </c>
      <c r="AQ128" s="190"/>
      <c r="AR128" s="189" t="s">
        <v>1241</v>
      </c>
      <c r="AS128" s="191">
        <v>42564.0</v>
      </c>
    </row>
    <row r="129" ht="14.25" customHeight="1">
      <c r="A129" s="188">
        <v>124.0</v>
      </c>
      <c r="B129" s="142" t="s">
        <v>2896</v>
      </c>
      <c r="C129" s="142" t="s">
        <v>2897</v>
      </c>
      <c r="D129" s="142" t="s">
        <v>2898</v>
      </c>
      <c r="E129" s="189" t="s">
        <v>2543</v>
      </c>
      <c r="F129" s="189"/>
      <c r="G129" s="189" t="s">
        <v>1855</v>
      </c>
      <c r="H129" s="189">
        <v>1.013016283E9</v>
      </c>
      <c r="I129" s="189">
        <v>42414.0</v>
      </c>
      <c r="J129" s="189">
        <v>42399.0</v>
      </c>
      <c r="K129" s="189">
        <v>42413.0</v>
      </c>
      <c r="L129" s="189"/>
      <c r="M129" s="189"/>
      <c r="N129" s="189"/>
      <c r="O129" s="189"/>
      <c r="P129" s="189">
        <v>42414.0</v>
      </c>
      <c r="Q129" s="189">
        <v>42565.0</v>
      </c>
      <c r="R129" s="189"/>
      <c r="S129" s="189"/>
      <c r="T129" s="189"/>
      <c r="U129" s="189"/>
      <c r="V129" s="189"/>
      <c r="W129" s="189"/>
      <c r="X129" s="189"/>
      <c r="Y129" s="189"/>
      <c r="Z129" s="189"/>
      <c r="AA129" s="189"/>
      <c r="AB129" s="189"/>
      <c r="AC129" s="189" t="s">
        <v>394</v>
      </c>
      <c r="AD129" s="189">
        <v>34861.0</v>
      </c>
      <c r="AE129" s="189" t="s">
        <v>2899</v>
      </c>
      <c r="AF129" s="189"/>
      <c r="AG129" s="189"/>
      <c r="AH129" s="189" t="s">
        <v>2900</v>
      </c>
      <c r="AI129" s="189"/>
      <c r="AJ129" s="189" t="s">
        <v>2901</v>
      </c>
      <c r="AK129" s="189" t="s">
        <v>2902</v>
      </c>
      <c r="AL129" s="189"/>
      <c r="AM129" s="189" t="s">
        <v>2903</v>
      </c>
      <c r="AN129" s="189" t="s">
        <v>2904</v>
      </c>
      <c r="AO129" s="189"/>
      <c r="AP129" s="189" t="s">
        <v>2905</v>
      </c>
      <c r="AQ129" s="190"/>
      <c r="AR129" s="189" t="s">
        <v>1241</v>
      </c>
      <c r="AS129" s="191">
        <v>42565.0</v>
      </c>
    </row>
    <row r="130" ht="14.25" customHeight="1">
      <c r="A130" s="188">
        <v>125.0</v>
      </c>
      <c r="B130" s="142" t="s">
        <v>2906</v>
      </c>
      <c r="C130" s="142" t="s">
        <v>2907</v>
      </c>
      <c r="D130" s="142" t="s">
        <v>1134</v>
      </c>
      <c r="E130" s="189" t="s">
        <v>2047</v>
      </c>
      <c r="F130" s="189"/>
      <c r="G130" s="189" t="s">
        <v>1855</v>
      </c>
      <c r="H130" s="189">
        <v>1.020816286E9</v>
      </c>
      <c r="I130" s="189">
        <v>42423.0</v>
      </c>
      <c r="J130" s="189">
        <v>42408.0</v>
      </c>
      <c r="K130" s="189">
        <v>42422.0</v>
      </c>
      <c r="L130" s="189"/>
      <c r="M130" s="189"/>
      <c r="N130" s="189"/>
      <c r="O130" s="189"/>
      <c r="P130" s="189">
        <v>42423.0</v>
      </c>
      <c r="Q130" s="189">
        <v>42574.0</v>
      </c>
      <c r="R130" s="189"/>
      <c r="S130" s="189"/>
      <c r="T130" s="189"/>
      <c r="U130" s="189"/>
      <c r="V130" s="189"/>
      <c r="W130" s="189"/>
      <c r="X130" s="189"/>
      <c r="Y130" s="189"/>
      <c r="Z130" s="189"/>
      <c r="AA130" s="189"/>
      <c r="AB130" s="189"/>
      <c r="AC130" s="189" t="s">
        <v>394</v>
      </c>
      <c r="AD130" s="189">
        <v>34016.0</v>
      </c>
      <c r="AE130" s="189" t="s">
        <v>2908</v>
      </c>
      <c r="AF130" s="189"/>
      <c r="AG130" s="189"/>
      <c r="AH130" s="189" t="s">
        <v>2909</v>
      </c>
      <c r="AI130" s="189"/>
      <c r="AJ130" s="189" t="s">
        <v>2910</v>
      </c>
      <c r="AK130" s="189" t="s">
        <v>2911</v>
      </c>
      <c r="AL130" s="189" t="s">
        <v>2912</v>
      </c>
      <c r="AM130" s="189" t="s">
        <v>2913</v>
      </c>
      <c r="AN130" s="189" t="s">
        <v>2914</v>
      </c>
      <c r="AO130" s="189"/>
      <c r="AP130" s="189" t="s">
        <v>2915</v>
      </c>
      <c r="AQ130" s="190"/>
      <c r="AR130" s="189" t="s">
        <v>1241</v>
      </c>
      <c r="AS130" s="191">
        <v>42574.0</v>
      </c>
    </row>
    <row r="131" ht="14.25" customHeight="1">
      <c r="A131" s="188">
        <v>126.0</v>
      </c>
      <c r="B131" s="142" t="s">
        <v>2916</v>
      </c>
      <c r="C131" s="142" t="s">
        <v>2917</v>
      </c>
      <c r="D131" s="142" t="s">
        <v>2918</v>
      </c>
      <c r="E131" s="189" t="s">
        <v>160</v>
      </c>
      <c r="F131" s="189"/>
      <c r="G131" s="189" t="s">
        <v>1832</v>
      </c>
      <c r="H131" s="189">
        <v>1.080415244E9</v>
      </c>
      <c r="I131" s="189">
        <v>42220.0</v>
      </c>
      <c r="J131" s="189"/>
      <c r="K131" s="189"/>
      <c r="L131" s="189"/>
      <c r="M131" s="189"/>
      <c r="N131" s="189"/>
      <c r="O131" s="189"/>
      <c r="P131" s="189">
        <v>42220.0</v>
      </c>
      <c r="Q131" s="189">
        <v>42372.0</v>
      </c>
      <c r="R131" s="189"/>
      <c r="S131" s="189"/>
      <c r="T131" s="189"/>
      <c r="U131" s="189"/>
      <c r="V131" s="189">
        <v>42373.0</v>
      </c>
      <c r="W131" s="189">
        <v>43104.0</v>
      </c>
      <c r="X131" s="189"/>
      <c r="Y131" s="189"/>
      <c r="Z131" s="189"/>
      <c r="AA131" s="189"/>
      <c r="AB131" s="189"/>
      <c r="AC131" s="189" t="s">
        <v>2919</v>
      </c>
      <c r="AD131" s="189">
        <v>30962.0</v>
      </c>
      <c r="AE131" s="189" t="s">
        <v>2920</v>
      </c>
      <c r="AF131" s="189" t="s">
        <v>2921</v>
      </c>
      <c r="AG131" s="189"/>
      <c r="AH131" s="189">
        <v>9.167341014E9</v>
      </c>
      <c r="AI131" s="189"/>
      <c r="AJ131" s="189" t="s">
        <v>298</v>
      </c>
      <c r="AK131" s="189" t="s">
        <v>2922</v>
      </c>
      <c r="AL131" s="189" t="s">
        <v>2923</v>
      </c>
      <c r="AM131" s="189" t="s">
        <v>2924</v>
      </c>
      <c r="AN131" s="189" t="s">
        <v>2925</v>
      </c>
      <c r="AO131" s="189"/>
      <c r="AP131" s="189" t="s">
        <v>2926</v>
      </c>
      <c r="AQ131" s="190"/>
      <c r="AR131" s="189" t="s">
        <v>1840</v>
      </c>
      <c r="AS131" s="191">
        <v>42586.0</v>
      </c>
    </row>
    <row r="132" ht="14.25" customHeight="1">
      <c r="A132" s="188">
        <v>127.0</v>
      </c>
      <c r="B132" s="142" t="s">
        <v>2927</v>
      </c>
      <c r="C132" s="142" t="s">
        <v>2928</v>
      </c>
      <c r="D132" s="142" t="s">
        <v>2929</v>
      </c>
      <c r="E132" s="189" t="s">
        <v>1881</v>
      </c>
      <c r="F132" s="189"/>
      <c r="G132" s="189" t="s">
        <v>1832</v>
      </c>
      <c r="H132" s="189">
        <v>1.071214211E9</v>
      </c>
      <c r="I132" s="189">
        <v>41925.0</v>
      </c>
      <c r="J132" s="189">
        <v>41832.0</v>
      </c>
      <c r="K132" s="189">
        <v>41924.0</v>
      </c>
      <c r="L132" s="189"/>
      <c r="M132" s="189"/>
      <c r="N132" s="189"/>
      <c r="O132" s="189"/>
      <c r="P132" s="189">
        <v>41925.0</v>
      </c>
      <c r="Q132" s="189">
        <v>42075.0</v>
      </c>
      <c r="R132" s="189"/>
      <c r="S132" s="189"/>
      <c r="T132" s="189"/>
      <c r="U132" s="189"/>
      <c r="V132" s="189">
        <v>42076.0</v>
      </c>
      <c r="W132" s="189">
        <v>42441.0</v>
      </c>
      <c r="X132" s="189">
        <v>42442.0</v>
      </c>
      <c r="Y132" s="189">
        <v>42810.0</v>
      </c>
      <c r="Z132" s="189"/>
      <c r="AA132" s="189"/>
      <c r="AB132" s="189"/>
      <c r="AC132" s="189" t="s">
        <v>394</v>
      </c>
      <c r="AD132" s="189">
        <v>34270.0</v>
      </c>
      <c r="AE132" s="189" t="s">
        <v>2930</v>
      </c>
      <c r="AF132" s="189" t="s">
        <v>2931</v>
      </c>
      <c r="AG132" s="189"/>
      <c r="AH132" s="189">
        <v>9.156855722E9</v>
      </c>
      <c r="AI132" s="189"/>
      <c r="AJ132" s="189" t="s">
        <v>1874</v>
      </c>
      <c r="AK132" s="189" t="s">
        <v>2932</v>
      </c>
      <c r="AL132" s="189" t="s">
        <v>2933</v>
      </c>
      <c r="AM132" s="192" t="s">
        <v>2934</v>
      </c>
      <c r="AN132" s="192" t="s">
        <v>2935</v>
      </c>
      <c r="AO132" s="189"/>
      <c r="AP132" s="189" t="s">
        <v>2936</v>
      </c>
      <c r="AQ132" s="190"/>
      <c r="AR132" s="189" t="s">
        <v>2937</v>
      </c>
      <c r="AS132" s="191">
        <v>42590.0</v>
      </c>
    </row>
    <row r="133" ht="14.25" customHeight="1">
      <c r="A133" s="188">
        <v>128.0</v>
      </c>
      <c r="B133" s="142" t="s">
        <v>2938</v>
      </c>
      <c r="C133" s="142" t="s">
        <v>2939</v>
      </c>
      <c r="D133" s="142" t="s">
        <v>2940</v>
      </c>
      <c r="E133" s="189" t="s">
        <v>82</v>
      </c>
      <c r="F133" s="189"/>
      <c r="G133" s="189" t="s">
        <v>1855</v>
      </c>
      <c r="H133" s="189">
        <v>1.032816292E9</v>
      </c>
      <c r="I133" s="189">
        <v>42472.0</v>
      </c>
      <c r="J133" s="189">
        <v>42457.0</v>
      </c>
      <c r="K133" s="189">
        <v>42471.0</v>
      </c>
      <c r="L133" s="189"/>
      <c r="M133" s="189"/>
      <c r="N133" s="189"/>
      <c r="O133" s="189"/>
      <c r="P133" s="189">
        <v>42472.0</v>
      </c>
      <c r="Q133" s="189">
        <v>42625.0</v>
      </c>
      <c r="R133" s="189"/>
      <c r="S133" s="189"/>
      <c r="T133" s="189"/>
      <c r="U133" s="189"/>
      <c r="V133" s="189"/>
      <c r="W133" s="189"/>
      <c r="X133" s="189"/>
      <c r="Y133" s="189"/>
      <c r="Z133" s="189"/>
      <c r="AA133" s="189"/>
      <c r="AB133" s="189"/>
      <c r="AC133" s="189" t="s">
        <v>394</v>
      </c>
      <c r="AD133" s="189">
        <v>34249.0</v>
      </c>
      <c r="AE133" s="189" t="s">
        <v>2941</v>
      </c>
      <c r="AF133" s="189" t="s">
        <v>2941</v>
      </c>
      <c r="AG133" s="189"/>
      <c r="AH133" s="189" t="s">
        <v>2942</v>
      </c>
      <c r="AI133" s="189"/>
      <c r="AJ133" s="189" t="s">
        <v>2943</v>
      </c>
      <c r="AK133" s="189" t="s">
        <v>2944</v>
      </c>
      <c r="AL133" s="189" t="s">
        <v>2945</v>
      </c>
      <c r="AM133" s="189" t="s">
        <v>2946</v>
      </c>
      <c r="AN133" s="189" t="s">
        <v>2947</v>
      </c>
      <c r="AO133" s="189"/>
      <c r="AP133" s="189" t="s">
        <v>2948</v>
      </c>
      <c r="AQ133" s="190"/>
      <c r="AR133" s="189" t="s">
        <v>2949</v>
      </c>
      <c r="AS133" s="191">
        <v>42602.0</v>
      </c>
    </row>
    <row r="134" ht="14.25" customHeight="1">
      <c r="A134" s="188">
        <v>129.0</v>
      </c>
      <c r="B134" s="142" t="s">
        <v>2950</v>
      </c>
      <c r="C134" s="142" t="s">
        <v>2951</v>
      </c>
      <c r="D134" s="142" t="s">
        <v>2952</v>
      </c>
      <c r="E134" s="189" t="s">
        <v>82</v>
      </c>
      <c r="F134" s="189"/>
      <c r="G134" s="189" t="s">
        <v>1855</v>
      </c>
      <c r="H134" s="189">
        <v>1.021116285E9</v>
      </c>
      <c r="I134" s="189">
        <v>42426.0</v>
      </c>
      <c r="J134" s="189">
        <v>42411.0</v>
      </c>
      <c r="K134" s="189">
        <v>42425.0</v>
      </c>
      <c r="L134" s="189"/>
      <c r="M134" s="189"/>
      <c r="N134" s="189"/>
      <c r="O134" s="189"/>
      <c r="P134" s="189">
        <v>42426.0</v>
      </c>
      <c r="Q134" s="189">
        <v>42577.0</v>
      </c>
      <c r="R134" s="189"/>
      <c r="S134" s="189"/>
      <c r="T134" s="189"/>
      <c r="U134" s="189"/>
      <c r="V134" s="189"/>
      <c r="W134" s="189"/>
      <c r="X134" s="189"/>
      <c r="Y134" s="189"/>
      <c r="Z134" s="189"/>
      <c r="AA134" s="189"/>
      <c r="AB134" s="189"/>
      <c r="AC134" s="189" t="s">
        <v>394</v>
      </c>
      <c r="AD134" s="189">
        <v>35102.0</v>
      </c>
      <c r="AE134" s="189" t="s">
        <v>2953</v>
      </c>
      <c r="AF134" s="189" t="s">
        <v>2954</v>
      </c>
      <c r="AG134" s="189"/>
      <c r="AH134" s="189" t="s">
        <v>2955</v>
      </c>
      <c r="AI134" s="189"/>
      <c r="AJ134" s="189" t="s">
        <v>2956</v>
      </c>
      <c r="AK134" s="189" t="s">
        <v>2957</v>
      </c>
      <c r="AL134" s="189" t="s">
        <v>2958</v>
      </c>
      <c r="AM134" s="189" t="s">
        <v>2959</v>
      </c>
      <c r="AN134" s="189">
        <v>1.0520982634E10</v>
      </c>
      <c r="AO134" s="189"/>
      <c r="AP134" s="189"/>
      <c r="AQ134" s="190"/>
      <c r="AR134" s="189" t="s">
        <v>1994</v>
      </c>
      <c r="AS134" s="191">
        <v>42577.0</v>
      </c>
    </row>
    <row r="135" ht="14.25" customHeight="1">
      <c r="A135" s="188">
        <v>130.0</v>
      </c>
      <c r="B135" s="142" t="s">
        <v>2960</v>
      </c>
      <c r="C135" s="142" t="s">
        <v>2961</v>
      </c>
      <c r="D135" s="142" t="s">
        <v>2961</v>
      </c>
      <c r="E135" s="189" t="s">
        <v>82</v>
      </c>
      <c r="F135" s="189"/>
      <c r="G135" s="189" t="s">
        <v>1855</v>
      </c>
      <c r="H135" s="189">
        <v>1.05251631E9</v>
      </c>
      <c r="I135" s="189">
        <v>42529.0</v>
      </c>
      <c r="J135" s="189">
        <v>42516.0</v>
      </c>
      <c r="K135" s="189">
        <v>42528.0</v>
      </c>
      <c r="L135" s="189"/>
      <c r="M135" s="189"/>
      <c r="N135" s="189"/>
      <c r="O135" s="189"/>
      <c r="P135" s="189">
        <v>42529.0</v>
      </c>
      <c r="Q135" s="189">
        <v>42682.0</v>
      </c>
      <c r="R135" s="189"/>
      <c r="S135" s="189"/>
      <c r="T135" s="189"/>
      <c r="U135" s="189"/>
      <c r="V135" s="189"/>
      <c r="W135" s="189"/>
      <c r="X135" s="189"/>
      <c r="Y135" s="189"/>
      <c r="Z135" s="189"/>
      <c r="AA135" s="189"/>
      <c r="AB135" s="189"/>
      <c r="AC135" s="189" t="s">
        <v>394</v>
      </c>
      <c r="AD135" s="189">
        <v>34455.0</v>
      </c>
      <c r="AE135" s="189" t="s">
        <v>2962</v>
      </c>
      <c r="AF135" s="189"/>
      <c r="AG135" s="189"/>
      <c r="AH135" s="189" t="s">
        <v>2963</v>
      </c>
      <c r="AI135" s="189"/>
      <c r="AJ135" s="189" t="s">
        <v>1847</v>
      </c>
      <c r="AK135" s="189" t="s">
        <v>2964</v>
      </c>
      <c r="AL135" s="189" t="s">
        <v>2965</v>
      </c>
      <c r="AM135" s="189" t="s">
        <v>2966</v>
      </c>
      <c r="AN135" s="189" t="s">
        <v>2967</v>
      </c>
      <c r="AO135" s="189"/>
      <c r="AP135" s="189" t="s">
        <v>2968</v>
      </c>
      <c r="AQ135" s="190"/>
      <c r="AR135" s="189" t="s">
        <v>2949</v>
      </c>
      <c r="AS135" s="191">
        <v>42598.0</v>
      </c>
    </row>
    <row r="136" ht="14.25" customHeight="1">
      <c r="A136" s="188">
        <v>131.0</v>
      </c>
      <c r="B136" s="142" t="s">
        <v>74</v>
      </c>
      <c r="C136" s="142" t="s">
        <v>2969</v>
      </c>
      <c r="D136" s="142" t="s">
        <v>2970</v>
      </c>
      <c r="E136" s="189" t="s">
        <v>1881</v>
      </c>
      <c r="F136" s="189"/>
      <c r="G136" s="189" t="s">
        <v>1855</v>
      </c>
      <c r="H136" s="189">
        <v>1.030416288E9</v>
      </c>
      <c r="I136" s="189">
        <v>42448.0</v>
      </c>
      <c r="J136" s="189">
        <v>42433.0</v>
      </c>
      <c r="K136" s="189">
        <v>42447.0</v>
      </c>
      <c r="L136" s="189"/>
      <c r="M136" s="189"/>
      <c r="N136" s="189"/>
      <c r="O136" s="189"/>
      <c r="P136" s="189">
        <v>42448.0</v>
      </c>
      <c r="Q136" s="189">
        <v>42601.0</v>
      </c>
      <c r="R136" s="189"/>
      <c r="S136" s="189"/>
      <c r="T136" s="189"/>
      <c r="U136" s="189"/>
      <c r="V136" s="189"/>
      <c r="W136" s="189"/>
      <c r="X136" s="189"/>
      <c r="Y136" s="189"/>
      <c r="Z136" s="189"/>
      <c r="AA136" s="189"/>
      <c r="AB136" s="189"/>
      <c r="AC136" s="189" t="s">
        <v>394</v>
      </c>
      <c r="AD136" s="189">
        <v>34074.0</v>
      </c>
      <c r="AE136" s="189" t="s">
        <v>2971</v>
      </c>
      <c r="AF136" s="189" t="s">
        <v>2972</v>
      </c>
      <c r="AG136" s="189"/>
      <c r="AH136" s="189" t="s">
        <v>2973</v>
      </c>
      <c r="AI136" s="189"/>
      <c r="AJ136" s="189" t="s">
        <v>1847</v>
      </c>
      <c r="AK136" s="189" t="s">
        <v>2974</v>
      </c>
      <c r="AL136" s="189" t="s">
        <v>2975</v>
      </c>
      <c r="AM136" s="189" t="s">
        <v>2976</v>
      </c>
      <c r="AN136" s="189" t="s">
        <v>2977</v>
      </c>
      <c r="AO136" s="189"/>
      <c r="AP136" s="189" t="s">
        <v>2978</v>
      </c>
      <c r="AQ136" s="190"/>
      <c r="AR136" s="189" t="s">
        <v>1994</v>
      </c>
      <c r="AS136" s="191">
        <v>42601.0</v>
      </c>
    </row>
    <row r="137" ht="14.25" customHeight="1">
      <c r="A137" s="188">
        <v>132.0</v>
      </c>
      <c r="B137" s="142" t="s">
        <v>2115</v>
      </c>
      <c r="C137" s="142" t="s">
        <v>2979</v>
      </c>
      <c r="D137" s="142" t="s">
        <v>2980</v>
      </c>
      <c r="E137" s="189" t="s">
        <v>2803</v>
      </c>
      <c r="F137" s="189"/>
      <c r="G137" s="189" t="s">
        <v>424</v>
      </c>
      <c r="H137" s="189"/>
      <c r="I137" s="189">
        <v>42534.0</v>
      </c>
      <c r="J137" s="189"/>
      <c r="K137" s="189"/>
      <c r="L137" s="189"/>
      <c r="M137" s="189"/>
      <c r="N137" s="189"/>
      <c r="O137" s="189"/>
      <c r="P137" s="189">
        <v>42534.0</v>
      </c>
      <c r="Q137" s="189">
        <v>42564.0</v>
      </c>
      <c r="R137" s="189"/>
      <c r="S137" s="189"/>
      <c r="T137" s="189"/>
      <c r="U137" s="189"/>
      <c r="V137" s="189"/>
      <c r="W137" s="189"/>
      <c r="X137" s="189"/>
      <c r="Y137" s="189"/>
      <c r="Z137" s="189"/>
      <c r="AA137" s="189"/>
      <c r="AB137" s="189"/>
      <c r="AC137" s="189"/>
      <c r="AD137" s="189">
        <v>26585.0</v>
      </c>
      <c r="AE137" s="189" t="s">
        <v>2981</v>
      </c>
      <c r="AF137" s="189"/>
      <c r="AG137" s="189"/>
      <c r="AH137" s="189"/>
      <c r="AI137" s="189"/>
      <c r="AJ137" s="189"/>
      <c r="AK137" s="189"/>
      <c r="AL137" s="189"/>
      <c r="AM137" s="189"/>
      <c r="AN137" s="189"/>
      <c r="AO137" s="189"/>
      <c r="AP137" s="189"/>
      <c r="AQ137" s="190"/>
      <c r="AR137" s="189"/>
      <c r="AS137" s="191"/>
    </row>
    <row r="138" ht="14.25" customHeight="1">
      <c r="A138" s="188">
        <v>133.0</v>
      </c>
      <c r="B138" s="142" t="s">
        <v>2319</v>
      </c>
      <c r="C138" s="142" t="s">
        <v>2982</v>
      </c>
      <c r="D138" s="142" t="s">
        <v>2344</v>
      </c>
      <c r="E138" s="189" t="s">
        <v>2983</v>
      </c>
      <c r="F138" s="189"/>
      <c r="G138" s="189" t="s">
        <v>57</v>
      </c>
      <c r="H138" s="189">
        <v>1.112513172E9</v>
      </c>
      <c r="I138" s="189">
        <v>41582.0</v>
      </c>
      <c r="J138" s="189"/>
      <c r="K138" s="189"/>
      <c r="L138" s="189"/>
      <c r="M138" s="189"/>
      <c r="N138" s="189"/>
      <c r="O138" s="189"/>
      <c r="P138" s="189"/>
      <c r="Q138" s="189"/>
      <c r="R138" s="189"/>
      <c r="S138" s="189"/>
      <c r="T138" s="189"/>
      <c r="U138" s="189"/>
      <c r="V138" s="189"/>
      <c r="W138" s="189"/>
      <c r="X138" s="189"/>
      <c r="Y138" s="189"/>
      <c r="Z138" s="189">
        <v>41582.0</v>
      </c>
      <c r="AA138" s="189">
        <v>41763.0</v>
      </c>
      <c r="AB138" s="189"/>
      <c r="AC138" s="189" t="s">
        <v>2984</v>
      </c>
      <c r="AD138" s="189">
        <v>25994.0</v>
      </c>
      <c r="AE138" s="189"/>
      <c r="AF138" s="189"/>
      <c r="AG138" s="189"/>
      <c r="AH138" s="189"/>
      <c r="AI138" s="189"/>
      <c r="AJ138" s="189"/>
      <c r="AK138" s="189"/>
      <c r="AL138" s="189"/>
      <c r="AM138" s="189" t="s">
        <v>2985</v>
      </c>
      <c r="AN138" s="189"/>
      <c r="AO138" s="189"/>
      <c r="AP138" s="189" t="s">
        <v>2986</v>
      </c>
      <c r="AQ138" s="190"/>
      <c r="AR138" s="189" t="s">
        <v>2224</v>
      </c>
      <c r="AS138" s="191">
        <v>42605.0</v>
      </c>
    </row>
    <row r="139" ht="14.25" customHeight="1">
      <c r="A139" s="188">
        <v>134.0</v>
      </c>
      <c r="B139" s="142" t="s">
        <v>2987</v>
      </c>
      <c r="C139" s="142" t="s">
        <v>2988</v>
      </c>
      <c r="D139" s="142" t="s">
        <v>84</v>
      </c>
      <c r="E139" s="189" t="s">
        <v>82</v>
      </c>
      <c r="F139" s="189"/>
      <c r="G139" s="189" t="s">
        <v>1855</v>
      </c>
      <c r="H139" s="189">
        <v>1.021716287E9</v>
      </c>
      <c r="I139" s="189">
        <v>42432.0</v>
      </c>
      <c r="J139" s="189">
        <v>42417.0</v>
      </c>
      <c r="K139" s="189">
        <v>42431.0</v>
      </c>
      <c r="L139" s="189"/>
      <c r="M139" s="189"/>
      <c r="N139" s="189"/>
      <c r="O139" s="189"/>
      <c r="P139" s="189">
        <v>42432.0</v>
      </c>
      <c r="Q139" s="189">
        <v>42585.0</v>
      </c>
      <c r="R139" s="189"/>
      <c r="S139" s="189"/>
      <c r="T139" s="189"/>
      <c r="U139" s="189"/>
      <c r="V139" s="189"/>
      <c r="W139" s="189"/>
      <c r="X139" s="189"/>
      <c r="Y139" s="189"/>
      <c r="Z139" s="189"/>
      <c r="AA139" s="189"/>
      <c r="AB139" s="189"/>
      <c r="AC139" s="189" t="s">
        <v>394</v>
      </c>
      <c r="AD139" s="189">
        <v>34165.0</v>
      </c>
      <c r="AE139" s="189" t="s">
        <v>2989</v>
      </c>
      <c r="AF139" s="189" t="s">
        <v>2990</v>
      </c>
      <c r="AG139" s="189"/>
      <c r="AH139" s="189" t="s">
        <v>2991</v>
      </c>
      <c r="AI139" s="189"/>
      <c r="AJ139" s="189" t="s">
        <v>2992</v>
      </c>
      <c r="AK139" s="189" t="s">
        <v>2993</v>
      </c>
      <c r="AL139" s="189" t="s">
        <v>2994</v>
      </c>
      <c r="AM139" s="189" t="s">
        <v>2995</v>
      </c>
      <c r="AN139" s="189" t="s">
        <v>2996</v>
      </c>
      <c r="AO139" s="189"/>
      <c r="AP139" s="189"/>
      <c r="AQ139" s="190"/>
      <c r="AR139" s="189" t="s">
        <v>1994</v>
      </c>
      <c r="AS139" s="191">
        <v>42585.0</v>
      </c>
    </row>
    <row r="140" ht="14.25" customHeight="1">
      <c r="A140" s="188">
        <v>135.0</v>
      </c>
      <c r="B140" s="142" t="s">
        <v>2997</v>
      </c>
      <c r="C140" s="142" t="s">
        <v>2998</v>
      </c>
      <c r="D140" s="142" t="s">
        <v>2999</v>
      </c>
      <c r="E140" s="189" t="s">
        <v>1831</v>
      </c>
      <c r="F140" s="189"/>
      <c r="G140" s="189" t="s">
        <v>1832</v>
      </c>
      <c r="H140" s="189">
        <v>1.081513175E9</v>
      </c>
      <c r="I140" s="189">
        <v>41609.0</v>
      </c>
      <c r="J140" s="189">
        <v>41501.0</v>
      </c>
      <c r="K140" s="189">
        <v>41593.0</v>
      </c>
      <c r="L140" s="189"/>
      <c r="M140" s="189"/>
      <c r="N140" s="189"/>
      <c r="O140" s="189"/>
      <c r="P140" s="189">
        <v>41609.0</v>
      </c>
      <c r="Q140" s="189">
        <v>41759.0</v>
      </c>
      <c r="R140" s="189"/>
      <c r="S140" s="189"/>
      <c r="T140" s="189"/>
      <c r="U140" s="189"/>
      <c r="V140" s="189">
        <v>41760.0</v>
      </c>
      <c r="W140" s="189">
        <v>42124.0</v>
      </c>
      <c r="X140" s="189">
        <v>42125.0</v>
      </c>
      <c r="Y140" s="189">
        <v>42490.0</v>
      </c>
      <c r="Z140" s="189">
        <v>42491.0</v>
      </c>
      <c r="AA140" s="189">
        <v>1138583.0</v>
      </c>
      <c r="AB140" s="189"/>
      <c r="AC140" s="189" t="s">
        <v>394</v>
      </c>
      <c r="AD140" s="189">
        <v>33558.0</v>
      </c>
      <c r="AE140" s="189" t="s">
        <v>3000</v>
      </c>
      <c r="AF140" s="189" t="s">
        <v>3001</v>
      </c>
      <c r="AG140" s="189"/>
      <c r="AH140" s="189" t="s">
        <v>3002</v>
      </c>
      <c r="AI140" s="189"/>
      <c r="AJ140" s="189" t="s">
        <v>1941</v>
      </c>
      <c r="AK140" s="189" t="s">
        <v>3003</v>
      </c>
      <c r="AL140" s="189" t="s">
        <v>3004</v>
      </c>
      <c r="AM140" s="189" t="s">
        <v>3005</v>
      </c>
      <c r="AN140" s="189" t="s">
        <v>3006</v>
      </c>
      <c r="AO140" s="189"/>
      <c r="AP140" s="189" t="s">
        <v>3007</v>
      </c>
      <c r="AQ140" s="190"/>
      <c r="AR140" s="189" t="s">
        <v>2949</v>
      </c>
      <c r="AS140" s="191">
        <v>42613.0</v>
      </c>
    </row>
    <row r="141" ht="14.25" customHeight="1">
      <c r="A141" s="188">
        <v>136.0</v>
      </c>
      <c r="B141" s="142" t="s">
        <v>3008</v>
      </c>
      <c r="C141" s="142" t="s">
        <v>434</v>
      </c>
      <c r="D141" s="142" t="s">
        <v>3009</v>
      </c>
      <c r="E141" s="189" t="s">
        <v>82</v>
      </c>
      <c r="F141" s="189"/>
      <c r="G141" s="189" t="s">
        <v>1855</v>
      </c>
      <c r="H141" s="189">
        <v>1.032816293E9</v>
      </c>
      <c r="I141" s="189">
        <v>42472.0</v>
      </c>
      <c r="J141" s="189">
        <v>42457.0</v>
      </c>
      <c r="K141" s="189">
        <v>42471.0</v>
      </c>
      <c r="L141" s="189"/>
      <c r="M141" s="189"/>
      <c r="N141" s="189"/>
      <c r="O141" s="189"/>
      <c r="P141" s="189">
        <v>42472.0</v>
      </c>
      <c r="Q141" s="189">
        <v>42625.0</v>
      </c>
      <c r="R141" s="189"/>
      <c r="S141" s="189"/>
      <c r="T141" s="189"/>
      <c r="U141" s="189"/>
      <c r="V141" s="189"/>
      <c r="W141" s="189"/>
      <c r="X141" s="189"/>
      <c r="Y141" s="189"/>
      <c r="Z141" s="189"/>
      <c r="AA141" s="189"/>
      <c r="AB141" s="189"/>
      <c r="AC141" s="189" t="s">
        <v>394</v>
      </c>
      <c r="AD141" s="189">
        <v>35467.0</v>
      </c>
      <c r="AE141" s="189" t="s">
        <v>3010</v>
      </c>
      <c r="AF141" s="189" t="s">
        <v>3011</v>
      </c>
      <c r="AG141" s="189"/>
      <c r="AH141" s="189" t="s">
        <v>3012</v>
      </c>
      <c r="AI141" s="189"/>
      <c r="AJ141" s="189" t="s">
        <v>3013</v>
      </c>
      <c r="AK141" s="189" t="s">
        <v>3014</v>
      </c>
      <c r="AL141" s="189" t="s">
        <v>3015</v>
      </c>
      <c r="AM141" s="189" t="s">
        <v>3016</v>
      </c>
      <c r="AN141" s="189" t="s">
        <v>3017</v>
      </c>
      <c r="AO141" s="189"/>
      <c r="AP141" s="189" t="s">
        <v>3018</v>
      </c>
      <c r="AQ141" s="190"/>
      <c r="AR141" s="189" t="s">
        <v>1994</v>
      </c>
      <c r="AS141" s="191">
        <v>42625.0</v>
      </c>
    </row>
    <row r="142" ht="14.25" customHeight="1">
      <c r="A142" s="188">
        <v>137.0</v>
      </c>
      <c r="B142" s="142" t="s">
        <v>2372</v>
      </c>
      <c r="C142" s="142" t="s">
        <v>1362</v>
      </c>
      <c r="D142" s="142" t="s">
        <v>3019</v>
      </c>
      <c r="E142" s="189" t="s">
        <v>717</v>
      </c>
      <c r="F142" s="189"/>
      <c r="G142" s="189" t="s">
        <v>1855</v>
      </c>
      <c r="H142" s="189">
        <v>1.041016296E9</v>
      </c>
      <c r="I142" s="189">
        <v>42485.0</v>
      </c>
      <c r="J142" s="189">
        <v>42470.0</v>
      </c>
      <c r="K142" s="189">
        <v>42484.0</v>
      </c>
      <c r="L142" s="189"/>
      <c r="M142" s="189"/>
      <c r="N142" s="189"/>
      <c r="O142" s="189"/>
      <c r="P142" s="189"/>
      <c r="Q142" s="189"/>
      <c r="R142" s="189"/>
      <c r="S142" s="189"/>
      <c r="T142" s="189"/>
      <c r="U142" s="189"/>
      <c r="V142" s="189"/>
      <c r="W142" s="189"/>
      <c r="X142" s="189"/>
      <c r="Y142" s="189"/>
      <c r="Z142" s="189"/>
      <c r="AA142" s="189"/>
      <c r="AB142" s="189"/>
      <c r="AC142" s="189" t="s">
        <v>394</v>
      </c>
      <c r="AD142" s="189">
        <v>34543.0</v>
      </c>
      <c r="AE142" s="189" t="s">
        <v>3020</v>
      </c>
      <c r="AF142" s="189" t="s">
        <v>3021</v>
      </c>
      <c r="AG142" s="189"/>
      <c r="AH142" s="189" t="s">
        <v>3022</v>
      </c>
      <c r="AI142" s="189"/>
      <c r="AJ142" s="189" t="s">
        <v>1847</v>
      </c>
      <c r="AK142" s="189" t="s">
        <v>3023</v>
      </c>
      <c r="AL142" s="189" t="s">
        <v>3024</v>
      </c>
      <c r="AM142" s="192" t="s">
        <v>3025</v>
      </c>
      <c r="AN142" s="192" t="s">
        <v>3026</v>
      </c>
      <c r="AO142" s="189"/>
      <c r="AP142" s="189"/>
      <c r="AQ142" s="190"/>
      <c r="AR142" s="189" t="s">
        <v>1994</v>
      </c>
      <c r="AS142" s="191">
        <v>42638.0</v>
      </c>
    </row>
    <row r="143" ht="14.25" customHeight="1">
      <c r="A143" s="188">
        <v>138.0</v>
      </c>
      <c r="B143" s="142" t="s">
        <v>3027</v>
      </c>
      <c r="C143" s="142" t="s">
        <v>3028</v>
      </c>
      <c r="D143" s="142" t="s">
        <v>3029</v>
      </c>
      <c r="E143" s="189" t="s">
        <v>1881</v>
      </c>
      <c r="F143" s="189"/>
      <c r="G143" s="189" t="s">
        <v>1855</v>
      </c>
      <c r="H143" s="189">
        <v>1.041016295E9</v>
      </c>
      <c r="I143" s="189">
        <v>42485.0</v>
      </c>
      <c r="J143" s="189" t="s">
        <v>3030</v>
      </c>
      <c r="K143" s="189">
        <v>42484.0</v>
      </c>
      <c r="L143" s="189"/>
      <c r="M143" s="189"/>
      <c r="N143" s="189"/>
      <c r="O143" s="189"/>
      <c r="P143" s="189">
        <v>42485.0</v>
      </c>
      <c r="Q143" s="189">
        <v>42638.0</v>
      </c>
      <c r="R143" s="189"/>
      <c r="S143" s="189"/>
      <c r="T143" s="189"/>
      <c r="U143" s="189"/>
      <c r="V143" s="189"/>
      <c r="W143" s="189"/>
      <c r="X143" s="189"/>
      <c r="Y143" s="189"/>
      <c r="Z143" s="189"/>
      <c r="AA143" s="189"/>
      <c r="AB143" s="189"/>
      <c r="AC143" s="189" t="s">
        <v>394</v>
      </c>
      <c r="AD143" s="189">
        <v>34964.0</v>
      </c>
      <c r="AE143" s="189" t="s">
        <v>3031</v>
      </c>
      <c r="AF143" s="189"/>
      <c r="AG143" s="189"/>
      <c r="AH143" s="189" t="s">
        <v>3032</v>
      </c>
      <c r="AI143" s="189"/>
      <c r="AJ143" s="189" t="s">
        <v>1847</v>
      </c>
      <c r="AK143" s="189" t="s">
        <v>3033</v>
      </c>
      <c r="AL143" s="189" t="s">
        <v>3034</v>
      </c>
      <c r="AM143" s="189" t="s">
        <v>3035</v>
      </c>
      <c r="AN143" s="189" t="s">
        <v>3036</v>
      </c>
      <c r="AO143" s="189"/>
      <c r="AP143" s="189"/>
      <c r="AQ143" s="190"/>
      <c r="AR143" s="189" t="s">
        <v>1994</v>
      </c>
      <c r="AS143" s="191">
        <v>42638.0</v>
      </c>
    </row>
    <row r="144" ht="14.25" customHeight="1">
      <c r="A144" s="188">
        <v>139.0</v>
      </c>
      <c r="B144" s="142" t="s">
        <v>1316</v>
      </c>
      <c r="C144" s="142" t="s">
        <v>3037</v>
      </c>
      <c r="D144" s="142" t="s">
        <v>3038</v>
      </c>
      <c r="E144" s="189" t="s">
        <v>82</v>
      </c>
      <c r="F144" s="189"/>
      <c r="G144" s="189" t="s">
        <v>1855</v>
      </c>
      <c r="H144" s="189">
        <v>1.01261628E9</v>
      </c>
      <c r="I144" s="189">
        <v>42411.0</v>
      </c>
      <c r="J144" s="189">
        <v>42396.0</v>
      </c>
      <c r="K144" s="189">
        <v>42410.0</v>
      </c>
      <c r="L144" s="189"/>
      <c r="M144" s="189"/>
      <c r="N144" s="189"/>
      <c r="O144" s="189"/>
      <c r="P144" s="189" t="s">
        <v>3039</v>
      </c>
      <c r="Q144" s="189" t="s">
        <v>3040</v>
      </c>
      <c r="R144" s="189"/>
      <c r="S144" s="189"/>
      <c r="T144" s="189"/>
      <c r="U144" s="189"/>
      <c r="V144" s="189"/>
      <c r="W144" s="189"/>
      <c r="X144" s="189"/>
      <c r="Y144" s="189"/>
      <c r="Z144" s="189"/>
      <c r="AA144" s="189"/>
      <c r="AB144" s="189"/>
      <c r="AC144" s="189" t="s">
        <v>394</v>
      </c>
      <c r="AD144" s="189">
        <v>34644.0</v>
      </c>
      <c r="AE144" s="189" t="s">
        <v>3041</v>
      </c>
      <c r="AF144" s="189" t="s">
        <v>3042</v>
      </c>
      <c r="AG144" s="189"/>
      <c r="AH144" s="189" t="s">
        <v>3043</v>
      </c>
      <c r="AI144" s="189"/>
      <c r="AJ144" s="189" t="s">
        <v>3044</v>
      </c>
      <c r="AK144" s="189" t="s">
        <v>3045</v>
      </c>
      <c r="AL144" s="189" t="s">
        <v>3046</v>
      </c>
      <c r="AM144" s="189" t="s">
        <v>3047</v>
      </c>
      <c r="AN144" s="189" t="s">
        <v>3048</v>
      </c>
      <c r="AO144" s="189"/>
      <c r="AP144" s="189"/>
      <c r="AQ144" s="190"/>
      <c r="AR144" s="189" t="s">
        <v>1994</v>
      </c>
      <c r="AS144" s="191">
        <v>42632.0</v>
      </c>
    </row>
    <row r="145" ht="14.25" customHeight="1">
      <c r="A145" s="188">
        <v>140.0</v>
      </c>
      <c r="B145" s="142" t="s">
        <v>78</v>
      </c>
      <c r="C145" s="142" t="s">
        <v>3049</v>
      </c>
      <c r="D145" s="142" t="s">
        <v>3050</v>
      </c>
      <c r="E145" s="189" t="s">
        <v>1881</v>
      </c>
      <c r="F145" s="189"/>
      <c r="G145" s="189" t="s">
        <v>1855</v>
      </c>
      <c r="H145" s="189">
        <v>1.042216302E9</v>
      </c>
      <c r="I145" s="189">
        <v>42496.0</v>
      </c>
      <c r="J145" s="189">
        <v>42482.0</v>
      </c>
      <c r="K145" s="189">
        <v>42495.0</v>
      </c>
      <c r="L145" s="189"/>
      <c r="M145" s="189"/>
      <c r="N145" s="189"/>
      <c r="O145" s="189"/>
      <c r="P145" s="189">
        <v>42496.0</v>
      </c>
      <c r="Q145" s="189">
        <v>42649.0</v>
      </c>
      <c r="R145" s="189"/>
      <c r="S145" s="189"/>
      <c r="T145" s="189"/>
      <c r="U145" s="189"/>
      <c r="V145" s="189"/>
      <c r="W145" s="189"/>
      <c r="X145" s="189"/>
      <c r="Y145" s="189"/>
      <c r="Z145" s="189"/>
      <c r="AA145" s="189"/>
      <c r="AB145" s="189"/>
      <c r="AC145" s="189" t="s">
        <v>394</v>
      </c>
      <c r="AD145" s="189">
        <v>34965.0</v>
      </c>
      <c r="AE145" s="189" t="s">
        <v>3051</v>
      </c>
      <c r="AF145" s="189"/>
      <c r="AG145" s="189"/>
      <c r="AH145" s="189" t="s">
        <v>3052</v>
      </c>
      <c r="AI145" s="189"/>
      <c r="AJ145" s="189" t="s">
        <v>3053</v>
      </c>
      <c r="AK145" s="189" t="s">
        <v>3054</v>
      </c>
      <c r="AL145" s="189" t="s">
        <v>3055</v>
      </c>
      <c r="AM145" s="189" t="s">
        <v>3056</v>
      </c>
      <c r="AN145" s="189" t="s">
        <v>3057</v>
      </c>
      <c r="AO145" s="189"/>
      <c r="AP145" s="189"/>
      <c r="AQ145" s="190"/>
      <c r="AR145" s="189" t="s">
        <v>1994</v>
      </c>
      <c r="AS145" s="191">
        <v>42649.0</v>
      </c>
    </row>
    <row r="146" ht="14.25" customHeight="1">
      <c r="A146" s="188">
        <v>141.0</v>
      </c>
      <c r="B146" s="142" t="s">
        <v>3058</v>
      </c>
      <c r="C146" s="142" t="s">
        <v>3059</v>
      </c>
      <c r="D146" s="142" t="s">
        <v>3060</v>
      </c>
      <c r="E146" s="189" t="s">
        <v>1881</v>
      </c>
      <c r="F146" s="189"/>
      <c r="G146" s="189" t="s">
        <v>1855</v>
      </c>
      <c r="H146" s="189">
        <v>1.042316303E9</v>
      </c>
      <c r="I146" s="189">
        <v>42497.0</v>
      </c>
      <c r="J146" s="189">
        <v>42483.0</v>
      </c>
      <c r="K146" s="189">
        <v>42496.0</v>
      </c>
      <c r="L146" s="189"/>
      <c r="M146" s="189"/>
      <c r="N146" s="189"/>
      <c r="O146" s="189"/>
      <c r="P146" s="189">
        <v>42497.0</v>
      </c>
      <c r="Q146" s="189">
        <v>42650.0</v>
      </c>
      <c r="R146" s="189"/>
      <c r="S146" s="189"/>
      <c r="T146" s="189"/>
      <c r="U146" s="189"/>
      <c r="V146" s="189"/>
      <c r="W146" s="189"/>
      <c r="X146" s="189"/>
      <c r="Y146" s="189"/>
      <c r="Z146" s="189"/>
      <c r="AA146" s="189"/>
      <c r="AB146" s="189"/>
      <c r="AC146" s="189" t="s">
        <v>394</v>
      </c>
      <c r="AD146" s="189">
        <v>34241.0</v>
      </c>
      <c r="AE146" s="189" t="s">
        <v>3061</v>
      </c>
      <c r="AF146" s="189"/>
      <c r="AG146" s="189"/>
      <c r="AH146" s="189" t="s">
        <v>3062</v>
      </c>
      <c r="AI146" s="189"/>
      <c r="AJ146" s="189" t="s">
        <v>3063</v>
      </c>
      <c r="AK146" s="189" t="s">
        <v>3064</v>
      </c>
      <c r="AL146" s="189" t="s">
        <v>3065</v>
      </c>
      <c r="AM146" s="189" t="s">
        <v>3066</v>
      </c>
      <c r="AN146" s="189" t="s">
        <v>3067</v>
      </c>
      <c r="AO146" s="189"/>
      <c r="AP146" s="189"/>
      <c r="AQ146" s="190"/>
      <c r="AR146" s="189" t="s">
        <v>1994</v>
      </c>
      <c r="AS146" s="191">
        <v>42650.0</v>
      </c>
    </row>
    <row r="147" ht="14.25" customHeight="1">
      <c r="A147" s="188">
        <v>142.0</v>
      </c>
      <c r="B147" s="142" t="s">
        <v>3068</v>
      </c>
      <c r="C147" s="142" t="s">
        <v>3069</v>
      </c>
      <c r="D147" s="142" t="s">
        <v>3070</v>
      </c>
      <c r="E147" s="189" t="s">
        <v>82</v>
      </c>
      <c r="F147" s="189"/>
      <c r="G147" s="189" t="s">
        <v>1855</v>
      </c>
      <c r="H147" s="189">
        <v>1.042316299E9</v>
      </c>
      <c r="I147" s="189">
        <v>42497.0</v>
      </c>
      <c r="J147" s="189">
        <v>42483.0</v>
      </c>
      <c r="K147" s="189">
        <v>42496.0</v>
      </c>
      <c r="L147" s="189"/>
      <c r="M147" s="189"/>
      <c r="N147" s="189"/>
      <c r="O147" s="189"/>
      <c r="P147" s="189">
        <v>42497.0</v>
      </c>
      <c r="Q147" s="189">
        <v>42650.0</v>
      </c>
      <c r="R147" s="189"/>
      <c r="S147" s="189"/>
      <c r="T147" s="189"/>
      <c r="U147" s="189"/>
      <c r="V147" s="189"/>
      <c r="W147" s="189"/>
      <c r="X147" s="189"/>
      <c r="Y147" s="189"/>
      <c r="Z147" s="189"/>
      <c r="AA147" s="189"/>
      <c r="AB147" s="189"/>
      <c r="AC147" s="189" t="s">
        <v>394</v>
      </c>
      <c r="AD147" s="189">
        <v>34514.0</v>
      </c>
      <c r="AE147" s="189" t="s">
        <v>3071</v>
      </c>
      <c r="AF147" s="189"/>
      <c r="AG147" s="189"/>
      <c r="AH147" s="189" t="s">
        <v>3072</v>
      </c>
      <c r="AI147" s="189"/>
      <c r="AJ147" s="189" t="s">
        <v>165</v>
      </c>
      <c r="AK147" s="189" t="s">
        <v>3073</v>
      </c>
      <c r="AL147" s="189" t="s">
        <v>3074</v>
      </c>
      <c r="AM147" s="189" t="s">
        <v>3075</v>
      </c>
      <c r="AN147" s="189" t="s">
        <v>3076</v>
      </c>
      <c r="AO147" s="189"/>
      <c r="AP147" s="189"/>
      <c r="AQ147" s="190"/>
      <c r="AR147" s="189" t="s">
        <v>1994</v>
      </c>
      <c r="AS147" s="191">
        <v>42650.0</v>
      </c>
    </row>
    <row r="148" ht="14.25" customHeight="1">
      <c r="A148" s="188">
        <v>143.0</v>
      </c>
      <c r="B148" s="142" t="s">
        <v>3077</v>
      </c>
      <c r="C148" s="142" t="s">
        <v>3078</v>
      </c>
      <c r="D148" s="142" t="s">
        <v>3079</v>
      </c>
      <c r="E148" s="189" t="s">
        <v>82</v>
      </c>
      <c r="F148" s="189"/>
      <c r="G148" s="189" t="s">
        <v>1855</v>
      </c>
      <c r="H148" s="189">
        <v>1.0423163E9</v>
      </c>
      <c r="I148" s="189"/>
      <c r="J148" s="189">
        <v>42483.0</v>
      </c>
      <c r="K148" s="189">
        <v>42496.0</v>
      </c>
      <c r="L148" s="189"/>
      <c r="M148" s="189"/>
      <c r="N148" s="189"/>
      <c r="O148" s="189"/>
      <c r="P148" s="189">
        <v>42497.0</v>
      </c>
      <c r="Q148" s="189">
        <v>42650.0</v>
      </c>
      <c r="R148" s="189"/>
      <c r="S148" s="189"/>
      <c r="T148" s="189"/>
      <c r="U148" s="189"/>
      <c r="V148" s="189"/>
      <c r="W148" s="189"/>
      <c r="X148" s="189"/>
      <c r="Y148" s="189"/>
      <c r="Z148" s="189"/>
      <c r="AA148" s="189"/>
      <c r="AB148" s="189"/>
      <c r="AC148" s="189" t="s">
        <v>394</v>
      </c>
      <c r="AD148" s="189">
        <v>33203.0</v>
      </c>
      <c r="AE148" s="189" t="s">
        <v>3080</v>
      </c>
      <c r="AF148" s="189"/>
      <c r="AG148" s="189"/>
      <c r="AH148" s="189" t="s">
        <v>3081</v>
      </c>
      <c r="AI148" s="189"/>
      <c r="AJ148" s="189" t="s">
        <v>3082</v>
      </c>
      <c r="AK148" s="189" t="s">
        <v>3083</v>
      </c>
      <c r="AL148" s="189" t="s">
        <v>3084</v>
      </c>
      <c r="AM148" s="189" t="s">
        <v>3085</v>
      </c>
      <c r="AN148" s="189" t="s">
        <v>3086</v>
      </c>
      <c r="AO148" s="189"/>
      <c r="AP148" s="189"/>
      <c r="AQ148" s="190"/>
      <c r="AR148" s="189" t="s">
        <v>1994</v>
      </c>
      <c r="AS148" s="191">
        <v>42650.0</v>
      </c>
    </row>
    <row r="149" ht="14.25" customHeight="1">
      <c r="A149" s="188">
        <v>144.0</v>
      </c>
      <c r="B149" s="142" t="s">
        <v>1843</v>
      </c>
      <c r="C149" s="142" t="s">
        <v>85</v>
      </c>
      <c r="D149" s="142" t="s">
        <v>3087</v>
      </c>
      <c r="E149" s="189" t="s">
        <v>1831</v>
      </c>
      <c r="F149" s="189"/>
      <c r="G149" s="189" t="s">
        <v>1832</v>
      </c>
      <c r="H149" s="189">
        <v>1.011713157E9</v>
      </c>
      <c r="I149" s="189">
        <v>41410.0</v>
      </c>
      <c r="J149" s="189">
        <v>41291.0</v>
      </c>
      <c r="K149" s="189">
        <v>41381.0</v>
      </c>
      <c r="L149" s="189"/>
      <c r="M149" s="189"/>
      <c r="N149" s="189"/>
      <c r="O149" s="189"/>
      <c r="P149" s="189">
        <v>41410.0</v>
      </c>
      <c r="Q149" s="189">
        <v>41563.0</v>
      </c>
      <c r="R149" s="189"/>
      <c r="S149" s="189"/>
      <c r="T149" s="189"/>
      <c r="U149" s="189"/>
      <c r="V149" s="189">
        <v>41579.0</v>
      </c>
      <c r="W149" s="189">
        <v>42309.0</v>
      </c>
      <c r="X149" s="195" t="s">
        <v>3088</v>
      </c>
      <c r="Y149" s="189"/>
      <c r="Z149" s="189"/>
      <c r="AA149" s="189"/>
      <c r="AB149" s="189"/>
      <c r="AC149" s="189" t="s">
        <v>394</v>
      </c>
      <c r="AD149" s="189">
        <v>34316.0</v>
      </c>
      <c r="AE149" s="189" t="s">
        <v>3089</v>
      </c>
      <c r="AF149" s="189" t="s">
        <v>3090</v>
      </c>
      <c r="AG149" s="189"/>
      <c r="AH149" s="189">
        <v>9.309205825E9</v>
      </c>
      <c r="AI149" s="189"/>
      <c r="AJ149" s="189" t="s">
        <v>2195</v>
      </c>
      <c r="AK149" s="189" t="s">
        <v>3091</v>
      </c>
      <c r="AL149" s="189" t="s">
        <v>3092</v>
      </c>
      <c r="AM149" s="189" t="s">
        <v>3093</v>
      </c>
      <c r="AN149" s="189" t="s">
        <v>3094</v>
      </c>
      <c r="AO149" s="189"/>
      <c r="AP149" s="189"/>
      <c r="AQ149" s="190"/>
      <c r="AR149" s="189" t="s">
        <v>1994</v>
      </c>
      <c r="AS149" s="191"/>
    </row>
    <row r="150" ht="18.0" customHeight="1">
      <c r="A150" s="188">
        <v>145.0</v>
      </c>
      <c r="B150" s="142" t="s">
        <v>1673</v>
      </c>
      <c r="C150" s="142" t="s">
        <v>3095</v>
      </c>
      <c r="D150" s="142" t="s">
        <v>3096</v>
      </c>
      <c r="E150" s="189" t="s">
        <v>3097</v>
      </c>
      <c r="F150" s="189"/>
      <c r="G150" s="189" t="s">
        <v>57</v>
      </c>
      <c r="H150" s="189"/>
      <c r="I150" s="189">
        <v>38322.0</v>
      </c>
      <c r="J150" s="189">
        <v>38292.0</v>
      </c>
      <c r="K150" s="189">
        <v>38322.0</v>
      </c>
      <c r="L150" s="189"/>
      <c r="M150" s="189"/>
      <c r="N150" s="189"/>
      <c r="O150" s="189"/>
      <c r="P150" s="189"/>
      <c r="Q150" s="189"/>
      <c r="R150" s="189"/>
      <c r="S150" s="189"/>
      <c r="T150" s="189"/>
      <c r="U150" s="189"/>
      <c r="V150" s="189"/>
      <c r="W150" s="189"/>
      <c r="X150" s="189"/>
      <c r="Y150" s="189"/>
      <c r="Z150" s="189">
        <v>38322.0</v>
      </c>
      <c r="AA150" s="189">
        <v>38504.0</v>
      </c>
      <c r="AB150" s="189"/>
      <c r="AC150" s="189" t="s">
        <v>217</v>
      </c>
      <c r="AD150" s="189">
        <v>26877.0</v>
      </c>
      <c r="AE150" s="189" t="s">
        <v>3098</v>
      </c>
      <c r="AF150" s="189" t="s">
        <v>3099</v>
      </c>
      <c r="AG150" s="189"/>
      <c r="AH150" s="189">
        <v>9.182106732E9</v>
      </c>
      <c r="AI150" s="189"/>
      <c r="AJ150" s="189" t="s">
        <v>3100</v>
      </c>
      <c r="AK150" s="189" t="s">
        <v>3101</v>
      </c>
      <c r="AL150" s="189" t="s">
        <v>3102</v>
      </c>
      <c r="AM150" s="109" t="s">
        <v>3103</v>
      </c>
      <c r="AN150" s="189" t="s">
        <v>3104</v>
      </c>
      <c r="AO150" s="189"/>
      <c r="AP150" s="196" t="s">
        <v>3105</v>
      </c>
      <c r="AQ150" s="197"/>
      <c r="AR150" s="189" t="s">
        <v>1840</v>
      </c>
      <c r="AS150" s="191">
        <v>42658.0</v>
      </c>
    </row>
    <row r="151" ht="14.25" customHeight="1">
      <c r="A151" s="188">
        <v>146.0</v>
      </c>
      <c r="B151" s="142" t="s">
        <v>3106</v>
      </c>
      <c r="C151" s="142" t="s">
        <v>3107</v>
      </c>
      <c r="D151" s="142" t="s">
        <v>3108</v>
      </c>
      <c r="E151" s="189" t="s">
        <v>1831</v>
      </c>
      <c r="F151" s="189"/>
      <c r="G151" s="189" t="s">
        <v>1832</v>
      </c>
      <c r="H151" s="189">
        <v>1.011713154E9</v>
      </c>
      <c r="I151" s="189">
        <v>41410.0</v>
      </c>
      <c r="J151" s="189">
        <v>41291.0</v>
      </c>
      <c r="K151" s="189">
        <v>41381.0</v>
      </c>
      <c r="L151" s="189"/>
      <c r="M151" s="189"/>
      <c r="N151" s="189"/>
      <c r="O151" s="189"/>
      <c r="P151" s="189">
        <v>41410.0</v>
      </c>
      <c r="Q151" s="189">
        <v>41563.0</v>
      </c>
      <c r="R151" s="189"/>
      <c r="S151" s="189"/>
      <c r="T151" s="189"/>
      <c r="U151" s="189"/>
      <c r="V151" s="189">
        <v>41579.0</v>
      </c>
      <c r="W151" s="189">
        <v>42309.0</v>
      </c>
      <c r="X151" s="189">
        <v>42310.0</v>
      </c>
      <c r="Y151" s="189">
        <v>42676.0</v>
      </c>
      <c r="Z151" s="189">
        <v>42677.0</v>
      </c>
      <c r="AA151" s="189">
        <v>43406.0</v>
      </c>
      <c r="AB151" s="189"/>
      <c r="AC151" s="189" t="s">
        <v>394</v>
      </c>
      <c r="AD151" s="189">
        <v>34335.0</v>
      </c>
      <c r="AE151" s="189" t="s">
        <v>3109</v>
      </c>
      <c r="AF151" s="189"/>
      <c r="AG151" s="189"/>
      <c r="AH151" s="189" t="s">
        <v>3110</v>
      </c>
      <c r="AI151" s="189"/>
      <c r="AJ151" s="189" t="s">
        <v>3111</v>
      </c>
      <c r="AK151" s="189" t="s">
        <v>3112</v>
      </c>
      <c r="AL151" s="189" t="s">
        <v>3113</v>
      </c>
      <c r="AM151" s="189" t="s">
        <v>3114</v>
      </c>
      <c r="AN151" s="189" t="s">
        <v>3115</v>
      </c>
      <c r="AO151" s="189"/>
      <c r="AP151" s="189"/>
      <c r="AQ151" s="190"/>
      <c r="AR151" s="189" t="s">
        <v>1840</v>
      </c>
      <c r="AS151" s="191">
        <v>42714.0</v>
      </c>
    </row>
    <row r="152" ht="14.25" customHeight="1">
      <c r="A152" s="188">
        <v>147.0</v>
      </c>
      <c r="B152" s="142" t="s">
        <v>3116</v>
      </c>
      <c r="C152" s="142" t="s">
        <v>2453</v>
      </c>
      <c r="D152" s="142" t="s">
        <v>730</v>
      </c>
      <c r="E152" s="189" t="s">
        <v>82</v>
      </c>
      <c r="F152" s="189"/>
      <c r="G152" s="189" t="s">
        <v>1855</v>
      </c>
      <c r="H152" s="189">
        <v>1.062716318E9</v>
      </c>
      <c r="I152" s="189">
        <v>42562.0</v>
      </c>
      <c r="J152" s="189">
        <v>42548.0</v>
      </c>
      <c r="K152" s="189">
        <v>42561.0</v>
      </c>
      <c r="L152" s="189"/>
      <c r="M152" s="189"/>
      <c r="N152" s="189"/>
      <c r="O152" s="189"/>
      <c r="P152" s="189">
        <v>42562.0</v>
      </c>
      <c r="Q152" s="189">
        <v>42715.0</v>
      </c>
      <c r="R152" s="189"/>
      <c r="S152" s="189"/>
      <c r="T152" s="189"/>
      <c r="U152" s="189"/>
      <c r="V152" s="189"/>
      <c r="W152" s="189"/>
      <c r="X152" s="189"/>
      <c r="Y152" s="189"/>
      <c r="Z152" s="189"/>
      <c r="AA152" s="189"/>
      <c r="AB152" s="189"/>
      <c r="AC152" s="189" t="s">
        <v>394</v>
      </c>
      <c r="AD152" s="189">
        <v>34435.0</v>
      </c>
      <c r="AE152" s="189" t="s">
        <v>3117</v>
      </c>
      <c r="AF152" s="189"/>
      <c r="AG152" s="189"/>
      <c r="AH152" s="189" t="s">
        <v>3118</v>
      </c>
      <c r="AI152" s="189"/>
      <c r="AJ152" s="189" t="s">
        <v>1847</v>
      </c>
      <c r="AK152" s="189" t="s">
        <v>3119</v>
      </c>
      <c r="AL152" s="189" t="s">
        <v>3120</v>
      </c>
      <c r="AM152" s="189" t="s">
        <v>3121</v>
      </c>
      <c r="AN152" s="189" t="s">
        <v>3122</v>
      </c>
      <c r="AO152" s="189"/>
      <c r="AP152" s="189"/>
      <c r="AQ152" s="190"/>
      <c r="AR152" s="189" t="s">
        <v>1241</v>
      </c>
      <c r="AS152" s="191">
        <v>42715.0</v>
      </c>
    </row>
    <row r="153" ht="14.25" customHeight="1">
      <c r="A153" s="188">
        <v>148.0</v>
      </c>
      <c r="B153" s="142" t="s">
        <v>3123</v>
      </c>
      <c r="C153" s="142" t="s">
        <v>1761</v>
      </c>
      <c r="D153" s="142" t="s">
        <v>3124</v>
      </c>
      <c r="E153" s="189" t="s">
        <v>82</v>
      </c>
      <c r="F153" s="189"/>
      <c r="G153" s="189" t="s">
        <v>1855</v>
      </c>
      <c r="H153" s="189">
        <v>1.062716319E9</v>
      </c>
      <c r="I153" s="189">
        <v>42562.0</v>
      </c>
      <c r="J153" s="189">
        <v>42548.0</v>
      </c>
      <c r="K153" s="189">
        <v>42561.0</v>
      </c>
      <c r="L153" s="189"/>
      <c r="M153" s="189"/>
      <c r="N153" s="189"/>
      <c r="O153" s="189"/>
      <c r="P153" s="189">
        <v>42562.0</v>
      </c>
      <c r="Q153" s="189">
        <v>42715.0</v>
      </c>
      <c r="R153" s="189"/>
      <c r="S153" s="189"/>
      <c r="T153" s="189"/>
      <c r="U153" s="189"/>
      <c r="V153" s="189"/>
      <c r="W153" s="189"/>
      <c r="X153" s="189"/>
      <c r="Y153" s="189"/>
      <c r="Z153" s="189"/>
      <c r="AA153" s="189"/>
      <c r="AB153" s="189"/>
      <c r="AC153" s="189" t="s">
        <v>394</v>
      </c>
      <c r="AD153" s="189">
        <v>35138.0</v>
      </c>
      <c r="AE153" s="189" t="s">
        <v>3125</v>
      </c>
      <c r="AF153" s="189" t="s">
        <v>3126</v>
      </c>
      <c r="AG153" s="189"/>
      <c r="AH153" s="189" t="s">
        <v>3127</v>
      </c>
      <c r="AI153" s="189"/>
      <c r="AJ153" s="189" t="s">
        <v>1847</v>
      </c>
      <c r="AK153" s="189" t="s">
        <v>3128</v>
      </c>
      <c r="AL153" s="192" t="s">
        <v>3129</v>
      </c>
      <c r="AM153" s="192" t="s">
        <v>3130</v>
      </c>
      <c r="AN153" s="192" t="s">
        <v>3131</v>
      </c>
      <c r="AO153" s="189"/>
      <c r="AP153" s="189"/>
      <c r="AQ153" s="190"/>
      <c r="AR153" s="189" t="s">
        <v>1241</v>
      </c>
      <c r="AS153" s="191">
        <v>42715.0</v>
      </c>
    </row>
    <row r="154" ht="14.25" customHeight="1">
      <c r="A154" s="188">
        <v>149.0</v>
      </c>
      <c r="B154" s="142" t="s">
        <v>2950</v>
      </c>
      <c r="C154" s="142" t="s">
        <v>2951</v>
      </c>
      <c r="D154" s="142" t="s">
        <v>2952</v>
      </c>
      <c r="E154" s="189" t="s">
        <v>82</v>
      </c>
      <c r="F154" s="189"/>
      <c r="G154" s="189" t="s">
        <v>1855</v>
      </c>
      <c r="H154" s="189">
        <v>1.021116285E9</v>
      </c>
      <c r="I154" s="189">
        <v>42426.0</v>
      </c>
      <c r="J154" s="189">
        <v>42411.0</v>
      </c>
      <c r="K154" s="189">
        <v>42425.0</v>
      </c>
      <c r="L154" s="189"/>
      <c r="M154" s="189"/>
      <c r="N154" s="189"/>
      <c r="O154" s="189"/>
      <c r="P154" s="189">
        <v>42426.0</v>
      </c>
      <c r="Q154" s="189">
        <v>42576.0</v>
      </c>
      <c r="R154" s="189"/>
      <c r="S154" s="189"/>
      <c r="T154" s="189"/>
      <c r="U154" s="189"/>
      <c r="V154" s="189">
        <v>42658.0</v>
      </c>
      <c r="W154" s="189">
        <v>43387.0</v>
      </c>
      <c r="X154" s="189"/>
      <c r="Y154" s="189"/>
      <c r="Z154" s="189"/>
      <c r="AA154" s="189"/>
      <c r="AB154" s="189"/>
      <c r="AC154" s="189" t="s">
        <v>394</v>
      </c>
      <c r="AD154" s="189">
        <v>35102.0</v>
      </c>
      <c r="AE154" s="189" t="s">
        <v>2953</v>
      </c>
      <c r="AF154" s="189" t="s">
        <v>2954</v>
      </c>
      <c r="AG154" s="189"/>
      <c r="AH154" s="189" t="s">
        <v>2955</v>
      </c>
      <c r="AI154" s="189"/>
      <c r="AJ154" s="189" t="s">
        <v>2956</v>
      </c>
      <c r="AK154" s="189" t="s">
        <v>2957</v>
      </c>
      <c r="AL154" s="189" t="s">
        <v>2958</v>
      </c>
      <c r="AM154" s="189" t="s">
        <v>2959</v>
      </c>
      <c r="AN154" s="189">
        <v>1.0520982634E10</v>
      </c>
      <c r="AO154" s="189"/>
      <c r="AP154" s="189"/>
      <c r="AQ154" s="190"/>
      <c r="AR154" s="189" t="s">
        <v>3132</v>
      </c>
      <c r="AS154" s="191">
        <v>42723.0</v>
      </c>
    </row>
    <row r="155" ht="14.25" customHeight="1">
      <c r="A155" s="188">
        <v>150.0</v>
      </c>
      <c r="B155" s="142" t="s">
        <v>3133</v>
      </c>
      <c r="C155" s="142" t="s">
        <v>3134</v>
      </c>
      <c r="D155" s="142" t="s">
        <v>449</v>
      </c>
      <c r="E155" s="189" t="s">
        <v>2047</v>
      </c>
      <c r="F155" s="189"/>
      <c r="G155" s="189" t="s">
        <v>1855</v>
      </c>
      <c r="H155" s="189">
        <v>1.072216322E9</v>
      </c>
      <c r="I155" s="189">
        <v>42587.0</v>
      </c>
      <c r="J155" s="189">
        <v>42573.0</v>
      </c>
      <c r="K155" s="189">
        <v>42586.0</v>
      </c>
      <c r="L155" s="189"/>
      <c r="M155" s="189"/>
      <c r="N155" s="189"/>
      <c r="O155" s="189"/>
      <c r="P155" s="189">
        <v>42587.0</v>
      </c>
      <c r="Q155" s="189">
        <v>42740.0</v>
      </c>
      <c r="R155" s="189"/>
      <c r="S155" s="189"/>
      <c r="T155" s="189"/>
      <c r="U155" s="189"/>
      <c r="V155" s="189"/>
      <c r="W155" s="189"/>
      <c r="X155" s="189"/>
      <c r="Y155" s="189"/>
      <c r="Z155" s="189"/>
      <c r="AA155" s="189"/>
      <c r="AB155" s="189"/>
      <c r="AC155" s="189" t="s">
        <v>394</v>
      </c>
      <c r="AD155" s="189">
        <v>34715.0</v>
      </c>
      <c r="AE155" s="189" t="s">
        <v>3135</v>
      </c>
      <c r="AF155" s="189" t="s">
        <v>3136</v>
      </c>
      <c r="AG155" s="189"/>
      <c r="AH155" s="189" t="s">
        <v>3137</v>
      </c>
      <c r="AI155" s="189"/>
      <c r="AJ155" s="189" t="s">
        <v>3138</v>
      </c>
      <c r="AK155" s="189" t="s">
        <v>3139</v>
      </c>
      <c r="AL155" s="189" t="s">
        <v>3140</v>
      </c>
      <c r="AM155" s="189" t="s">
        <v>3141</v>
      </c>
      <c r="AN155" s="189" t="s">
        <v>3142</v>
      </c>
      <c r="AO155" s="189"/>
      <c r="AP155" s="189"/>
      <c r="AQ155" s="190"/>
      <c r="AR155" s="189" t="s">
        <v>1241</v>
      </c>
      <c r="AS155" s="191">
        <v>42740.0</v>
      </c>
    </row>
    <row r="156" ht="14.25" customHeight="1">
      <c r="A156" s="188">
        <v>151.0</v>
      </c>
      <c r="B156" s="142" t="s">
        <v>3143</v>
      </c>
      <c r="C156" s="142" t="s">
        <v>2137</v>
      </c>
      <c r="D156" s="142" t="s">
        <v>3144</v>
      </c>
      <c r="E156" s="189" t="s">
        <v>176</v>
      </c>
      <c r="F156" s="189"/>
      <c r="G156" s="189" t="s">
        <v>424</v>
      </c>
      <c r="H156" s="189"/>
      <c r="I156" s="189"/>
      <c r="J156" s="189"/>
      <c r="K156" s="189"/>
      <c r="L156" s="189"/>
      <c r="M156" s="189"/>
      <c r="N156" s="189"/>
      <c r="O156" s="189"/>
      <c r="P156" s="189"/>
      <c r="Q156" s="189"/>
      <c r="R156" s="189"/>
      <c r="S156" s="189"/>
      <c r="T156" s="189"/>
      <c r="U156" s="189"/>
      <c r="V156" s="189"/>
      <c r="W156" s="189"/>
      <c r="X156" s="189"/>
      <c r="Y156" s="189"/>
      <c r="Z156" s="189"/>
      <c r="AA156" s="189"/>
      <c r="AB156" s="189"/>
      <c r="AC156" s="189"/>
      <c r="AD156" s="189"/>
      <c r="AE156" s="189"/>
      <c r="AF156" s="189"/>
      <c r="AG156" s="189"/>
      <c r="AH156" s="189"/>
      <c r="AI156" s="189"/>
      <c r="AJ156" s="189"/>
      <c r="AK156" s="189"/>
      <c r="AL156" s="189"/>
      <c r="AM156" s="189"/>
      <c r="AN156" s="189"/>
      <c r="AO156" s="189"/>
      <c r="AP156" s="189"/>
      <c r="AQ156" s="190"/>
      <c r="AR156" s="189" t="s">
        <v>3145</v>
      </c>
      <c r="AS156" s="191">
        <v>42741.0</v>
      </c>
    </row>
    <row r="157" ht="14.25" customHeight="1">
      <c r="A157" s="188">
        <v>152.0</v>
      </c>
      <c r="B157" s="142" t="s">
        <v>3146</v>
      </c>
      <c r="C157" s="142" t="s">
        <v>3147</v>
      </c>
      <c r="D157" s="142" t="s">
        <v>3148</v>
      </c>
      <c r="E157" s="189" t="s">
        <v>82</v>
      </c>
      <c r="F157" s="189"/>
      <c r="G157" s="189" t="s">
        <v>1855</v>
      </c>
      <c r="H157" s="189">
        <v>1.080116324E9</v>
      </c>
      <c r="I157" s="189">
        <v>42597.0</v>
      </c>
      <c r="J157" s="189">
        <v>42583.0</v>
      </c>
      <c r="K157" s="189">
        <v>42596.0</v>
      </c>
      <c r="L157" s="189"/>
      <c r="M157" s="189"/>
      <c r="N157" s="189"/>
      <c r="O157" s="189"/>
      <c r="P157" s="189">
        <v>42597.0</v>
      </c>
      <c r="Q157" s="189">
        <v>42750.0</v>
      </c>
      <c r="R157" s="189"/>
      <c r="S157" s="189"/>
      <c r="T157" s="189"/>
      <c r="U157" s="189"/>
      <c r="V157" s="189"/>
      <c r="W157" s="189"/>
      <c r="X157" s="189"/>
      <c r="Y157" s="189"/>
      <c r="Z157" s="189"/>
      <c r="AA157" s="189"/>
      <c r="AB157" s="189"/>
      <c r="AC157" s="189" t="s">
        <v>394</v>
      </c>
      <c r="AD157" s="189">
        <v>34276.0</v>
      </c>
      <c r="AE157" s="189" t="s">
        <v>3149</v>
      </c>
      <c r="AF157" s="189"/>
      <c r="AG157" s="189"/>
      <c r="AH157" s="189">
        <v>9.154660576E9</v>
      </c>
      <c r="AI157" s="189"/>
      <c r="AJ157" s="189" t="s">
        <v>1847</v>
      </c>
      <c r="AK157" s="189" t="s">
        <v>3150</v>
      </c>
      <c r="AL157" s="189" t="s">
        <v>3151</v>
      </c>
      <c r="AM157" s="189" t="s">
        <v>3152</v>
      </c>
      <c r="AN157" s="189" t="s">
        <v>3153</v>
      </c>
      <c r="AO157" s="189"/>
      <c r="AP157" s="189"/>
      <c r="AQ157" s="190"/>
      <c r="AR157" s="189" t="s">
        <v>1241</v>
      </c>
      <c r="AS157" s="191">
        <v>42750.0</v>
      </c>
    </row>
    <row r="158" ht="14.25" customHeight="1">
      <c r="A158" s="188">
        <v>153.0</v>
      </c>
      <c r="B158" s="142" t="s">
        <v>3154</v>
      </c>
      <c r="C158" s="142" t="s">
        <v>3155</v>
      </c>
      <c r="D158" s="142" t="s">
        <v>3156</v>
      </c>
      <c r="E158" s="189" t="s">
        <v>1881</v>
      </c>
      <c r="F158" s="189"/>
      <c r="G158" s="189" t="s">
        <v>1855</v>
      </c>
      <c r="H158" s="189">
        <v>1.080816326E9</v>
      </c>
      <c r="I158" s="189">
        <v>42604.0</v>
      </c>
      <c r="J158" s="189">
        <v>42590.0</v>
      </c>
      <c r="K158" s="189">
        <v>42603.0</v>
      </c>
      <c r="L158" s="189"/>
      <c r="M158" s="189"/>
      <c r="N158" s="189"/>
      <c r="O158" s="189"/>
      <c r="P158" s="189">
        <v>42604.0</v>
      </c>
      <c r="Q158" s="189">
        <v>42757.0</v>
      </c>
      <c r="R158" s="189"/>
      <c r="S158" s="189"/>
      <c r="T158" s="189"/>
      <c r="U158" s="189"/>
      <c r="V158" s="189"/>
      <c r="W158" s="189"/>
      <c r="X158" s="189"/>
      <c r="Y158" s="189"/>
      <c r="Z158" s="189"/>
      <c r="AA158" s="189"/>
      <c r="AB158" s="189"/>
      <c r="AC158" s="189" t="s">
        <v>3157</v>
      </c>
      <c r="AD158" s="189">
        <v>34720.0</v>
      </c>
      <c r="AE158" s="189" t="s">
        <v>3158</v>
      </c>
      <c r="AF158" s="189" t="s">
        <v>3159</v>
      </c>
      <c r="AG158" s="189"/>
      <c r="AH158" s="189">
        <v>9.979960618E9</v>
      </c>
      <c r="AI158" s="189"/>
      <c r="AJ158" s="189" t="s">
        <v>975</v>
      </c>
      <c r="AK158" s="189" t="s">
        <v>3160</v>
      </c>
      <c r="AL158" s="189" t="s">
        <v>3161</v>
      </c>
      <c r="AM158" s="189" t="s">
        <v>3162</v>
      </c>
      <c r="AN158" s="189" t="s">
        <v>3163</v>
      </c>
      <c r="AO158" s="189"/>
      <c r="AP158" s="189"/>
      <c r="AQ158" s="190"/>
      <c r="AR158" s="189" t="s">
        <v>1241</v>
      </c>
      <c r="AS158" s="191">
        <v>42757.0</v>
      </c>
    </row>
    <row r="159" ht="14.25" customHeight="1">
      <c r="A159" s="188">
        <v>154.0</v>
      </c>
      <c r="B159" s="142" t="s">
        <v>3164</v>
      </c>
      <c r="C159" s="142" t="s">
        <v>3165</v>
      </c>
      <c r="D159" s="142" t="s">
        <v>3166</v>
      </c>
      <c r="E159" s="189" t="s">
        <v>1881</v>
      </c>
      <c r="F159" s="189"/>
      <c r="G159" s="189" t="s">
        <v>1855</v>
      </c>
      <c r="H159" s="189">
        <v>1.080816325E9</v>
      </c>
      <c r="I159" s="189">
        <v>42604.0</v>
      </c>
      <c r="J159" s="189">
        <v>42590.0</v>
      </c>
      <c r="K159" s="189">
        <v>42603.0</v>
      </c>
      <c r="L159" s="189"/>
      <c r="M159" s="189"/>
      <c r="N159" s="189"/>
      <c r="O159" s="189"/>
      <c r="P159" s="189">
        <v>42604.0</v>
      </c>
      <c r="Q159" s="189">
        <v>42757.0</v>
      </c>
      <c r="R159" s="189"/>
      <c r="S159" s="189"/>
      <c r="T159" s="189"/>
      <c r="U159" s="189"/>
      <c r="V159" s="189"/>
      <c r="W159" s="189"/>
      <c r="X159" s="189"/>
      <c r="Y159" s="189"/>
      <c r="Z159" s="189"/>
      <c r="AA159" s="189"/>
      <c r="AB159" s="189"/>
      <c r="AC159" s="189" t="s">
        <v>3157</v>
      </c>
      <c r="AD159" s="189">
        <v>35262.0</v>
      </c>
      <c r="AE159" s="189" t="s">
        <v>3167</v>
      </c>
      <c r="AF159" s="189"/>
      <c r="AG159" s="189"/>
      <c r="AH159" s="189">
        <v>9.19483144E9</v>
      </c>
      <c r="AI159" s="189"/>
      <c r="AJ159" s="189" t="s">
        <v>3063</v>
      </c>
      <c r="AK159" s="189" t="s">
        <v>3168</v>
      </c>
      <c r="AL159" s="189" t="s">
        <v>3169</v>
      </c>
      <c r="AM159" s="189" t="s">
        <v>3170</v>
      </c>
      <c r="AN159" s="189" t="s">
        <v>3171</v>
      </c>
      <c r="AO159" s="189"/>
      <c r="AP159" s="189"/>
      <c r="AQ159" s="190"/>
      <c r="AR159" s="189" t="s">
        <v>1241</v>
      </c>
      <c r="AS159" s="191">
        <v>42757.0</v>
      </c>
    </row>
    <row r="160" ht="15.75" customHeight="1">
      <c r="A160" s="188">
        <v>155.0</v>
      </c>
      <c r="B160" s="142" t="s">
        <v>3172</v>
      </c>
      <c r="C160" s="142" t="s">
        <v>3173</v>
      </c>
      <c r="D160" s="142" t="s">
        <v>3174</v>
      </c>
      <c r="E160" s="162" t="s">
        <v>550</v>
      </c>
      <c r="F160" s="162"/>
      <c r="G160" s="162" t="s">
        <v>57</v>
      </c>
      <c r="H160" s="162">
        <v>1.111813186E9</v>
      </c>
      <c r="I160" s="162">
        <v>41596.0</v>
      </c>
      <c r="J160" s="162"/>
      <c r="K160" s="162"/>
      <c r="L160" s="162"/>
      <c r="M160" s="162"/>
      <c r="N160" s="162"/>
      <c r="O160" s="162"/>
      <c r="P160" s="162">
        <v>41596.0</v>
      </c>
      <c r="Q160" s="162">
        <v>41747.0</v>
      </c>
      <c r="R160" s="162"/>
      <c r="S160" s="162"/>
      <c r="T160" s="162"/>
      <c r="U160" s="162"/>
      <c r="V160" s="162"/>
      <c r="W160" s="162"/>
      <c r="X160" s="162"/>
      <c r="Y160" s="162"/>
      <c r="Z160" s="162">
        <v>41748.0</v>
      </c>
      <c r="AA160" s="162">
        <v>41930.0</v>
      </c>
      <c r="AB160" s="162"/>
      <c r="AC160" s="162" t="s">
        <v>217</v>
      </c>
      <c r="AD160" s="162">
        <v>29442.0</v>
      </c>
      <c r="AE160" s="162" t="s">
        <v>3175</v>
      </c>
      <c r="AF160" s="198" t="s">
        <v>3176</v>
      </c>
      <c r="AG160" s="198"/>
      <c r="AH160" s="162"/>
      <c r="AI160" s="162"/>
      <c r="AJ160" s="162" t="s">
        <v>526</v>
      </c>
      <c r="AK160" s="162" t="s">
        <v>3177</v>
      </c>
      <c r="AL160" s="162" t="s">
        <v>3178</v>
      </c>
      <c r="AM160" s="162" t="s">
        <v>3179</v>
      </c>
      <c r="AN160" s="162" t="s">
        <v>3180</v>
      </c>
      <c r="AO160" s="162"/>
      <c r="AP160" s="162" t="s">
        <v>3181</v>
      </c>
      <c r="AQ160" s="199"/>
      <c r="AR160" s="162" t="s">
        <v>1840</v>
      </c>
      <c r="AS160" s="200">
        <v>42766.0</v>
      </c>
    </row>
    <row r="161" ht="14.25" customHeight="1">
      <c r="A161" s="188">
        <v>156.0</v>
      </c>
      <c r="B161" s="142" t="s">
        <v>3182</v>
      </c>
      <c r="C161" s="142" t="s">
        <v>3183</v>
      </c>
      <c r="D161" s="142" t="s">
        <v>3184</v>
      </c>
      <c r="E161" s="189" t="s">
        <v>577</v>
      </c>
      <c r="F161" s="189"/>
      <c r="G161" s="189" t="s">
        <v>1832</v>
      </c>
      <c r="H161" s="189">
        <v>1.12011526E9</v>
      </c>
      <c r="I161" s="189">
        <v>42354.0</v>
      </c>
      <c r="J161" s="189">
        <v>42339.0</v>
      </c>
      <c r="K161" s="189">
        <v>42353.0</v>
      </c>
      <c r="L161" s="189"/>
      <c r="M161" s="189"/>
      <c r="N161" s="189"/>
      <c r="O161" s="189"/>
      <c r="P161" s="189">
        <v>42354.0</v>
      </c>
      <c r="Q161" s="189">
        <v>42506.0</v>
      </c>
      <c r="R161" s="189"/>
      <c r="S161" s="189"/>
      <c r="T161" s="189"/>
      <c r="U161" s="189"/>
      <c r="V161" s="189">
        <v>42507.0</v>
      </c>
      <c r="W161" s="189">
        <v>43236.0</v>
      </c>
      <c r="X161" s="189"/>
      <c r="Y161" s="189"/>
      <c r="Z161" s="189"/>
      <c r="AA161" s="189"/>
      <c r="AB161" s="189"/>
      <c r="AC161" s="189" t="s">
        <v>394</v>
      </c>
      <c r="AD161" s="189">
        <v>34369.0</v>
      </c>
      <c r="AE161" s="189" t="s">
        <v>3185</v>
      </c>
      <c r="AF161" s="189" t="s">
        <v>3186</v>
      </c>
      <c r="AG161" s="189"/>
      <c r="AH161" s="189">
        <v>9.05454747E9</v>
      </c>
      <c r="AI161" s="189"/>
      <c r="AJ161" s="189" t="s">
        <v>1847</v>
      </c>
      <c r="AK161" s="189" t="s">
        <v>3187</v>
      </c>
      <c r="AL161" s="192" t="s">
        <v>3188</v>
      </c>
      <c r="AM161" s="192" t="s">
        <v>3189</v>
      </c>
      <c r="AN161" s="192" t="s">
        <v>3190</v>
      </c>
      <c r="AO161" s="189"/>
      <c r="AP161" s="189"/>
      <c r="AQ161" s="190"/>
      <c r="AR161" s="189" t="s">
        <v>1840</v>
      </c>
      <c r="AS161" s="191">
        <v>42766.0</v>
      </c>
    </row>
    <row r="162" ht="14.25" customHeight="1">
      <c r="A162" s="188">
        <v>157.0</v>
      </c>
      <c r="B162" s="142" t="s">
        <v>3191</v>
      </c>
      <c r="C162" s="142" t="s">
        <v>3192</v>
      </c>
      <c r="D162" s="142" t="s">
        <v>3193</v>
      </c>
      <c r="E162" s="189" t="s">
        <v>133</v>
      </c>
      <c r="F162" s="189"/>
      <c r="G162" s="189" t="s">
        <v>1832</v>
      </c>
      <c r="H162" s="189">
        <v>1.06041421E9</v>
      </c>
      <c r="I162" s="189">
        <v>41887.0</v>
      </c>
      <c r="J162" s="189">
        <v>41794.0</v>
      </c>
      <c r="K162" s="189">
        <v>41886.0</v>
      </c>
      <c r="L162" s="189"/>
      <c r="M162" s="189"/>
      <c r="N162" s="189"/>
      <c r="O162" s="189"/>
      <c r="P162" s="189">
        <v>41887.0</v>
      </c>
      <c r="Q162" s="189">
        <v>42039.0</v>
      </c>
      <c r="R162" s="189"/>
      <c r="S162" s="189"/>
      <c r="T162" s="189"/>
      <c r="U162" s="189"/>
      <c r="V162" s="189">
        <v>42040.0</v>
      </c>
      <c r="W162" s="189">
        <v>42770.0</v>
      </c>
      <c r="X162" s="189"/>
      <c r="Y162" s="189"/>
      <c r="Z162" s="189"/>
      <c r="AA162" s="189"/>
      <c r="AB162" s="189"/>
      <c r="AC162" s="189" t="s">
        <v>394</v>
      </c>
      <c r="AD162" s="189">
        <v>34355.0</v>
      </c>
      <c r="AE162" s="189" t="s">
        <v>3194</v>
      </c>
      <c r="AF162" s="189" t="s">
        <v>3195</v>
      </c>
      <c r="AG162" s="189"/>
      <c r="AH162" s="189">
        <v>9.159737468E9</v>
      </c>
      <c r="AI162" s="189"/>
      <c r="AJ162" s="189" t="s">
        <v>3196</v>
      </c>
      <c r="AK162" s="189" t="s">
        <v>3197</v>
      </c>
      <c r="AL162" s="192" t="s">
        <v>3198</v>
      </c>
      <c r="AM162" s="192" t="s">
        <v>3199</v>
      </c>
      <c r="AN162" s="192" t="s">
        <v>3200</v>
      </c>
      <c r="AO162" s="189"/>
      <c r="AP162" s="189"/>
      <c r="AQ162" s="190"/>
      <c r="AR162" s="189" t="s">
        <v>1840</v>
      </c>
      <c r="AS162" s="191">
        <v>42771.0</v>
      </c>
    </row>
    <row r="163" ht="14.25" customHeight="1">
      <c r="A163" s="188">
        <v>158.0</v>
      </c>
      <c r="B163" s="142" t="s">
        <v>3201</v>
      </c>
      <c r="C163" s="142" t="s">
        <v>3202</v>
      </c>
      <c r="D163" s="142" t="s">
        <v>231</v>
      </c>
      <c r="E163" s="189" t="s">
        <v>82</v>
      </c>
      <c r="F163" s="189"/>
      <c r="G163" s="189" t="s">
        <v>1832</v>
      </c>
      <c r="H163" s="189">
        <v>1.092513193E9</v>
      </c>
      <c r="I163" s="189">
        <v>41634.0</v>
      </c>
      <c r="J163" s="189">
        <v>41542.0</v>
      </c>
      <c r="K163" s="189">
        <v>41633.0</v>
      </c>
      <c r="L163" s="189"/>
      <c r="M163" s="189"/>
      <c r="N163" s="189"/>
      <c r="O163" s="189"/>
      <c r="P163" s="189">
        <v>41634.0</v>
      </c>
      <c r="Q163" s="189">
        <v>41784.0</v>
      </c>
      <c r="R163" s="189"/>
      <c r="S163" s="189"/>
      <c r="T163" s="189"/>
      <c r="U163" s="189"/>
      <c r="V163" s="189">
        <v>41785.0</v>
      </c>
      <c r="W163" s="189">
        <v>42149.0</v>
      </c>
      <c r="X163" s="189">
        <v>42150.0</v>
      </c>
      <c r="Y163" s="189">
        <v>42880.0</v>
      </c>
      <c r="Z163" s="189"/>
      <c r="AA163" s="189"/>
      <c r="AB163" s="189"/>
      <c r="AC163" s="189" t="s">
        <v>394</v>
      </c>
      <c r="AD163" s="189">
        <v>32659.0</v>
      </c>
      <c r="AE163" s="189" t="s">
        <v>3203</v>
      </c>
      <c r="AF163" s="189" t="s">
        <v>3204</v>
      </c>
      <c r="AG163" s="189"/>
      <c r="AH163" s="189">
        <v>9.184654829E9</v>
      </c>
      <c r="AI163" s="189"/>
      <c r="AJ163" s="189" t="s">
        <v>2448</v>
      </c>
      <c r="AK163" s="189" t="s">
        <v>3205</v>
      </c>
      <c r="AL163" s="192" t="s">
        <v>3206</v>
      </c>
      <c r="AM163" s="192" t="s">
        <v>3207</v>
      </c>
      <c r="AN163" s="192" t="s">
        <v>3208</v>
      </c>
      <c r="AO163" s="189"/>
      <c r="AP163" s="189"/>
      <c r="AQ163" s="190"/>
      <c r="AR163" s="189" t="s">
        <v>1840</v>
      </c>
      <c r="AS163" s="191">
        <v>42790.0</v>
      </c>
    </row>
    <row r="164" ht="14.25" customHeight="1">
      <c r="A164" s="188">
        <v>159.0</v>
      </c>
      <c r="B164" s="142" t="s">
        <v>3209</v>
      </c>
      <c r="C164" s="142" t="s">
        <v>3210</v>
      </c>
      <c r="D164" s="142" t="s">
        <v>3211</v>
      </c>
      <c r="E164" s="189" t="s">
        <v>1881</v>
      </c>
      <c r="F164" s="189"/>
      <c r="G164" s="189" t="s">
        <v>1855</v>
      </c>
      <c r="H164" s="189">
        <v>1.100416333E9</v>
      </c>
      <c r="I164" s="189">
        <v>42647.0</v>
      </c>
      <c r="J164" s="189">
        <v>42633.0</v>
      </c>
      <c r="K164" s="189">
        <v>42647.0</v>
      </c>
      <c r="L164" s="189"/>
      <c r="M164" s="189"/>
      <c r="N164" s="189"/>
      <c r="O164" s="189"/>
      <c r="P164" s="189">
        <v>42647.0</v>
      </c>
      <c r="Q164" s="189">
        <v>42797.0</v>
      </c>
      <c r="R164" s="189"/>
      <c r="S164" s="189"/>
      <c r="T164" s="189"/>
      <c r="U164" s="189"/>
      <c r="V164" s="189"/>
      <c r="W164" s="189"/>
      <c r="X164" s="189"/>
      <c r="Y164" s="189"/>
      <c r="Z164" s="189"/>
      <c r="AA164" s="189"/>
      <c r="AB164" s="189"/>
      <c r="AC164" s="189" t="s">
        <v>3157</v>
      </c>
      <c r="AD164" s="189">
        <v>34017.0</v>
      </c>
      <c r="AE164" s="189" t="s">
        <v>3212</v>
      </c>
      <c r="AF164" s="189" t="s">
        <v>3213</v>
      </c>
      <c r="AG164" s="189"/>
      <c r="AH164" s="189">
        <v>9.05863551E9</v>
      </c>
      <c r="AI164" s="189"/>
      <c r="AJ164" s="189" t="s">
        <v>3214</v>
      </c>
      <c r="AK164" s="189" t="s">
        <v>3215</v>
      </c>
      <c r="AL164" s="189" t="s">
        <v>3216</v>
      </c>
      <c r="AM164" s="201" t="s">
        <v>3217</v>
      </c>
      <c r="AN164" s="189" t="s">
        <v>3218</v>
      </c>
      <c r="AO164" s="189"/>
      <c r="AP164" s="189"/>
      <c r="AQ164" s="190"/>
      <c r="AR164" s="189" t="s">
        <v>1241</v>
      </c>
      <c r="AS164" s="191">
        <v>42797.0</v>
      </c>
    </row>
    <row r="165" ht="14.25" customHeight="1">
      <c r="A165" s="188">
        <v>160.0</v>
      </c>
      <c r="B165" s="142" t="s">
        <v>3219</v>
      </c>
      <c r="C165" s="142" t="s">
        <v>2136</v>
      </c>
      <c r="D165" s="142" t="s">
        <v>3220</v>
      </c>
      <c r="E165" s="189" t="s">
        <v>82</v>
      </c>
      <c r="F165" s="189"/>
      <c r="G165" s="189" t="s">
        <v>1855</v>
      </c>
      <c r="H165" s="201" t="s">
        <v>3221</v>
      </c>
      <c r="I165" s="189">
        <v>42647.0</v>
      </c>
      <c r="J165" s="189">
        <v>42633.0</v>
      </c>
      <c r="K165" s="189">
        <v>42646.0</v>
      </c>
      <c r="L165" s="189"/>
      <c r="M165" s="189"/>
      <c r="N165" s="189"/>
      <c r="O165" s="189"/>
      <c r="P165" s="189">
        <v>42647.0</v>
      </c>
      <c r="Q165" s="189">
        <v>42797.0</v>
      </c>
      <c r="R165" s="189"/>
      <c r="S165" s="189"/>
      <c r="T165" s="189"/>
      <c r="U165" s="189"/>
      <c r="V165" s="189"/>
      <c r="W165" s="189"/>
      <c r="X165" s="189"/>
      <c r="Y165" s="189"/>
      <c r="Z165" s="189"/>
      <c r="AA165" s="189"/>
      <c r="AB165" s="189"/>
      <c r="AC165" s="189" t="s">
        <v>394</v>
      </c>
      <c r="AD165" s="189">
        <v>33968.0</v>
      </c>
      <c r="AE165" s="189" t="s">
        <v>3222</v>
      </c>
      <c r="AF165" s="189" t="s">
        <v>3223</v>
      </c>
      <c r="AG165" s="189"/>
      <c r="AH165" s="189">
        <v>9.498316888E9</v>
      </c>
      <c r="AI165" s="189"/>
      <c r="AJ165" s="189" t="s">
        <v>3224</v>
      </c>
      <c r="AK165" s="189" t="s">
        <v>3225</v>
      </c>
      <c r="AL165" s="189" t="s">
        <v>3226</v>
      </c>
      <c r="AM165" s="201" t="s">
        <v>3227</v>
      </c>
      <c r="AN165" s="189" t="s">
        <v>3228</v>
      </c>
      <c r="AO165" s="189"/>
      <c r="AP165" s="189"/>
      <c r="AQ165" s="190"/>
      <c r="AR165" s="189" t="s">
        <v>1241</v>
      </c>
      <c r="AS165" s="191">
        <v>42797.0</v>
      </c>
    </row>
    <row r="166" ht="14.25" customHeight="1">
      <c r="A166" s="188">
        <v>161.0</v>
      </c>
      <c r="B166" s="142" t="s">
        <v>3229</v>
      </c>
      <c r="C166" s="142" t="s">
        <v>3230</v>
      </c>
      <c r="D166" s="142" t="s">
        <v>3231</v>
      </c>
      <c r="E166" s="189" t="s">
        <v>82</v>
      </c>
      <c r="F166" s="189"/>
      <c r="G166" s="189" t="s">
        <v>1855</v>
      </c>
      <c r="H166" s="189">
        <v>1.010517348E9</v>
      </c>
      <c r="I166" s="189">
        <v>42755.0</v>
      </c>
      <c r="J166" s="189">
        <v>42740.0</v>
      </c>
      <c r="K166" s="189">
        <v>42754.0</v>
      </c>
      <c r="L166" s="189"/>
      <c r="M166" s="189"/>
      <c r="N166" s="189"/>
      <c r="O166" s="189"/>
      <c r="P166" s="189">
        <v>42755.0</v>
      </c>
      <c r="Q166" s="189">
        <v>42905.0</v>
      </c>
      <c r="R166" s="189"/>
      <c r="S166" s="189"/>
      <c r="T166" s="189"/>
      <c r="U166" s="189"/>
      <c r="V166" s="189"/>
      <c r="W166" s="189"/>
      <c r="X166" s="189"/>
      <c r="Y166" s="189"/>
      <c r="Z166" s="189"/>
      <c r="AA166" s="189"/>
      <c r="AB166" s="189"/>
      <c r="AC166" s="189" t="s">
        <v>394</v>
      </c>
      <c r="AD166" s="189">
        <v>33140.0</v>
      </c>
      <c r="AE166" s="189" t="s">
        <v>3232</v>
      </c>
      <c r="AF166" s="189"/>
      <c r="AG166" s="189"/>
      <c r="AH166" s="189">
        <v>9.083359968E9</v>
      </c>
      <c r="AI166" s="189"/>
      <c r="AJ166" s="189" t="s">
        <v>1847</v>
      </c>
      <c r="AK166" s="189" t="s">
        <v>3233</v>
      </c>
      <c r="AL166" s="192" t="s">
        <v>3234</v>
      </c>
      <c r="AM166" s="192" t="s">
        <v>3235</v>
      </c>
      <c r="AN166" s="192">
        <v>1.30251663816E11</v>
      </c>
      <c r="AO166" s="189"/>
      <c r="AP166" s="189"/>
      <c r="AQ166" s="190"/>
      <c r="AR166" s="189" t="s">
        <v>1840</v>
      </c>
      <c r="AS166" s="191">
        <v>42808.0</v>
      </c>
    </row>
    <row r="167" ht="14.25" customHeight="1">
      <c r="A167" s="188">
        <v>162.0</v>
      </c>
      <c r="B167" s="142" t="s">
        <v>3236</v>
      </c>
      <c r="C167" s="142" t="s">
        <v>3237</v>
      </c>
      <c r="D167" s="142" t="s">
        <v>3238</v>
      </c>
      <c r="E167" s="189" t="s">
        <v>1881</v>
      </c>
      <c r="F167" s="189"/>
      <c r="G167" s="189" t="s">
        <v>1855</v>
      </c>
      <c r="H167" s="189">
        <v>1.102416335E9</v>
      </c>
      <c r="I167" s="189">
        <v>42667.0</v>
      </c>
      <c r="J167" s="189">
        <v>42653.0</v>
      </c>
      <c r="K167" s="189">
        <v>42666.0</v>
      </c>
      <c r="L167" s="189"/>
      <c r="M167" s="189"/>
      <c r="N167" s="189"/>
      <c r="O167" s="189"/>
      <c r="P167" s="189">
        <v>42667.0</v>
      </c>
      <c r="Q167" s="189">
        <v>42818.0</v>
      </c>
      <c r="R167" s="189"/>
      <c r="S167" s="189"/>
      <c r="T167" s="189"/>
      <c r="U167" s="189"/>
      <c r="V167" s="189"/>
      <c r="W167" s="189"/>
      <c r="X167" s="189"/>
      <c r="Y167" s="189"/>
      <c r="Z167" s="189"/>
      <c r="AA167" s="189"/>
      <c r="AB167" s="189"/>
      <c r="AC167" s="189" t="s">
        <v>394</v>
      </c>
      <c r="AD167" s="189">
        <v>34974.0</v>
      </c>
      <c r="AE167" s="189" t="s">
        <v>3239</v>
      </c>
      <c r="AF167" s="189" t="s">
        <v>3240</v>
      </c>
      <c r="AG167" s="189"/>
      <c r="AH167" s="189">
        <v>9.362553589E9</v>
      </c>
      <c r="AI167" s="189"/>
      <c r="AJ167" s="189" t="s">
        <v>3241</v>
      </c>
      <c r="AK167" s="189" t="s">
        <v>3242</v>
      </c>
      <c r="AL167" s="189" t="s">
        <v>3243</v>
      </c>
      <c r="AM167" s="189" t="s">
        <v>3244</v>
      </c>
      <c r="AN167" s="189" t="s">
        <v>3245</v>
      </c>
      <c r="AO167" s="189"/>
      <c r="AP167" s="189"/>
      <c r="AQ167" s="190"/>
      <c r="AR167" s="189" t="s">
        <v>1241</v>
      </c>
      <c r="AS167" s="191">
        <v>42818.0</v>
      </c>
    </row>
    <row r="168" ht="14.25" customHeight="1">
      <c r="A168" s="188">
        <v>163.0</v>
      </c>
      <c r="B168" s="142" t="s">
        <v>3246</v>
      </c>
      <c r="C168" s="142" t="s">
        <v>2143</v>
      </c>
      <c r="D168" s="142" t="s">
        <v>3247</v>
      </c>
      <c r="E168" s="189" t="s">
        <v>717</v>
      </c>
      <c r="F168" s="189"/>
      <c r="G168" s="189" t="s">
        <v>1832</v>
      </c>
      <c r="H168" s="189">
        <v>1.032116291E9</v>
      </c>
      <c r="I168" s="189">
        <v>42465.0</v>
      </c>
      <c r="J168" s="189">
        <v>42450.0</v>
      </c>
      <c r="K168" s="189">
        <v>42464.0</v>
      </c>
      <c r="L168" s="189"/>
      <c r="M168" s="189"/>
      <c r="N168" s="189"/>
      <c r="O168" s="189"/>
      <c r="P168" s="189">
        <v>42465.0</v>
      </c>
      <c r="Q168" s="189">
        <v>42618.0</v>
      </c>
      <c r="R168" s="189"/>
      <c r="S168" s="189"/>
      <c r="T168" s="189"/>
      <c r="U168" s="189"/>
      <c r="V168" s="189">
        <v>42619.0</v>
      </c>
      <c r="W168" s="189">
        <v>43349.0</v>
      </c>
      <c r="X168" s="189"/>
      <c r="Y168" s="189"/>
      <c r="Z168" s="189"/>
      <c r="AA168" s="189"/>
      <c r="AB168" s="189"/>
      <c r="AC168" s="189" t="s">
        <v>394</v>
      </c>
      <c r="AD168" s="189">
        <v>34568.0</v>
      </c>
      <c r="AE168" s="189" t="s">
        <v>3248</v>
      </c>
      <c r="AF168" s="189"/>
      <c r="AG168" s="189"/>
      <c r="AH168" s="189" t="s">
        <v>3249</v>
      </c>
      <c r="AI168" s="189"/>
      <c r="AJ168" s="189" t="s">
        <v>3250</v>
      </c>
      <c r="AK168" s="189" t="s">
        <v>3251</v>
      </c>
      <c r="AL168" s="189" t="s">
        <v>3252</v>
      </c>
      <c r="AM168" s="189" t="s">
        <v>3253</v>
      </c>
      <c r="AN168" s="189" t="s">
        <v>3254</v>
      </c>
      <c r="AO168" s="189"/>
      <c r="AP168" s="189"/>
      <c r="AQ168" s="190"/>
      <c r="AR168" s="189" t="s">
        <v>1840</v>
      </c>
      <c r="AS168" s="191">
        <v>42822.0</v>
      </c>
    </row>
    <row r="169" ht="14.25" customHeight="1">
      <c r="A169" s="188">
        <v>164.0</v>
      </c>
      <c r="B169" s="142" t="s">
        <v>3255</v>
      </c>
      <c r="C169" s="142" t="s">
        <v>85</v>
      </c>
      <c r="D169" s="142" t="s">
        <v>3256</v>
      </c>
      <c r="E169" s="189" t="s">
        <v>717</v>
      </c>
      <c r="F169" s="189"/>
      <c r="G169" s="189" t="s">
        <v>1855</v>
      </c>
      <c r="H169" s="189">
        <v>1.120916341E9</v>
      </c>
      <c r="I169" s="189">
        <v>42718.0</v>
      </c>
      <c r="J169" s="189">
        <v>42703.0</v>
      </c>
      <c r="K169" s="189">
        <v>42717.0</v>
      </c>
      <c r="L169" s="189"/>
      <c r="M169" s="189"/>
      <c r="N169" s="189"/>
      <c r="O169" s="189"/>
      <c r="P169" s="189">
        <v>42718.0</v>
      </c>
      <c r="Q169" s="189">
        <v>42868.0</v>
      </c>
      <c r="R169" s="189"/>
      <c r="S169" s="189"/>
      <c r="T169" s="189"/>
      <c r="U169" s="189"/>
      <c r="V169" s="189"/>
      <c r="W169" s="189"/>
      <c r="X169" s="189"/>
      <c r="Y169" s="189"/>
      <c r="Z169" s="189"/>
      <c r="AA169" s="189"/>
      <c r="AB169" s="189"/>
      <c r="AC169" s="189" t="s">
        <v>394</v>
      </c>
      <c r="AD169" s="189">
        <v>34338.0</v>
      </c>
      <c r="AE169" s="189" t="s">
        <v>3257</v>
      </c>
      <c r="AF169" s="189" t="s">
        <v>1366</v>
      </c>
      <c r="AG169" s="189"/>
      <c r="AH169" s="189">
        <v>9.75503497E9</v>
      </c>
      <c r="AI169" s="189"/>
      <c r="AJ169" s="189" t="s">
        <v>3258</v>
      </c>
      <c r="AK169" s="189" t="s">
        <v>3259</v>
      </c>
      <c r="AL169" s="189" t="s">
        <v>3260</v>
      </c>
      <c r="AM169" s="189" t="s">
        <v>3261</v>
      </c>
      <c r="AN169" s="189" t="s">
        <v>3262</v>
      </c>
      <c r="AO169" s="189"/>
      <c r="AP169" s="189"/>
      <c r="AQ169" s="190"/>
      <c r="AR169" s="189" t="s">
        <v>1840</v>
      </c>
      <c r="AS169" s="191">
        <v>42823.0</v>
      </c>
    </row>
    <row r="170" ht="14.25" customHeight="1">
      <c r="A170" s="188">
        <v>165.0</v>
      </c>
      <c r="B170" s="142" t="s">
        <v>638</v>
      </c>
      <c r="C170" s="142" t="s">
        <v>3263</v>
      </c>
      <c r="D170" s="142" t="s">
        <v>3264</v>
      </c>
      <c r="E170" s="189" t="s">
        <v>82</v>
      </c>
      <c r="F170" s="189"/>
      <c r="G170" s="189" t="s">
        <v>1855</v>
      </c>
      <c r="H170" s="189">
        <v>1.11101634E9</v>
      </c>
      <c r="I170" s="189">
        <v>42684.0</v>
      </c>
      <c r="J170" s="189">
        <v>42670.0</v>
      </c>
      <c r="K170" s="189">
        <v>42683.0</v>
      </c>
      <c r="L170" s="189"/>
      <c r="M170" s="189"/>
      <c r="N170" s="189"/>
      <c r="O170" s="189"/>
      <c r="P170" s="189">
        <v>42684.0</v>
      </c>
      <c r="Q170" s="189">
        <v>42834.0</v>
      </c>
      <c r="R170" s="189"/>
      <c r="S170" s="189"/>
      <c r="T170" s="189"/>
      <c r="U170" s="189"/>
      <c r="V170" s="189"/>
      <c r="W170" s="189"/>
      <c r="X170" s="189"/>
      <c r="Y170" s="189"/>
      <c r="Z170" s="189"/>
      <c r="AA170" s="189"/>
      <c r="AB170" s="189"/>
      <c r="AC170" s="189" t="s">
        <v>394</v>
      </c>
      <c r="AD170" s="189">
        <v>35034.0</v>
      </c>
      <c r="AE170" s="189" t="s">
        <v>3265</v>
      </c>
      <c r="AF170" s="189"/>
      <c r="AG170" s="189"/>
      <c r="AH170" s="189">
        <v>9.424114828E9</v>
      </c>
      <c r="AI170" s="189"/>
      <c r="AJ170" s="189" t="s">
        <v>1847</v>
      </c>
      <c r="AK170" s="189" t="s">
        <v>3266</v>
      </c>
      <c r="AL170" s="189" t="s">
        <v>3267</v>
      </c>
      <c r="AM170" s="189" t="s">
        <v>3268</v>
      </c>
      <c r="AN170" s="189" t="s">
        <v>3269</v>
      </c>
      <c r="AO170" s="189"/>
      <c r="AP170" s="189"/>
      <c r="AQ170" s="190"/>
      <c r="AR170" s="189" t="s">
        <v>1241</v>
      </c>
      <c r="AS170" s="191">
        <v>42865.0</v>
      </c>
    </row>
    <row r="171" ht="14.25" customHeight="1">
      <c r="A171" s="188">
        <v>166.0</v>
      </c>
      <c r="B171" s="142" t="s">
        <v>3270</v>
      </c>
      <c r="C171" s="142" t="s">
        <v>3271</v>
      </c>
      <c r="D171" s="142" t="s">
        <v>3271</v>
      </c>
      <c r="E171" s="189" t="s">
        <v>3272</v>
      </c>
      <c r="F171" s="189"/>
      <c r="G171" s="189" t="s">
        <v>424</v>
      </c>
      <c r="H171" s="189"/>
      <c r="I171" s="189">
        <v>42601.0</v>
      </c>
      <c r="J171" s="189"/>
      <c r="K171" s="189"/>
      <c r="L171" s="189"/>
      <c r="M171" s="189"/>
      <c r="N171" s="189"/>
      <c r="O171" s="189"/>
      <c r="P171" s="189">
        <v>42720.0</v>
      </c>
      <c r="Q171" s="189">
        <v>42809.0</v>
      </c>
      <c r="R171" s="189"/>
      <c r="S171" s="189"/>
      <c r="T171" s="189"/>
      <c r="U171" s="189"/>
      <c r="V171" s="189"/>
      <c r="W171" s="189"/>
      <c r="X171" s="189"/>
      <c r="Y171" s="189"/>
      <c r="Z171" s="189"/>
      <c r="AA171" s="189"/>
      <c r="AB171" s="189"/>
      <c r="AC171" s="189" t="s">
        <v>394</v>
      </c>
      <c r="AD171" s="189">
        <v>23565.0</v>
      </c>
      <c r="AE171" s="189" t="s">
        <v>3273</v>
      </c>
      <c r="AF171" s="189"/>
      <c r="AG171" s="189"/>
      <c r="AH171" s="189"/>
      <c r="AI171" s="189"/>
      <c r="AJ171" s="189" t="s">
        <v>3274</v>
      </c>
      <c r="AK171" s="189"/>
      <c r="AL171" s="189"/>
      <c r="AM171" s="189"/>
      <c r="AN171" s="189"/>
      <c r="AO171" s="189"/>
      <c r="AP171" s="189"/>
      <c r="AQ171" s="190"/>
      <c r="AR171" s="189" t="s">
        <v>1241</v>
      </c>
      <c r="AS171" s="191">
        <v>42833.0</v>
      </c>
    </row>
    <row r="172" ht="14.25" customHeight="1">
      <c r="A172" s="188">
        <v>167.0</v>
      </c>
      <c r="B172" s="142" t="s">
        <v>3275</v>
      </c>
      <c r="C172" s="142" t="s">
        <v>3276</v>
      </c>
      <c r="D172" s="142" t="s">
        <v>3277</v>
      </c>
      <c r="E172" s="189" t="s">
        <v>1881</v>
      </c>
      <c r="F172" s="189"/>
      <c r="G172" s="189" t="s">
        <v>1832</v>
      </c>
      <c r="H172" s="189">
        <v>1.091514213E9</v>
      </c>
      <c r="I172" s="189">
        <v>41989.0</v>
      </c>
      <c r="J172" s="189">
        <v>41897.0</v>
      </c>
      <c r="K172" s="189">
        <v>41988.0</v>
      </c>
      <c r="L172" s="189"/>
      <c r="M172" s="189"/>
      <c r="N172" s="189"/>
      <c r="O172" s="189"/>
      <c r="P172" s="189">
        <v>41989.0</v>
      </c>
      <c r="Q172" s="189">
        <v>42139.0</v>
      </c>
      <c r="R172" s="189"/>
      <c r="S172" s="189"/>
      <c r="T172" s="189"/>
      <c r="U172" s="189"/>
      <c r="V172" s="189">
        <v>42140.0</v>
      </c>
      <c r="W172" s="189">
        <v>42505.0</v>
      </c>
      <c r="X172" s="189">
        <v>42506.0</v>
      </c>
      <c r="Y172" s="189">
        <v>42870.0</v>
      </c>
      <c r="Z172" s="189"/>
      <c r="AA172" s="189"/>
      <c r="AB172" s="189"/>
      <c r="AC172" s="189" t="s">
        <v>394</v>
      </c>
      <c r="AD172" s="189">
        <v>34100.0</v>
      </c>
      <c r="AE172" s="189" t="s">
        <v>3278</v>
      </c>
      <c r="AF172" s="189" t="s">
        <v>3279</v>
      </c>
      <c r="AG172" s="189"/>
      <c r="AH172" s="189">
        <v>9.073403237E9</v>
      </c>
      <c r="AI172" s="189"/>
      <c r="AJ172" s="189" t="s">
        <v>2195</v>
      </c>
      <c r="AK172" s="189" t="s">
        <v>3280</v>
      </c>
      <c r="AL172" s="189" t="s">
        <v>3281</v>
      </c>
      <c r="AM172" s="189" t="s">
        <v>3282</v>
      </c>
      <c r="AN172" s="189" t="s">
        <v>3283</v>
      </c>
      <c r="AO172" s="189"/>
      <c r="AP172" s="189"/>
      <c r="AQ172" s="190"/>
      <c r="AR172" s="189" t="s">
        <v>1241</v>
      </c>
      <c r="AS172" s="191">
        <v>42870.0</v>
      </c>
    </row>
    <row r="173" ht="14.25" customHeight="1">
      <c r="A173" s="188">
        <v>168.0</v>
      </c>
      <c r="B173" s="142" t="s">
        <v>3284</v>
      </c>
      <c r="C173" s="142" t="s">
        <v>3285</v>
      </c>
      <c r="D173" s="142" t="s">
        <v>3286</v>
      </c>
      <c r="E173" s="189" t="s">
        <v>1881</v>
      </c>
      <c r="F173" s="189"/>
      <c r="G173" s="189" t="s">
        <v>1855</v>
      </c>
      <c r="H173" s="189">
        <v>1.111816339E9</v>
      </c>
      <c r="I173" s="189">
        <v>42695.0</v>
      </c>
      <c r="J173" s="189">
        <v>42678.0</v>
      </c>
      <c r="K173" s="189">
        <v>42693.0</v>
      </c>
      <c r="L173" s="189"/>
      <c r="M173" s="189"/>
      <c r="N173" s="189"/>
      <c r="O173" s="189"/>
      <c r="P173" s="189">
        <v>42695.0</v>
      </c>
      <c r="Q173" s="189">
        <v>42845.0</v>
      </c>
      <c r="R173" s="189"/>
      <c r="S173" s="189"/>
      <c r="T173" s="189"/>
      <c r="U173" s="189"/>
      <c r="V173" s="189"/>
      <c r="W173" s="189"/>
      <c r="X173" s="189"/>
      <c r="Y173" s="189"/>
      <c r="Z173" s="189"/>
      <c r="AA173" s="189"/>
      <c r="AB173" s="189"/>
      <c r="AC173" s="189" t="s">
        <v>394</v>
      </c>
      <c r="AD173" s="189">
        <v>34085.0</v>
      </c>
      <c r="AE173" s="189" t="s">
        <v>3287</v>
      </c>
      <c r="AF173" s="189" t="s">
        <v>3288</v>
      </c>
      <c r="AG173" s="189"/>
      <c r="AH173" s="189">
        <v>9.072228937E9</v>
      </c>
      <c r="AI173" s="189"/>
      <c r="AJ173" s="189" t="s">
        <v>1847</v>
      </c>
      <c r="AK173" s="189" t="s">
        <v>3289</v>
      </c>
      <c r="AL173" s="189" t="s">
        <v>3290</v>
      </c>
      <c r="AM173" s="189" t="s">
        <v>3291</v>
      </c>
      <c r="AN173" s="189" t="s">
        <v>3292</v>
      </c>
      <c r="AO173" s="189"/>
      <c r="AP173" s="189"/>
      <c r="AQ173" s="190"/>
      <c r="AR173" s="189" t="s">
        <v>1241</v>
      </c>
      <c r="AS173" s="191">
        <v>42875.0</v>
      </c>
    </row>
    <row r="174" ht="14.25" customHeight="1">
      <c r="A174" s="188">
        <v>169.0</v>
      </c>
      <c r="B174" s="142" t="s">
        <v>3293</v>
      </c>
      <c r="C174" s="142" t="s">
        <v>3294</v>
      </c>
      <c r="D174" s="142" t="s">
        <v>3295</v>
      </c>
      <c r="E174" s="189" t="s">
        <v>3296</v>
      </c>
      <c r="F174" s="189"/>
      <c r="G174" s="189" t="s">
        <v>1855</v>
      </c>
      <c r="H174" s="201" t="s">
        <v>3297</v>
      </c>
      <c r="I174" s="189">
        <v>42767.0</v>
      </c>
      <c r="J174" s="189">
        <v>42752.0</v>
      </c>
      <c r="K174" s="189">
        <v>42766.0</v>
      </c>
      <c r="L174" s="189"/>
      <c r="M174" s="189"/>
      <c r="N174" s="189"/>
      <c r="O174" s="189"/>
      <c r="P174" s="189">
        <v>42767.0</v>
      </c>
      <c r="Q174" s="189">
        <v>42916.0</v>
      </c>
      <c r="R174" s="189"/>
      <c r="S174" s="189"/>
      <c r="T174" s="189"/>
      <c r="U174" s="189"/>
      <c r="V174" s="189"/>
      <c r="W174" s="189"/>
      <c r="X174" s="189"/>
      <c r="Y174" s="189"/>
      <c r="Z174" s="189"/>
      <c r="AA174" s="189"/>
      <c r="AB174" s="189"/>
      <c r="AC174" s="189" t="s">
        <v>217</v>
      </c>
      <c r="AD174" s="189">
        <v>32347.0</v>
      </c>
      <c r="AE174" s="189" t="s">
        <v>3298</v>
      </c>
      <c r="AF174" s="189" t="s">
        <v>3299</v>
      </c>
      <c r="AG174" s="189"/>
      <c r="AH174" s="189">
        <v>9.279935185E9</v>
      </c>
      <c r="AI174" s="189"/>
      <c r="AJ174" s="189" t="s">
        <v>3300</v>
      </c>
      <c r="AK174" s="189" t="s">
        <v>3301</v>
      </c>
      <c r="AL174" s="189" t="s">
        <v>3302</v>
      </c>
      <c r="AM174" s="189" t="s">
        <v>3303</v>
      </c>
      <c r="AN174" s="189" t="s">
        <v>3304</v>
      </c>
      <c r="AO174" s="189"/>
      <c r="AP174" s="189" t="s">
        <v>3305</v>
      </c>
      <c r="AQ174" s="190"/>
      <c r="AR174" s="189" t="s">
        <v>1840</v>
      </c>
      <c r="AS174" s="191">
        <v>42884.0</v>
      </c>
    </row>
    <row r="175" ht="14.25" customHeight="1">
      <c r="A175" s="188">
        <v>170.0</v>
      </c>
      <c r="B175" s="142" t="s">
        <v>3306</v>
      </c>
      <c r="C175" s="142" t="s">
        <v>3307</v>
      </c>
      <c r="D175" s="142" t="s">
        <v>3308</v>
      </c>
      <c r="E175" s="189" t="s">
        <v>1881</v>
      </c>
      <c r="F175" s="189"/>
      <c r="G175" s="189" t="s">
        <v>1855</v>
      </c>
      <c r="H175" s="189">
        <v>1.030817362E9</v>
      </c>
      <c r="I175" s="189">
        <v>42802.0</v>
      </c>
      <c r="J175" s="189">
        <v>42802.0</v>
      </c>
      <c r="K175" s="189">
        <v>42815.0</v>
      </c>
      <c r="L175" s="189"/>
      <c r="M175" s="189"/>
      <c r="N175" s="189"/>
      <c r="O175" s="189"/>
      <c r="P175" s="189">
        <v>42816.0</v>
      </c>
      <c r="Q175" s="189">
        <v>42968.0</v>
      </c>
      <c r="R175" s="189"/>
      <c r="S175" s="189"/>
      <c r="T175" s="189"/>
      <c r="U175" s="189"/>
      <c r="V175" s="189"/>
      <c r="W175" s="189"/>
      <c r="X175" s="189"/>
      <c r="Y175" s="189"/>
      <c r="Z175" s="189"/>
      <c r="AA175" s="189"/>
      <c r="AB175" s="189"/>
      <c r="AC175" s="189" t="s">
        <v>394</v>
      </c>
      <c r="AD175" s="189">
        <v>33862.0</v>
      </c>
      <c r="AE175" s="189" t="s">
        <v>3309</v>
      </c>
      <c r="AF175" s="189" t="s">
        <v>3310</v>
      </c>
      <c r="AG175" s="189"/>
      <c r="AH175" s="189">
        <v>9.35724285E9</v>
      </c>
      <c r="AI175" s="189"/>
      <c r="AJ175" s="189" t="s">
        <v>3311</v>
      </c>
      <c r="AK175" s="189" t="s">
        <v>3312</v>
      </c>
      <c r="AL175" s="189" t="s">
        <v>3313</v>
      </c>
      <c r="AM175" s="192" t="s">
        <v>3314</v>
      </c>
      <c r="AN175" s="189" t="s">
        <v>3315</v>
      </c>
      <c r="AO175" s="189"/>
      <c r="AP175" s="189"/>
      <c r="AQ175" s="190"/>
      <c r="AR175" s="189" t="s">
        <v>1840</v>
      </c>
      <c r="AS175" s="191">
        <v>42897.0</v>
      </c>
    </row>
    <row r="176" ht="14.25" customHeight="1">
      <c r="A176" s="188">
        <v>171.0</v>
      </c>
      <c r="B176" s="142" t="s">
        <v>3316</v>
      </c>
      <c r="C176" s="142" t="s">
        <v>3317</v>
      </c>
      <c r="D176" s="142" t="s">
        <v>3318</v>
      </c>
      <c r="E176" s="162" t="s">
        <v>3272</v>
      </c>
      <c r="F176" s="162"/>
      <c r="G176" s="162" t="s">
        <v>424</v>
      </c>
      <c r="H176" s="162">
        <v>1.080913312E9</v>
      </c>
      <c r="I176" s="162">
        <v>41671.0</v>
      </c>
      <c r="J176" s="162">
        <v>41671.0</v>
      </c>
      <c r="K176" s="162">
        <v>41730.0</v>
      </c>
      <c r="L176" s="162">
        <v>41731.0</v>
      </c>
      <c r="M176" s="162">
        <v>41789.0</v>
      </c>
      <c r="N176" s="162">
        <v>41790.0</v>
      </c>
      <c r="O176" s="162">
        <v>41820.0</v>
      </c>
      <c r="P176" s="162">
        <v>41821.0</v>
      </c>
      <c r="Q176" s="162">
        <v>41912.0</v>
      </c>
      <c r="R176" s="162">
        <v>41913.0</v>
      </c>
      <c r="S176" s="162">
        <v>41972.0</v>
      </c>
      <c r="T176" s="162">
        <v>42736.0</v>
      </c>
      <c r="U176" s="162">
        <v>42886.0</v>
      </c>
      <c r="V176" s="162"/>
      <c r="W176" s="162"/>
      <c r="X176" s="162"/>
      <c r="Y176" s="162"/>
      <c r="Z176" s="162"/>
      <c r="AA176" s="162"/>
      <c r="AB176" s="162"/>
      <c r="AC176" s="162" t="s">
        <v>217</v>
      </c>
      <c r="AD176" s="162">
        <v>25194.0</v>
      </c>
      <c r="AE176" s="162" t="s">
        <v>3319</v>
      </c>
      <c r="AF176" s="162" t="s">
        <v>422</v>
      </c>
      <c r="AG176" s="162"/>
      <c r="AH176" s="198" t="s">
        <v>3320</v>
      </c>
      <c r="AI176" s="198"/>
      <c r="AJ176" s="162" t="s">
        <v>3321</v>
      </c>
      <c r="AK176" s="162"/>
      <c r="AL176" s="162"/>
      <c r="AM176" s="162"/>
      <c r="AN176" s="162"/>
      <c r="AO176" s="162"/>
      <c r="AP176" s="162"/>
      <c r="AQ176" s="199"/>
      <c r="AR176" s="162" t="s">
        <v>1241</v>
      </c>
      <c r="AS176" s="200">
        <v>42886.0</v>
      </c>
    </row>
    <row r="177" ht="14.25" customHeight="1">
      <c r="A177" s="188">
        <v>172.0</v>
      </c>
      <c r="B177" s="142" t="s">
        <v>3322</v>
      </c>
      <c r="C177" s="142" t="s">
        <v>3323</v>
      </c>
      <c r="D177" s="142" t="s">
        <v>3324</v>
      </c>
      <c r="E177" s="189" t="s">
        <v>82</v>
      </c>
      <c r="F177" s="189"/>
      <c r="G177" s="189" t="s">
        <v>16</v>
      </c>
      <c r="H177" s="189">
        <v>1.121516342E9</v>
      </c>
      <c r="I177" s="189">
        <v>42734.0</v>
      </c>
      <c r="J177" s="189">
        <v>42719.0</v>
      </c>
      <c r="K177" s="189">
        <v>42733.0</v>
      </c>
      <c r="L177" s="189"/>
      <c r="M177" s="189"/>
      <c r="N177" s="189"/>
      <c r="O177" s="189"/>
      <c r="P177" s="189">
        <v>42734.0</v>
      </c>
      <c r="Q177" s="189">
        <v>42884.0</v>
      </c>
      <c r="R177" s="189"/>
      <c r="S177" s="189"/>
      <c r="T177" s="189"/>
      <c r="U177" s="189"/>
      <c r="V177" s="189"/>
      <c r="W177" s="189"/>
      <c r="X177" s="189"/>
      <c r="Y177" s="189"/>
      <c r="Z177" s="189">
        <v>42734.0</v>
      </c>
      <c r="AA177" s="189">
        <v>42915.0</v>
      </c>
      <c r="AB177" s="189"/>
      <c r="AC177" s="189" t="s">
        <v>394</v>
      </c>
      <c r="AD177" s="189">
        <v>34110.0</v>
      </c>
      <c r="AE177" s="189" t="s">
        <v>3325</v>
      </c>
      <c r="AF177" s="189"/>
      <c r="AG177" s="189"/>
      <c r="AH177" s="189">
        <v>9.952556465E9</v>
      </c>
      <c r="AI177" s="189"/>
      <c r="AJ177" s="189" t="s">
        <v>975</v>
      </c>
      <c r="AK177" s="189" t="s">
        <v>3326</v>
      </c>
      <c r="AL177" s="189" t="s">
        <v>3327</v>
      </c>
      <c r="AM177" s="189" t="s">
        <v>3328</v>
      </c>
      <c r="AN177" s="189" t="s">
        <v>3329</v>
      </c>
      <c r="AO177" s="189"/>
      <c r="AP177" s="189"/>
      <c r="AQ177" s="190"/>
      <c r="AR177" s="189" t="s">
        <v>1241</v>
      </c>
      <c r="AS177" s="191">
        <v>42915.0</v>
      </c>
    </row>
    <row r="178" ht="14.25" customHeight="1">
      <c r="A178" s="188">
        <v>173.0</v>
      </c>
      <c r="B178" s="142" t="s">
        <v>74</v>
      </c>
      <c r="C178" s="142" t="s">
        <v>3330</v>
      </c>
      <c r="D178" s="142" t="s">
        <v>3331</v>
      </c>
      <c r="E178" s="189" t="s">
        <v>82</v>
      </c>
      <c r="F178" s="189"/>
      <c r="G178" s="189" t="s">
        <v>16</v>
      </c>
      <c r="H178" s="189">
        <v>1.121516343E9</v>
      </c>
      <c r="I178" s="189">
        <v>42734.0</v>
      </c>
      <c r="J178" s="189">
        <v>42719.0</v>
      </c>
      <c r="K178" s="189">
        <v>42733.0</v>
      </c>
      <c r="L178" s="189"/>
      <c r="M178" s="189"/>
      <c r="N178" s="189"/>
      <c r="O178" s="189"/>
      <c r="P178" s="189">
        <v>42734.0</v>
      </c>
      <c r="Q178" s="189">
        <v>42884.0</v>
      </c>
      <c r="R178" s="189"/>
      <c r="S178" s="189"/>
      <c r="T178" s="189"/>
      <c r="U178" s="189"/>
      <c r="V178" s="189"/>
      <c r="W178" s="189"/>
      <c r="X178" s="189"/>
      <c r="Y178" s="189"/>
      <c r="Z178" s="189">
        <v>42734.0</v>
      </c>
      <c r="AA178" s="189">
        <v>42915.0</v>
      </c>
      <c r="AB178" s="189"/>
      <c r="AC178" s="189" t="s">
        <v>394</v>
      </c>
      <c r="AD178" s="189">
        <v>33167.0</v>
      </c>
      <c r="AE178" s="189" t="s">
        <v>3332</v>
      </c>
      <c r="AF178" s="189"/>
      <c r="AG178" s="189"/>
      <c r="AH178" s="189">
        <v>9.261163991E9</v>
      </c>
      <c r="AI178" s="189"/>
      <c r="AJ178" s="189" t="s">
        <v>3333</v>
      </c>
      <c r="AK178" s="189" t="s">
        <v>3334</v>
      </c>
      <c r="AL178" s="189" t="s">
        <v>3335</v>
      </c>
      <c r="AM178" s="189" t="s">
        <v>3336</v>
      </c>
      <c r="AN178" s="189" t="s">
        <v>3337</v>
      </c>
      <c r="AO178" s="189"/>
      <c r="AP178" s="189"/>
      <c r="AQ178" s="190"/>
      <c r="AR178" s="189" t="s">
        <v>1241</v>
      </c>
      <c r="AS178" s="191">
        <v>42915.0</v>
      </c>
    </row>
    <row r="179" ht="14.25" customHeight="1">
      <c r="A179" s="188">
        <v>174.0</v>
      </c>
      <c r="B179" s="142" t="s">
        <v>3338</v>
      </c>
      <c r="C179" s="142" t="s">
        <v>2961</v>
      </c>
      <c r="D179" s="142" t="s">
        <v>405</v>
      </c>
      <c r="E179" s="189" t="s">
        <v>2047</v>
      </c>
      <c r="F179" s="189"/>
      <c r="G179" s="189" t="s">
        <v>16</v>
      </c>
      <c r="H179" s="189">
        <v>1.122116344E9</v>
      </c>
      <c r="I179" s="189">
        <v>42739.0</v>
      </c>
      <c r="J179" s="189">
        <v>42725.0</v>
      </c>
      <c r="K179" s="189">
        <v>42738.0</v>
      </c>
      <c r="L179" s="189"/>
      <c r="M179" s="189"/>
      <c r="N179" s="189"/>
      <c r="O179" s="189"/>
      <c r="P179" s="189">
        <v>42739.0</v>
      </c>
      <c r="Q179" s="189">
        <v>42889.0</v>
      </c>
      <c r="R179" s="189"/>
      <c r="S179" s="189"/>
      <c r="T179" s="189"/>
      <c r="U179" s="189"/>
      <c r="V179" s="189"/>
      <c r="W179" s="189"/>
      <c r="X179" s="189"/>
      <c r="Y179" s="189"/>
      <c r="Z179" s="189">
        <v>42739.0</v>
      </c>
      <c r="AA179" s="189">
        <v>42919.0</v>
      </c>
      <c r="AB179" s="189"/>
      <c r="AC179" s="189" t="s">
        <v>394</v>
      </c>
      <c r="AD179" s="189">
        <v>33538.0</v>
      </c>
      <c r="AE179" s="189" t="s">
        <v>3339</v>
      </c>
      <c r="AF179" s="189"/>
      <c r="AG179" s="189"/>
      <c r="AH179" s="189">
        <v>9.972652356E9</v>
      </c>
      <c r="AI179" s="189"/>
      <c r="AJ179" s="189" t="s">
        <v>3340</v>
      </c>
      <c r="AK179" s="189" t="s">
        <v>3341</v>
      </c>
      <c r="AL179" s="189" t="s">
        <v>3342</v>
      </c>
      <c r="AM179" s="189" t="s">
        <v>3343</v>
      </c>
      <c r="AN179" s="189" t="s">
        <v>3344</v>
      </c>
      <c r="AO179" s="189"/>
      <c r="AP179" s="189"/>
      <c r="AQ179" s="190"/>
      <c r="AR179" s="189" t="s">
        <v>1241</v>
      </c>
      <c r="AS179" s="191">
        <v>42919.0</v>
      </c>
    </row>
    <row r="180" ht="14.25" customHeight="1">
      <c r="A180" s="188">
        <v>175.0</v>
      </c>
      <c r="B180" s="142" t="s">
        <v>521</v>
      </c>
      <c r="C180" s="142" t="s">
        <v>3345</v>
      </c>
      <c r="D180" s="142" t="s">
        <v>3346</v>
      </c>
      <c r="E180" s="189" t="s">
        <v>82</v>
      </c>
      <c r="F180" s="189"/>
      <c r="G180" s="189" t="s">
        <v>57</v>
      </c>
      <c r="H180" s="201" t="s">
        <v>3347</v>
      </c>
      <c r="I180" s="189">
        <v>42647.0</v>
      </c>
      <c r="J180" s="189">
        <v>42633.0</v>
      </c>
      <c r="K180" s="189">
        <v>42646.0</v>
      </c>
      <c r="L180" s="189"/>
      <c r="M180" s="189"/>
      <c r="N180" s="189"/>
      <c r="O180" s="189"/>
      <c r="P180" s="189">
        <v>42647.0</v>
      </c>
      <c r="Q180" s="189">
        <v>42798.0</v>
      </c>
      <c r="R180" s="189"/>
      <c r="S180" s="189"/>
      <c r="T180" s="189"/>
      <c r="U180" s="189"/>
      <c r="V180" s="189">
        <v>42798.0</v>
      </c>
      <c r="W180" s="189">
        <v>43527.0</v>
      </c>
      <c r="X180" s="189"/>
      <c r="Y180" s="189"/>
      <c r="Z180" s="189"/>
      <c r="AA180" s="189"/>
      <c r="AB180" s="189"/>
      <c r="AC180" s="189" t="s">
        <v>3157</v>
      </c>
      <c r="AD180" s="189">
        <v>34493.0</v>
      </c>
      <c r="AE180" s="189" t="s">
        <v>3348</v>
      </c>
      <c r="AF180" s="189" t="s">
        <v>3349</v>
      </c>
      <c r="AG180" s="189"/>
      <c r="AH180" s="189">
        <v>9.169992572E9</v>
      </c>
      <c r="AI180" s="189"/>
      <c r="AJ180" s="189" t="s">
        <v>975</v>
      </c>
      <c r="AK180" s="189" t="s">
        <v>3350</v>
      </c>
      <c r="AL180" s="189" t="s">
        <v>3351</v>
      </c>
      <c r="AM180" s="201" t="s">
        <v>3352</v>
      </c>
      <c r="AN180" s="189" t="s">
        <v>3353</v>
      </c>
      <c r="AO180" s="189"/>
      <c r="AP180" s="189"/>
      <c r="AQ180" s="190"/>
      <c r="AR180" s="189" t="s">
        <v>1840</v>
      </c>
      <c r="AS180" s="191">
        <v>42919.0</v>
      </c>
    </row>
    <row r="181" ht="14.25" customHeight="1">
      <c r="A181" s="188">
        <v>176.0</v>
      </c>
      <c r="B181" s="142" t="s">
        <v>3354</v>
      </c>
      <c r="C181" s="142" t="s">
        <v>3355</v>
      </c>
      <c r="D181" s="142" t="s">
        <v>3356</v>
      </c>
      <c r="E181" s="189" t="s">
        <v>82</v>
      </c>
      <c r="F181" s="189"/>
      <c r="G181" s="189" t="s">
        <v>16</v>
      </c>
      <c r="H181" s="189">
        <v>1.010917349E9</v>
      </c>
      <c r="I181" s="189">
        <v>42759.0</v>
      </c>
      <c r="J181" s="189">
        <v>42744.0</v>
      </c>
      <c r="K181" s="189">
        <v>42758.0</v>
      </c>
      <c r="L181" s="189"/>
      <c r="M181" s="189"/>
      <c r="N181" s="189"/>
      <c r="O181" s="189"/>
      <c r="P181" s="189">
        <v>42759.0</v>
      </c>
      <c r="Q181" s="189">
        <v>42909.0</v>
      </c>
      <c r="R181" s="189"/>
      <c r="S181" s="189"/>
      <c r="T181" s="189"/>
      <c r="U181" s="189"/>
      <c r="V181" s="189"/>
      <c r="W181" s="189"/>
      <c r="X181" s="189"/>
      <c r="Y181" s="189"/>
      <c r="Z181" s="189">
        <v>42759.0</v>
      </c>
      <c r="AA181" s="189">
        <v>42939.0</v>
      </c>
      <c r="AB181" s="189"/>
      <c r="AC181" s="189" t="s">
        <v>394</v>
      </c>
      <c r="AD181" s="189">
        <v>33724.0</v>
      </c>
      <c r="AE181" s="189" t="s">
        <v>3357</v>
      </c>
      <c r="AF181" s="189"/>
      <c r="AG181" s="189"/>
      <c r="AH181" s="201" t="s">
        <v>3358</v>
      </c>
      <c r="AI181" s="189"/>
      <c r="AJ181" s="189" t="s">
        <v>3359</v>
      </c>
      <c r="AK181" s="189" t="s">
        <v>3360</v>
      </c>
      <c r="AL181" s="189" t="s">
        <v>3361</v>
      </c>
      <c r="AM181" s="189" t="s">
        <v>3362</v>
      </c>
      <c r="AN181" s="189" t="s">
        <v>3363</v>
      </c>
      <c r="AO181" s="189"/>
      <c r="AP181" s="189"/>
      <c r="AQ181" s="190"/>
      <c r="AR181" s="189" t="s">
        <v>1241</v>
      </c>
      <c r="AS181" s="191">
        <v>42939.0</v>
      </c>
    </row>
    <row r="182" ht="14.25" customHeight="1">
      <c r="A182" s="188">
        <v>177.0</v>
      </c>
      <c r="B182" s="142" t="s">
        <v>3364</v>
      </c>
      <c r="C182" s="142" t="s">
        <v>3365</v>
      </c>
      <c r="D182" s="142" t="s">
        <v>3366</v>
      </c>
      <c r="E182" s="189" t="s">
        <v>2047</v>
      </c>
      <c r="F182" s="189"/>
      <c r="G182" s="189" t="s">
        <v>16</v>
      </c>
      <c r="H182" s="189">
        <v>1.020117351E9</v>
      </c>
      <c r="I182" s="189">
        <v>42767.0</v>
      </c>
      <c r="J182" s="189">
        <v>42752.0</v>
      </c>
      <c r="K182" s="189">
        <v>42766.0</v>
      </c>
      <c r="L182" s="189"/>
      <c r="M182" s="189"/>
      <c r="N182" s="189"/>
      <c r="O182" s="189"/>
      <c r="P182" s="189">
        <v>42767.0</v>
      </c>
      <c r="Q182" s="189">
        <v>42916.0</v>
      </c>
      <c r="R182" s="189"/>
      <c r="S182" s="189"/>
      <c r="T182" s="189"/>
      <c r="U182" s="189"/>
      <c r="V182" s="189"/>
      <c r="W182" s="189"/>
      <c r="X182" s="189"/>
      <c r="Y182" s="189"/>
      <c r="Z182" s="189">
        <v>42767.0</v>
      </c>
      <c r="AA182" s="189">
        <v>42947.0</v>
      </c>
      <c r="AB182" s="189"/>
      <c r="AC182" s="189" t="s">
        <v>394</v>
      </c>
      <c r="AD182" s="189">
        <v>34041.0</v>
      </c>
      <c r="AE182" s="189" t="s">
        <v>3367</v>
      </c>
      <c r="AF182" s="189"/>
      <c r="AG182" s="189"/>
      <c r="AH182" s="189">
        <v>9.196179691E9</v>
      </c>
      <c r="AI182" s="189"/>
      <c r="AJ182" s="189" t="s">
        <v>3368</v>
      </c>
      <c r="AK182" s="189" t="s">
        <v>3369</v>
      </c>
      <c r="AL182" s="189" t="s">
        <v>3370</v>
      </c>
      <c r="AM182" s="189" t="s">
        <v>3371</v>
      </c>
      <c r="AN182" s="189" t="s">
        <v>3372</v>
      </c>
      <c r="AO182" s="189"/>
      <c r="AP182" s="189"/>
      <c r="AQ182" s="190"/>
      <c r="AR182" s="189" t="s">
        <v>1241</v>
      </c>
      <c r="AS182" s="191">
        <v>42947.0</v>
      </c>
    </row>
    <row r="183" ht="14.25" customHeight="1">
      <c r="A183" s="188">
        <v>178.0</v>
      </c>
      <c r="B183" s="142" t="s">
        <v>3373</v>
      </c>
      <c r="C183" s="142" t="s">
        <v>3374</v>
      </c>
      <c r="D183" s="142" t="s">
        <v>3375</v>
      </c>
      <c r="E183" s="189" t="s">
        <v>82</v>
      </c>
      <c r="F183" s="189"/>
      <c r="G183" s="189" t="s">
        <v>16</v>
      </c>
      <c r="H183" s="189">
        <v>1.02011735E9</v>
      </c>
      <c r="I183" s="189">
        <v>42767.0</v>
      </c>
      <c r="J183" s="189">
        <v>42752.0</v>
      </c>
      <c r="K183" s="189">
        <v>42766.0</v>
      </c>
      <c r="L183" s="189"/>
      <c r="M183" s="189"/>
      <c r="N183" s="189"/>
      <c r="O183" s="189"/>
      <c r="P183" s="189">
        <v>42767.0</v>
      </c>
      <c r="Q183" s="189">
        <v>42916.0</v>
      </c>
      <c r="R183" s="189"/>
      <c r="S183" s="189"/>
      <c r="T183" s="189"/>
      <c r="U183" s="189"/>
      <c r="V183" s="189"/>
      <c r="W183" s="189"/>
      <c r="X183" s="189"/>
      <c r="Y183" s="189"/>
      <c r="Z183" s="189">
        <v>42767.0</v>
      </c>
      <c r="AA183" s="189">
        <v>42947.0</v>
      </c>
      <c r="AB183" s="189"/>
      <c r="AC183" s="189" t="s">
        <v>394</v>
      </c>
      <c r="AD183" s="189">
        <v>33312.0</v>
      </c>
      <c r="AE183" s="189" t="s">
        <v>3376</v>
      </c>
      <c r="AF183" s="189" t="s">
        <v>3377</v>
      </c>
      <c r="AG183" s="189"/>
      <c r="AH183" s="189">
        <v>9.16853047E9</v>
      </c>
      <c r="AI183" s="189"/>
      <c r="AJ183" s="189" t="s">
        <v>975</v>
      </c>
      <c r="AK183" s="189" t="s">
        <v>3378</v>
      </c>
      <c r="AL183" s="189"/>
      <c r="AM183" s="189" t="s">
        <v>3379</v>
      </c>
      <c r="AN183" s="189" t="s">
        <v>3380</v>
      </c>
      <c r="AO183" s="189"/>
      <c r="AP183" s="189"/>
      <c r="AQ183" s="190"/>
      <c r="AR183" s="189" t="s">
        <v>983</v>
      </c>
      <c r="AS183" s="191">
        <v>42927.0</v>
      </c>
    </row>
    <row r="184" ht="14.25" customHeight="1">
      <c r="A184" s="188">
        <v>179.0</v>
      </c>
      <c r="B184" s="142" t="s">
        <v>3381</v>
      </c>
      <c r="C184" s="142" t="s">
        <v>3382</v>
      </c>
      <c r="D184" s="142" t="s">
        <v>3383</v>
      </c>
      <c r="E184" s="189" t="s">
        <v>1831</v>
      </c>
      <c r="F184" s="189"/>
      <c r="G184" s="189" t="s">
        <v>57</v>
      </c>
      <c r="H184" s="189">
        <v>1.052016316E9</v>
      </c>
      <c r="I184" s="189">
        <v>42555.0</v>
      </c>
      <c r="J184" s="189">
        <v>42541.0</v>
      </c>
      <c r="K184" s="189">
        <v>42554.0</v>
      </c>
      <c r="L184" s="189"/>
      <c r="M184" s="189"/>
      <c r="N184" s="189"/>
      <c r="O184" s="189"/>
      <c r="P184" s="189">
        <v>42555.0</v>
      </c>
      <c r="Q184" s="189">
        <v>42708.0</v>
      </c>
      <c r="R184" s="189"/>
      <c r="S184" s="189"/>
      <c r="T184" s="189"/>
      <c r="U184" s="189"/>
      <c r="V184" s="189">
        <v>42709.0</v>
      </c>
      <c r="W184" s="189">
        <v>43438.0</v>
      </c>
      <c r="X184" s="189"/>
      <c r="Y184" s="189"/>
      <c r="Z184" s="189"/>
      <c r="AA184" s="189"/>
      <c r="AB184" s="189"/>
      <c r="AC184" s="189" t="s">
        <v>394</v>
      </c>
      <c r="AD184" s="189">
        <v>34616.0</v>
      </c>
      <c r="AE184" s="189" t="s">
        <v>3384</v>
      </c>
      <c r="AF184" s="189"/>
      <c r="AG184" s="189"/>
      <c r="AH184" s="189">
        <v>9.757574723E9</v>
      </c>
      <c r="AI184" s="189"/>
      <c r="AJ184" s="189" t="s">
        <v>3333</v>
      </c>
      <c r="AK184" s="189" t="s">
        <v>3385</v>
      </c>
      <c r="AL184" s="189" t="s">
        <v>3386</v>
      </c>
      <c r="AM184" s="189" t="s">
        <v>3387</v>
      </c>
      <c r="AN184" s="189" t="s">
        <v>3388</v>
      </c>
      <c r="AO184" s="189"/>
      <c r="AP184" s="189"/>
      <c r="AQ184" s="190"/>
      <c r="AR184" s="189" t="s">
        <v>1840</v>
      </c>
      <c r="AS184" s="191">
        <v>42929.0</v>
      </c>
    </row>
    <row r="185" ht="14.25" customHeight="1">
      <c r="A185" s="188">
        <v>180.0</v>
      </c>
      <c r="B185" s="142" t="s">
        <v>3389</v>
      </c>
      <c r="C185" s="142" t="s">
        <v>3390</v>
      </c>
      <c r="D185" s="142" t="s">
        <v>84</v>
      </c>
      <c r="E185" s="189" t="s">
        <v>3391</v>
      </c>
      <c r="F185" s="189"/>
      <c r="G185" s="189" t="s">
        <v>57</v>
      </c>
      <c r="H185" s="189">
        <v>1.041016297E9</v>
      </c>
      <c r="I185" s="189">
        <v>42485.0</v>
      </c>
      <c r="J185" s="189">
        <v>42470.0</v>
      </c>
      <c r="K185" s="189">
        <v>42484.0</v>
      </c>
      <c r="L185" s="189"/>
      <c r="M185" s="189"/>
      <c r="N185" s="189"/>
      <c r="O185" s="189"/>
      <c r="P185" s="189">
        <v>42485.0</v>
      </c>
      <c r="Q185" s="189">
        <v>42638.0</v>
      </c>
      <c r="R185" s="189"/>
      <c r="S185" s="189"/>
      <c r="T185" s="189"/>
      <c r="U185" s="189"/>
      <c r="V185" s="189">
        <v>42639.0</v>
      </c>
      <c r="W185" s="189">
        <v>43370.0</v>
      </c>
      <c r="X185" s="189"/>
      <c r="Y185" s="189"/>
      <c r="Z185" s="189"/>
      <c r="AA185" s="189"/>
      <c r="AB185" s="189"/>
      <c r="AC185" s="189" t="s">
        <v>394</v>
      </c>
      <c r="AD185" s="189">
        <v>34682.0</v>
      </c>
      <c r="AE185" s="189" t="s">
        <v>3392</v>
      </c>
      <c r="AF185" s="189"/>
      <c r="AG185" s="189"/>
      <c r="AH185" s="189" t="s">
        <v>3393</v>
      </c>
      <c r="AI185" s="189"/>
      <c r="AJ185" s="189" t="s">
        <v>1847</v>
      </c>
      <c r="AK185" s="189" t="s">
        <v>3394</v>
      </c>
      <c r="AL185" s="189" t="s">
        <v>3395</v>
      </c>
      <c r="AM185" s="189" t="s">
        <v>3396</v>
      </c>
      <c r="AN185" s="189" t="s">
        <v>3397</v>
      </c>
      <c r="AO185" s="189"/>
      <c r="AP185" s="189"/>
      <c r="AQ185" s="190"/>
      <c r="AR185" s="189" t="s">
        <v>1840</v>
      </c>
      <c r="AS185" s="191">
        <v>42938.0</v>
      </c>
    </row>
    <row r="186" ht="14.25" customHeight="1">
      <c r="A186" s="188">
        <v>181.0</v>
      </c>
      <c r="B186" s="142" t="s">
        <v>3398</v>
      </c>
      <c r="C186" s="142" t="s">
        <v>3399</v>
      </c>
      <c r="D186" s="142" t="s">
        <v>3400</v>
      </c>
      <c r="E186" s="189" t="s">
        <v>176</v>
      </c>
      <c r="F186" s="189"/>
      <c r="G186" s="189" t="s">
        <v>57</v>
      </c>
      <c r="H186" s="189">
        <v>1.010516345E9</v>
      </c>
      <c r="I186" s="189">
        <v>42740.0</v>
      </c>
      <c r="J186" s="189"/>
      <c r="K186" s="189"/>
      <c r="L186" s="189"/>
      <c r="M186" s="189"/>
      <c r="N186" s="189"/>
      <c r="O186" s="189"/>
      <c r="P186" s="189">
        <v>42740.0</v>
      </c>
      <c r="Q186" s="189">
        <v>42890.0</v>
      </c>
      <c r="R186" s="189"/>
      <c r="S186" s="189"/>
      <c r="T186" s="189"/>
      <c r="U186" s="189"/>
      <c r="V186" s="189"/>
      <c r="W186" s="189"/>
      <c r="X186" s="189"/>
      <c r="Y186" s="189"/>
      <c r="Z186" s="189">
        <v>42740.0</v>
      </c>
      <c r="AA186" s="189">
        <v>42920.0</v>
      </c>
      <c r="AB186" s="189"/>
      <c r="AC186" s="189" t="s">
        <v>394</v>
      </c>
      <c r="AD186" s="189">
        <v>32403.0</v>
      </c>
      <c r="AE186" s="189" t="s">
        <v>3401</v>
      </c>
      <c r="AF186" s="189"/>
      <c r="AG186" s="189"/>
      <c r="AH186" s="189">
        <v>9.091581631E9</v>
      </c>
      <c r="AI186" s="189"/>
      <c r="AJ186" s="189" t="s">
        <v>3402</v>
      </c>
      <c r="AK186" s="189" t="s">
        <v>3403</v>
      </c>
      <c r="AL186" s="189" t="s">
        <v>3404</v>
      </c>
      <c r="AM186" s="192" t="s">
        <v>3405</v>
      </c>
      <c r="AN186" s="193" t="s">
        <v>3406</v>
      </c>
      <c r="AO186" s="189"/>
      <c r="AP186" s="189"/>
      <c r="AQ186" s="190"/>
      <c r="AR186" s="189" t="s">
        <v>1840</v>
      </c>
      <c r="AS186" s="191">
        <v>42941.0</v>
      </c>
    </row>
    <row r="187" ht="14.25" customHeight="1">
      <c r="A187" s="188">
        <v>182.0</v>
      </c>
      <c r="B187" s="142" t="s">
        <v>3407</v>
      </c>
      <c r="C187" s="142" t="s">
        <v>3408</v>
      </c>
      <c r="D187" s="142" t="s">
        <v>3409</v>
      </c>
      <c r="E187" s="189" t="s">
        <v>82</v>
      </c>
      <c r="F187" s="189"/>
      <c r="G187" s="189" t="s">
        <v>16</v>
      </c>
      <c r="H187" s="189">
        <v>1.050917371E9</v>
      </c>
      <c r="I187" s="189">
        <v>42864.0</v>
      </c>
      <c r="J187" s="189"/>
      <c r="K187" s="189"/>
      <c r="L187" s="189"/>
      <c r="M187" s="189"/>
      <c r="N187" s="189"/>
      <c r="O187" s="189"/>
      <c r="P187" s="189"/>
      <c r="Q187" s="189"/>
      <c r="R187" s="189"/>
      <c r="S187" s="189"/>
      <c r="T187" s="189"/>
      <c r="U187" s="189"/>
      <c r="V187" s="189"/>
      <c r="W187" s="189"/>
      <c r="X187" s="189"/>
      <c r="Y187" s="189"/>
      <c r="Z187" s="189">
        <v>42864.0</v>
      </c>
      <c r="AA187" s="189" t="s">
        <v>3410</v>
      </c>
      <c r="AB187" s="189"/>
      <c r="AC187" s="189" t="s">
        <v>394</v>
      </c>
      <c r="AD187" s="189">
        <v>34715.0</v>
      </c>
      <c r="AE187" s="189" t="s">
        <v>3411</v>
      </c>
      <c r="AF187" s="189" t="s">
        <v>2049</v>
      </c>
      <c r="AG187" s="189"/>
      <c r="AH187" s="189">
        <v>9.097085006E9</v>
      </c>
      <c r="AI187" s="189"/>
      <c r="AJ187" s="189" t="s">
        <v>975</v>
      </c>
      <c r="AK187" s="189" t="s">
        <v>3412</v>
      </c>
      <c r="AL187" s="189" t="s">
        <v>3413</v>
      </c>
      <c r="AM187" s="189" t="s">
        <v>3414</v>
      </c>
      <c r="AN187" s="189" t="s">
        <v>3415</v>
      </c>
      <c r="AO187" s="189"/>
      <c r="AP187" s="189"/>
      <c r="AQ187" s="190"/>
      <c r="AR187" s="189" t="s">
        <v>1840</v>
      </c>
      <c r="AS187" s="191">
        <v>42943.0</v>
      </c>
    </row>
    <row r="188" ht="14.25" customHeight="1">
      <c r="A188" s="188">
        <v>183.0</v>
      </c>
      <c r="B188" s="142" t="s">
        <v>3416</v>
      </c>
      <c r="C188" s="142" t="s">
        <v>3417</v>
      </c>
      <c r="D188" s="142" t="s">
        <v>3418</v>
      </c>
      <c r="E188" s="109" t="s">
        <v>1881</v>
      </c>
      <c r="F188" s="109"/>
      <c r="G188" s="109" t="s">
        <v>16</v>
      </c>
      <c r="H188" s="109">
        <v>1.020517353E9</v>
      </c>
      <c r="I188" s="109">
        <v>42771.0</v>
      </c>
      <c r="J188" s="109">
        <v>42756.0</v>
      </c>
      <c r="K188" s="109">
        <v>42770.0</v>
      </c>
      <c r="L188" s="109"/>
      <c r="M188" s="109"/>
      <c r="N188" s="109"/>
      <c r="O188" s="109"/>
      <c r="P188" s="109">
        <v>42771.0</v>
      </c>
      <c r="Q188" s="109">
        <v>42920.0</v>
      </c>
      <c r="R188" s="109"/>
      <c r="S188" s="109"/>
      <c r="T188" s="109"/>
      <c r="U188" s="109"/>
      <c r="V188" s="109"/>
      <c r="W188" s="109"/>
      <c r="X188" s="109"/>
      <c r="Y188" s="109"/>
      <c r="Z188" s="109">
        <v>42771.0</v>
      </c>
      <c r="AA188" s="109">
        <v>42951.0</v>
      </c>
      <c r="AB188" s="109"/>
      <c r="AC188" s="109" t="s">
        <v>394</v>
      </c>
      <c r="AD188" s="109">
        <v>35266.0</v>
      </c>
      <c r="AE188" s="109" t="s">
        <v>3419</v>
      </c>
      <c r="AF188" s="109" t="s">
        <v>3420</v>
      </c>
      <c r="AG188" s="109"/>
      <c r="AH188" s="109">
        <v>9.776459607E9</v>
      </c>
      <c r="AI188" s="109"/>
      <c r="AJ188" s="109" t="s">
        <v>3421</v>
      </c>
      <c r="AK188" s="109" t="s">
        <v>3422</v>
      </c>
      <c r="AL188" s="109" t="s">
        <v>3423</v>
      </c>
      <c r="AM188" s="202" t="s">
        <v>3424</v>
      </c>
      <c r="AN188" s="109" t="s">
        <v>3425</v>
      </c>
      <c r="AO188" s="109"/>
      <c r="AP188" s="109"/>
      <c r="AQ188" s="142"/>
      <c r="AR188" s="109" t="s">
        <v>1241</v>
      </c>
      <c r="AS188" s="137">
        <v>42951.0</v>
      </c>
    </row>
    <row r="189" ht="14.25" customHeight="1">
      <c r="A189" s="188">
        <v>184.0</v>
      </c>
      <c r="B189" s="142" t="s">
        <v>3426</v>
      </c>
      <c r="C189" s="142" t="s">
        <v>3427</v>
      </c>
      <c r="D189" s="142" t="s">
        <v>435</v>
      </c>
      <c r="E189" s="109" t="s">
        <v>1881</v>
      </c>
      <c r="F189" s="109"/>
      <c r="G189" s="109" t="s">
        <v>16</v>
      </c>
      <c r="H189" s="109">
        <v>1.051517375E9</v>
      </c>
      <c r="I189" s="109">
        <v>42870.0</v>
      </c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>
        <v>42870.0</v>
      </c>
      <c r="AA189" s="109">
        <v>43053.0</v>
      </c>
      <c r="AB189" s="109"/>
      <c r="AC189" s="109" t="s">
        <v>394</v>
      </c>
      <c r="AD189" s="109">
        <v>34990.0</v>
      </c>
      <c r="AE189" s="109" t="s">
        <v>3428</v>
      </c>
      <c r="AF189" s="109"/>
      <c r="AG189" s="109"/>
      <c r="AH189" s="109">
        <v>9.098562748E9</v>
      </c>
      <c r="AI189" s="109"/>
      <c r="AJ189" s="109" t="s">
        <v>975</v>
      </c>
      <c r="AK189" s="109" t="s">
        <v>3429</v>
      </c>
      <c r="AL189" s="109" t="s">
        <v>3430</v>
      </c>
      <c r="AM189" s="109" t="s">
        <v>3431</v>
      </c>
      <c r="AN189" s="109" t="s">
        <v>3432</v>
      </c>
      <c r="AO189" s="109"/>
      <c r="AP189" s="109"/>
      <c r="AQ189" s="142"/>
      <c r="AR189" s="109" t="s">
        <v>1840</v>
      </c>
      <c r="AS189" s="137">
        <v>42986.0</v>
      </c>
    </row>
    <row r="190" ht="14.25" customHeight="1">
      <c r="A190" s="188">
        <v>185.0</v>
      </c>
      <c r="B190" s="142" t="s">
        <v>3433</v>
      </c>
      <c r="C190" s="142" t="s">
        <v>3434</v>
      </c>
      <c r="D190" s="142" t="s">
        <v>3435</v>
      </c>
      <c r="E190" s="109" t="s">
        <v>1881</v>
      </c>
      <c r="F190" s="109"/>
      <c r="G190" s="109" t="s">
        <v>16</v>
      </c>
      <c r="H190" s="109">
        <v>1.031517359E9</v>
      </c>
      <c r="I190" s="109">
        <v>42809.0</v>
      </c>
      <c r="J190" s="109">
        <v>42795.0</v>
      </c>
      <c r="K190" s="109">
        <v>42808.0</v>
      </c>
      <c r="L190" s="109"/>
      <c r="M190" s="109"/>
      <c r="N190" s="109"/>
      <c r="O190" s="109"/>
      <c r="P190" s="109">
        <v>42809.0</v>
      </c>
      <c r="Q190" s="109">
        <v>42961.0</v>
      </c>
      <c r="R190" s="109"/>
      <c r="S190" s="109"/>
      <c r="T190" s="109"/>
      <c r="U190" s="109"/>
      <c r="V190" s="109"/>
      <c r="W190" s="109"/>
      <c r="X190" s="109"/>
      <c r="Y190" s="109"/>
      <c r="Z190" s="109">
        <v>42809.0</v>
      </c>
      <c r="AA190" s="109">
        <v>42992.0</v>
      </c>
      <c r="AB190" s="109"/>
      <c r="AC190" s="109" t="s">
        <v>394</v>
      </c>
      <c r="AD190" s="109">
        <v>35370.0</v>
      </c>
      <c r="AE190" s="109" t="s">
        <v>3436</v>
      </c>
      <c r="AF190" s="109"/>
      <c r="AG190" s="109"/>
      <c r="AH190" s="109">
        <v>9.261056623E9</v>
      </c>
      <c r="AI190" s="109"/>
      <c r="AJ190" s="109" t="s">
        <v>3311</v>
      </c>
      <c r="AK190" s="109" t="s">
        <v>3437</v>
      </c>
      <c r="AL190" s="109" t="s">
        <v>3438</v>
      </c>
      <c r="AM190" s="109" t="s">
        <v>3439</v>
      </c>
      <c r="AN190" s="109" t="s">
        <v>3440</v>
      </c>
      <c r="AO190" s="109"/>
      <c r="AP190" s="109"/>
      <c r="AQ190" s="142"/>
      <c r="AR190" s="109" t="s">
        <v>1241</v>
      </c>
      <c r="AS190" s="137">
        <v>42992.0</v>
      </c>
    </row>
    <row r="191" ht="14.25" customHeight="1">
      <c r="A191" s="188">
        <v>186.0</v>
      </c>
      <c r="B191" s="142" t="s">
        <v>3441</v>
      </c>
      <c r="C191" s="142" t="s">
        <v>3442</v>
      </c>
      <c r="D191" s="142" t="s">
        <v>3443</v>
      </c>
      <c r="E191" s="109" t="s">
        <v>82</v>
      </c>
      <c r="F191" s="109"/>
      <c r="G191" s="109" t="s">
        <v>16</v>
      </c>
      <c r="H191" s="109">
        <v>1.03151736E9</v>
      </c>
      <c r="I191" s="109">
        <v>42809.0</v>
      </c>
      <c r="J191" s="109">
        <v>42795.0</v>
      </c>
      <c r="K191" s="109">
        <v>42808.0</v>
      </c>
      <c r="L191" s="109"/>
      <c r="M191" s="109"/>
      <c r="N191" s="109"/>
      <c r="O191" s="109"/>
      <c r="P191" s="109">
        <v>42809.0</v>
      </c>
      <c r="Q191" s="109">
        <v>42961.0</v>
      </c>
      <c r="R191" s="109"/>
      <c r="S191" s="109"/>
      <c r="T191" s="109"/>
      <c r="U191" s="109"/>
      <c r="V191" s="109"/>
      <c r="W191" s="109"/>
      <c r="X191" s="109"/>
      <c r="Y191" s="109"/>
      <c r="Z191" s="109">
        <v>42809.0</v>
      </c>
      <c r="AA191" s="109">
        <v>42992.0</v>
      </c>
      <c r="AB191" s="109"/>
      <c r="AC191" s="109" t="s">
        <v>394</v>
      </c>
      <c r="AD191" s="109">
        <v>34478.0</v>
      </c>
      <c r="AE191" s="109" t="s">
        <v>3444</v>
      </c>
      <c r="AF191" s="109"/>
      <c r="AG191" s="109"/>
      <c r="AH191" s="109">
        <v>9.368959013E9</v>
      </c>
      <c r="AI191" s="109"/>
      <c r="AJ191" s="109" t="s">
        <v>3333</v>
      </c>
      <c r="AK191" s="109" t="s">
        <v>3445</v>
      </c>
      <c r="AL191" s="109" t="s">
        <v>3446</v>
      </c>
      <c r="AM191" s="109" t="s">
        <v>3447</v>
      </c>
      <c r="AN191" s="109" t="s">
        <v>3448</v>
      </c>
      <c r="AO191" s="109"/>
      <c r="AP191" s="109"/>
      <c r="AQ191" s="142"/>
      <c r="AR191" s="109" t="s">
        <v>1241</v>
      </c>
      <c r="AS191" s="137">
        <v>42992.0</v>
      </c>
    </row>
    <row r="192" ht="14.25" customHeight="1">
      <c r="A192" s="188">
        <v>187.0</v>
      </c>
      <c r="B192" s="142" t="s">
        <v>2115</v>
      </c>
      <c r="C192" s="142" t="s">
        <v>3449</v>
      </c>
      <c r="D192" s="142" t="s">
        <v>3450</v>
      </c>
      <c r="E192" s="109" t="s">
        <v>219</v>
      </c>
      <c r="F192" s="109"/>
      <c r="G192" s="109" t="s">
        <v>57</v>
      </c>
      <c r="H192" s="109">
        <v>1.050316304E9</v>
      </c>
      <c r="I192" s="109">
        <v>42507.0</v>
      </c>
      <c r="J192" s="109">
        <v>42493.0</v>
      </c>
      <c r="K192" s="109">
        <v>42506.0</v>
      </c>
      <c r="L192" s="109"/>
      <c r="M192" s="109"/>
      <c r="N192" s="109"/>
      <c r="O192" s="109"/>
      <c r="P192" s="109">
        <v>42507.0</v>
      </c>
      <c r="Q192" s="109">
        <v>42660.0</v>
      </c>
      <c r="R192" s="109"/>
      <c r="S192" s="109"/>
      <c r="T192" s="109"/>
      <c r="U192" s="109"/>
      <c r="V192" s="109">
        <v>42660.0</v>
      </c>
      <c r="W192" s="109">
        <v>43390.0</v>
      </c>
      <c r="X192" s="109"/>
      <c r="Y192" s="109"/>
      <c r="Z192" s="109"/>
      <c r="AA192" s="109"/>
      <c r="AB192" s="109"/>
      <c r="AC192" s="109" t="s">
        <v>394</v>
      </c>
      <c r="AD192" s="109">
        <v>33745.0</v>
      </c>
      <c r="AE192" s="109" t="s">
        <v>3451</v>
      </c>
      <c r="AF192" s="109" t="s">
        <v>3452</v>
      </c>
      <c r="AG192" s="109"/>
      <c r="AH192" s="109" t="s">
        <v>3453</v>
      </c>
      <c r="AI192" s="109"/>
      <c r="AJ192" s="109"/>
      <c r="AK192" s="109" t="s">
        <v>3454</v>
      </c>
      <c r="AL192" s="109" t="s">
        <v>3455</v>
      </c>
      <c r="AM192" s="109" t="s">
        <v>3456</v>
      </c>
      <c r="AN192" s="109" t="s">
        <v>3457</v>
      </c>
      <c r="AO192" s="109"/>
      <c r="AP192" s="109"/>
      <c r="AQ192" s="142"/>
      <c r="AR192" s="109" t="s">
        <v>1840</v>
      </c>
      <c r="AS192" s="137">
        <v>43003.0</v>
      </c>
    </row>
    <row r="193" ht="14.25" customHeight="1">
      <c r="A193" s="188">
        <v>188.0</v>
      </c>
      <c r="B193" s="142" t="s">
        <v>3458</v>
      </c>
      <c r="C193" s="142" t="s">
        <v>3459</v>
      </c>
      <c r="D193" s="142" t="s">
        <v>1304</v>
      </c>
      <c r="E193" s="109" t="s">
        <v>3391</v>
      </c>
      <c r="F193" s="109"/>
      <c r="G193" s="109" t="s">
        <v>16</v>
      </c>
      <c r="H193" s="109">
        <v>1.032717364E9</v>
      </c>
      <c r="I193" s="109">
        <v>42836.0</v>
      </c>
      <c r="J193" s="109">
        <v>42821.0</v>
      </c>
      <c r="K193" s="109">
        <v>42835.0</v>
      </c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109"/>
      <c r="Y193" s="109"/>
      <c r="Z193" s="109">
        <v>42836.0</v>
      </c>
      <c r="AA193" s="109">
        <v>43018.0</v>
      </c>
      <c r="AB193" s="109"/>
      <c r="AC193" s="109" t="s">
        <v>394</v>
      </c>
      <c r="AD193" s="109">
        <v>35286.0</v>
      </c>
      <c r="AE193" s="109" t="s">
        <v>3460</v>
      </c>
      <c r="AF193" s="109" t="s">
        <v>3461</v>
      </c>
      <c r="AG193" s="109"/>
      <c r="AH193" s="109">
        <v>9.084240882E9</v>
      </c>
      <c r="AI193" s="109"/>
      <c r="AJ193" s="109" t="s">
        <v>3333</v>
      </c>
      <c r="AK193" s="109" t="s">
        <v>3462</v>
      </c>
      <c r="AL193" s="109" t="s">
        <v>3463</v>
      </c>
      <c r="AM193" s="109" t="s">
        <v>3464</v>
      </c>
      <c r="AN193" s="109" t="s">
        <v>3465</v>
      </c>
      <c r="AO193" s="109"/>
      <c r="AP193" s="109"/>
      <c r="AQ193" s="142"/>
      <c r="AR193" s="109" t="s">
        <v>1241</v>
      </c>
      <c r="AS193" s="137">
        <v>43018.0</v>
      </c>
    </row>
    <row r="194" ht="14.25" customHeight="1">
      <c r="A194" s="188">
        <v>189.0</v>
      </c>
      <c r="B194" s="142" t="s">
        <v>3466</v>
      </c>
      <c r="C194" s="142" t="s">
        <v>3467</v>
      </c>
      <c r="D194" s="142" t="s">
        <v>3468</v>
      </c>
      <c r="E194" s="109" t="s">
        <v>1881</v>
      </c>
      <c r="F194" s="109"/>
      <c r="G194" s="109" t="s">
        <v>16</v>
      </c>
      <c r="H194" s="109">
        <v>1.060117376E9</v>
      </c>
      <c r="I194" s="109">
        <v>42887.0</v>
      </c>
      <c r="J194" s="109"/>
      <c r="K194" s="109"/>
      <c r="L194" s="109"/>
      <c r="M194" s="109"/>
      <c r="N194" s="109"/>
      <c r="O194" s="109"/>
      <c r="P194" s="109"/>
      <c r="Q194" s="109"/>
      <c r="R194" s="109"/>
      <c r="S194" s="109"/>
      <c r="T194" s="109"/>
      <c r="U194" s="109"/>
      <c r="V194" s="109"/>
      <c r="W194" s="109"/>
      <c r="X194" s="109"/>
      <c r="Y194" s="109"/>
      <c r="Z194" s="109">
        <v>42887.0</v>
      </c>
      <c r="AA194" s="109">
        <v>43069.0</v>
      </c>
      <c r="AB194" s="109"/>
      <c r="AC194" s="109" t="s">
        <v>394</v>
      </c>
      <c r="AD194" s="109">
        <v>34667.0</v>
      </c>
      <c r="AE194" s="109" t="s">
        <v>3469</v>
      </c>
      <c r="AF194" s="109" t="s">
        <v>3470</v>
      </c>
      <c r="AG194" s="109"/>
      <c r="AH194" s="109">
        <v>9.054682677E9</v>
      </c>
      <c r="AI194" s="109"/>
      <c r="AJ194" s="109" t="s">
        <v>1847</v>
      </c>
      <c r="AK194" s="109" t="s">
        <v>3471</v>
      </c>
      <c r="AL194" s="109" t="s">
        <v>3472</v>
      </c>
      <c r="AM194" s="109" t="s">
        <v>3473</v>
      </c>
      <c r="AN194" s="109" t="s">
        <v>3474</v>
      </c>
      <c r="AO194" s="109"/>
      <c r="AP194" s="109" t="s">
        <v>3475</v>
      </c>
      <c r="AQ194" s="142"/>
      <c r="AR194" s="109" t="s">
        <v>1840</v>
      </c>
      <c r="AS194" s="137">
        <v>43006.0</v>
      </c>
    </row>
    <row r="195" ht="14.25" customHeight="1">
      <c r="A195" s="188">
        <v>190.0</v>
      </c>
      <c r="B195" s="142" t="s">
        <v>1316</v>
      </c>
      <c r="C195" s="142" t="s">
        <v>3476</v>
      </c>
      <c r="D195" s="142" t="s">
        <v>3477</v>
      </c>
      <c r="E195" s="162" t="s">
        <v>1881</v>
      </c>
      <c r="F195" s="162"/>
      <c r="G195" s="162" t="s">
        <v>57</v>
      </c>
      <c r="H195" s="162">
        <v>1.041016298E9</v>
      </c>
      <c r="I195" s="162">
        <v>42485.0</v>
      </c>
      <c r="J195" s="162">
        <v>42470.0</v>
      </c>
      <c r="K195" s="162">
        <v>42484.0</v>
      </c>
      <c r="L195" s="162"/>
      <c r="M195" s="162"/>
      <c r="N195" s="162"/>
      <c r="O195" s="162"/>
      <c r="P195" s="162">
        <v>42485.0</v>
      </c>
      <c r="Q195" s="162">
        <v>42638.0</v>
      </c>
      <c r="R195" s="162"/>
      <c r="S195" s="162"/>
      <c r="T195" s="162"/>
      <c r="U195" s="162"/>
      <c r="V195" s="162">
        <v>42639.0</v>
      </c>
      <c r="W195" s="162">
        <v>43368.0</v>
      </c>
      <c r="X195" s="162"/>
      <c r="Y195" s="162"/>
      <c r="Z195" s="162"/>
      <c r="AA195" s="162"/>
      <c r="AB195" s="162"/>
      <c r="AC195" s="162" t="s">
        <v>394</v>
      </c>
      <c r="AD195" s="162">
        <v>34958.0</v>
      </c>
      <c r="AE195" s="162" t="s">
        <v>3478</v>
      </c>
      <c r="AF195" s="162" t="s">
        <v>1366</v>
      </c>
      <c r="AG195" s="162"/>
      <c r="AH195" s="162" t="s">
        <v>3479</v>
      </c>
      <c r="AI195" s="162"/>
      <c r="AJ195" s="162" t="s">
        <v>1847</v>
      </c>
      <c r="AK195" s="162" t="s">
        <v>3480</v>
      </c>
      <c r="AL195" s="162" t="s">
        <v>3481</v>
      </c>
      <c r="AM195" s="162" t="s">
        <v>3482</v>
      </c>
      <c r="AN195" s="162" t="s">
        <v>3483</v>
      </c>
      <c r="AO195" s="162"/>
      <c r="AP195" s="162"/>
      <c r="AQ195" s="199"/>
      <c r="AR195" s="162" t="s">
        <v>1840</v>
      </c>
      <c r="AS195" s="200">
        <v>43054.0</v>
      </c>
    </row>
    <row r="196" ht="14.25" customHeight="1">
      <c r="A196" s="188">
        <v>191.0</v>
      </c>
      <c r="B196" s="142" t="s">
        <v>84</v>
      </c>
      <c r="C196" s="142" t="s">
        <v>3484</v>
      </c>
      <c r="D196" s="142" t="s">
        <v>3485</v>
      </c>
      <c r="E196" s="162" t="s">
        <v>1881</v>
      </c>
      <c r="F196" s="162"/>
      <c r="G196" s="162" t="s">
        <v>16</v>
      </c>
      <c r="H196" s="162">
        <v>1.060517377E9</v>
      </c>
      <c r="I196" s="162">
        <v>42891.0</v>
      </c>
      <c r="J196" s="162"/>
      <c r="K196" s="162"/>
      <c r="L196" s="162"/>
      <c r="M196" s="162"/>
      <c r="N196" s="162"/>
      <c r="O196" s="162"/>
      <c r="P196" s="162"/>
      <c r="Q196" s="162"/>
      <c r="R196" s="162"/>
      <c r="S196" s="162"/>
      <c r="T196" s="162"/>
      <c r="U196" s="162"/>
      <c r="V196" s="162"/>
      <c r="W196" s="162"/>
      <c r="X196" s="162"/>
      <c r="Y196" s="162"/>
      <c r="Z196" s="162">
        <v>42891.0</v>
      </c>
      <c r="AA196" s="162">
        <v>43073.0</v>
      </c>
      <c r="AB196" s="162"/>
      <c r="AC196" s="162" t="s">
        <v>394</v>
      </c>
      <c r="AD196" s="162">
        <v>35395.0</v>
      </c>
      <c r="AE196" s="162" t="s">
        <v>3486</v>
      </c>
      <c r="AF196" s="162"/>
      <c r="AG196" s="162"/>
      <c r="AH196" s="162">
        <v>9.236687194E9</v>
      </c>
      <c r="AI196" s="162"/>
      <c r="AJ196" s="162" t="s">
        <v>3487</v>
      </c>
      <c r="AK196" s="162" t="s">
        <v>3488</v>
      </c>
      <c r="AL196" s="162" t="s">
        <v>3489</v>
      </c>
      <c r="AM196" s="203" t="s">
        <v>3490</v>
      </c>
      <c r="AN196" s="162" t="s">
        <v>3491</v>
      </c>
      <c r="AO196" s="162"/>
      <c r="AP196" s="162"/>
      <c r="AQ196" s="199"/>
      <c r="AR196" s="162" t="s">
        <v>1840</v>
      </c>
      <c r="AS196" s="200">
        <v>43050.0</v>
      </c>
    </row>
    <row r="197" ht="14.25" customHeight="1">
      <c r="A197" s="188">
        <v>192.0</v>
      </c>
      <c r="B197" s="142" t="s">
        <v>3492</v>
      </c>
      <c r="C197" s="142" t="s">
        <v>2064</v>
      </c>
      <c r="D197" s="142" t="s">
        <v>3493</v>
      </c>
      <c r="E197" s="109" t="s">
        <v>3494</v>
      </c>
      <c r="F197" s="109"/>
      <c r="G197" s="109" t="s">
        <v>57</v>
      </c>
      <c r="H197" s="109">
        <v>1.011405082E9</v>
      </c>
      <c r="I197" s="109">
        <v>38366.0</v>
      </c>
      <c r="J197" s="109">
        <v>38335.0</v>
      </c>
      <c r="K197" s="109">
        <v>38366.0</v>
      </c>
      <c r="L197" s="109"/>
      <c r="M197" s="109"/>
      <c r="N197" s="109"/>
      <c r="O197" s="109"/>
      <c r="P197" s="109">
        <v>38366.0</v>
      </c>
      <c r="Q197" s="109">
        <v>38517.0</v>
      </c>
      <c r="R197" s="109"/>
      <c r="S197" s="109"/>
      <c r="T197" s="109"/>
      <c r="U197" s="109"/>
      <c r="V197" s="109"/>
      <c r="W197" s="109"/>
      <c r="X197" s="109"/>
      <c r="Y197" s="109"/>
      <c r="Z197" s="109"/>
      <c r="AA197" s="109"/>
      <c r="AB197" s="109"/>
      <c r="AC197" s="109" t="s">
        <v>2919</v>
      </c>
      <c r="AD197" s="109">
        <v>29131.0</v>
      </c>
      <c r="AE197" s="109" t="s">
        <v>3495</v>
      </c>
      <c r="AF197" s="109" t="s">
        <v>3496</v>
      </c>
      <c r="AG197" s="109"/>
      <c r="AH197" s="109">
        <v>9.204112474E9</v>
      </c>
      <c r="AI197" s="109"/>
      <c r="AJ197" s="109" t="s">
        <v>1834</v>
      </c>
      <c r="AK197" s="109" t="s">
        <v>3497</v>
      </c>
      <c r="AL197" s="109" t="s">
        <v>3498</v>
      </c>
      <c r="AM197" s="109" t="s">
        <v>3499</v>
      </c>
      <c r="AN197" s="109" t="s">
        <v>3500</v>
      </c>
      <c r="AO197" s="109"/>
      <c r="AP197" s="109" t="s">
        <v>3501</v>
      </c>
      <c r="AQ197" s="142"/>
      <c r="AR197" s="109" t="s">
        <v>1840</v>
      </c>
      <c r="AS197" s="137">
        <v>43039.0</v>
      </c>
    </row>
    <row r="198" ht="14.25" customHeight="1">
      <c r="A198" s="188">
        <v>193.0</v>
      </c>
      <c r="B198" s="142" t="s">
        <v>3502</v>
      </c>
      <c r="C198" s="142" t="s">
        <v>3503</v>
      </c>
      <c r="D198" s="142" t="s">
        <v>3504</v>
      </c>
      <c r="E198" s="109" t="s">
        <v>3505</v>
      </c>
      <c r="F198" s="109"/>
      <c r="G198" s="109" t="s">
        <v>16</v>
      </c>
      <c r="H198" s="109">
        <v>1.070317381E9</v>
      </c>
      <c r="I198" s="109">
        <v>42919.0</v>
      </c>
      <c r="J198" s="109"/>
      <c r="K198" s="109"/>
      <c r="L198" s="109"/>
      <c r="M198" s="109"/>
      <c r="N198" s="109"/>
      <c r="O198" s="109"/>
      <c r="P198" s="109"/>
      <c r="Q198" s="109"/>
      <c r="R198" s="109"/>
      <c r="S198" s="109"/>
      <c r="T198" s="109"/>
      <c r="U198" s="109"/>
      <c r="V198" s="109"/>
      <c r="W198" s="109"/>
      <c r="X198" s="109"/>
      <c r="Y198" s="109"/>
      <c r="Z198" s="109">
        <v>42919.0</v>
      </c>
      <c r="AA198" s="109">
        <v>43102.0</v>
      </c>
      <c r="AB198" s="109"/>
      <c r="AC198" s="109" t="s">
        <v>217</v>
      </c>
      <c r="AD198" s="109">
        <v>29405.0</v>
      </c>
      <c r="AE198" s="109" t="s">
        <v>3506</v>
      </c>
      <c r="AF198" s="109" t="s">
        <v>3507</v>
      </c>
      <c r="AG198" s="109"/>
      <c r="AH198" s="109" t="s">
        <v>3508</v>
      </c>
      <c r="AI198" s="109"/>
      <c r="AJ198" s="109" t="s">
        <v>3509</v>
      </c>
      <c r="AK198" s="109" t="s">
        <v>3510</v>
      </c>
      <c r="AL198" s="109" t="s">
        <v>3511</v>
      </c>
      <c r="AM198" s="202" t="s">
        <v>3512</v>
      </c>
      <c r="AN198" s="204" t="s">
        <v>3513</v>
      </c>
      <c r="AO198" s="109"/>
      <c r="AP198" s="109" t="s">
        <v>3514</v>
      </c>
      <c r="AQ198" s="142"/>
      <c r="AR198" s="109" t="s">
        <v>1840</v>
      </c>
      <c r="AS198" s="137">
        <v>43061.0</v>
      </c>
    </row>
    <row r="199" ht="14.25" customHeight="1">
      <c r="A199" s="188">
        <v>194.0</v>
      </c>
      <c r="B199" s="142" t="s">
        <v>3515</v>
      </c>
      <c r="C199" s="142" t="s">
        <v>3144</v>
      </c>
      <c r="D199" s="142" t="s">
        <v>1762</v>
      </c>
      <c r="E199" s="109" t="s">
        <v>82</v>
      </c>
      <c r="F199" s="109"/>
      <c r="G199" s="109" t="s">
        <v>16</v>
      </c>
      <c r="H199" s="109">
        <v>1.060517378E9</v>
      </c>
      <c r="I199" s="109">
        <v>42891.0</v>
      </c>
      <c r="J199" s="109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109"/>
      <c r="Y199" s="109"/>
      <c r="Z199" s="109">
        <v>42891.0</v>
      </c>
      <c r="AA199" s="109">
        <v>43073.0</v>
      </c>
      <c r="AB199" s="109"/>
      <c r="AC199" s="109" t="s">
        <v>394</v>
      </c>
      <c r="AD199" s="109">
        <v>34481.0</v>
      </c>
      <c r="AE199" s="109" t="s">
        <v>3516</v>
      </c>
      <c r="AF199" s="109" t="s">
        <v>3517</v>
      </c>
      <c r="AG199" s="109"/>
      <c r="AH199" s="109">
        <v>9.05976727E9</v>
      </c>
      <c r="AI199" s="109"/>
      <c r="AJ199" s="109" t="s">
        <v>975</v>
      </c>
      <c r="AK199" s="109" t="s">
        <v>3518</v>
      </c>
      <c r="AL199" s="109" t="s">
        <v>3519</v>
      </c>
      <c r="AM199" s="109" t="s">
        <v>3520</v>
      </c>
      <c r="AN199" s="109" t="s">
        <v>3521</v>
      </c>
      <c r="AO199" s="109"/>
      <c r="AP199" s="109"/>
      <c r="AQ199" s="142"/>
      <c r="AR199" s="109" t="s">
        <v>1241</v>
      </c>
      <c r="AS199" s="137">
        <v>43073.0</v>
      </c>
    </row>
    <row r="200" ht="14.25" customHeight="1">
      <c r="A200" s="188">
        <v>195.0</v>
      </c>
      <c r="B200" s="142" t="s">
        <v>3522</v>
      </c>
      <c r="C200" s="142" t="s">
        <v>3523</v>
      </c>
      <c r="D200" s="142" t="s">
        <v>3524</v>
      </c>
      <c r="E200" s="109" t="s">
        <v>82</v>
      </c>
      <c r="F200" s="109"/>
      <c r="G200" s="109" t="s">
        <v>16</v>
      </c>
      <c r="H200" s="109">
        <v>1.06281738E9</v>
      </c>
      <c r="I200" s="109">
        <v>42914.0</v>
      </c>
      <c r="J200" s="109"/>
      <c r="K200" s="109"/>
      <c r="L200" s="109"/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109"/>
      <c r="Y200" s="109"/>
      <c r="Z200" s="109">
        <v>42914.0</v>
      </c>
      <c r="AA200" s="109">
        <v>43096.0</v>
      </c>
      <c r="AB200" s="109"/>
      <c r="AC200" s="109" t="s">
        <v>394</v>
      </c>
      <c r="AD200" s="109">
        <v>36112.0</v>
      </c>
      <c r="AE200" s="109" t="s">
        <v>3525</v>
      </c>
      <c r="AF200" s="109" t="s">
        <v>3526</v>
      </c>
      <c r="AG200" s="109"/>
      <c r="AH200" s="109">
        <v>9.305937983E9</v>
      </c>
      <c r="AI200" s="109"/>
      <c r="AJ200" s="109" t="s">
        <v>3333</v>
      </c>
      <c r="AK200" s="109" t="s">
        <v>3527</v>
      </c>
      <c r="AL200" s="109" t="s">
        <v>3528</v>
      </c>
      <c r="AM200" s="205" t="s">
        <v>3529</v>
      </c>
      <c r="AN200" s="109" t="s">
        <v>3530</v>
      </c>
      <c r="AO200" s="109"/>
      <c r="AP200" s="109"/>
      <c r="AQ200" s="142"/>
      <c r="AR200" s="109" t="s">
        <v>1241</v>
      </c>
      <c r="AS200" s="137">
        <v>43096.0</v>
      </c>
    </row>
    <row r="201" ht="14.25" customHeight="1">
      <c r="A201" s="188">
        <v>196.0</v>
      </c>
      <c r="B201" s="142" t="s">
        <v>3531</v>
      </c>
      <c r="C201" s="142" t="s">
        <v>533</v>
      </c>
      <c r="D201" s="142" t="s">
        <v>3532</v>
      </c>
      <c r="E201" s="109" t="s">
        <v>717</v>
      </c>
      <c r="F201" s="109"/>
      <c r="G201" s="109" t="s">
        <v>57</v>
      </c>
      <c r="H201" s="109">
        <v>1.070415242E9</v>
      </c>
      <c r="I201" s="109">
        <v>42203.0</v>
      </c>
      <c r="J201" s="109">
        <v>42189.0</v>
      </c>
      <c r="K201" s="109">
        <v>42203.0</v>
      </c>
      <c r="L201" s="109"/>
      <c r="M201" s="109"/>
      <c r="N201" s="109"/>
      <c r="O201" s="109"/>
      <c r="P201" s="109">
        <v>42203.0</v>
      </c>
      <c r="Q201" s="109">
        <v>42356.0</v>
      </c>
      <c r="R201" s="109"/>
      <c r="S201" s="109"/>
      <c r="T201" s="109"/>
      <c r="U201" s="109"/>
      <c r="V201" s="109">
        <v>42357.0</v>
      </c>
      <c r="W201" s="109">
        <v>42723.0</v>
      </c>
      <c r="X201" s="109">
        <v>42724.0</v>
      </c>
      <c r="Y201" s="109">
        <v>43453.0</v>
      </c>
      <c r="Z201" s="109"/>
      <c r="AA201" s="109"/>
      <c r="AB201" s="109"/>
      <c r="AC201" s="109">
        <v>42828.0</v>
      </c>
      <c r="AD201" s="109" t="s">
        <v>394</v>
      </c>
      <c r="AE201" s="109">
        <v>34683.0</v>
      </c>
      <c r="AF201" s="109" t="s">
        <v>3533</v>
      </c>
      <c r="AG201" s="109"/>
      <c r="AH201" s="109" t="s">
        <v>3534</v>
      </c>
      <c r="AI201" s="109"/>
      <c r="AJ201" s="109">
        <v>9.364245696E9</v>
      </c>
      <c r="AK201" s="109" t="s">
        <v>1884</v>
      </c>
      <c r="AL201" s="109" t="s">
        <v>3535</v>
      </c>
      <c r="AM201" s="109" t="s">
        <v>3536</v>
      </c>
      <c r="AN201" s="109" t="s">
        <v>3537</v>
      </c>
      <c r="AO201" s="109"/>
      <c r="AP201" s="109"/>
      <c r="AQ201" s="142"/>
      <c r="AR201" s="109" t="s">
        <v>1840</v>
      </c>
      <c r="AS201" s="137">
        <v>43094.0</v>
      </c>
    </row>
    <row r="202" ht="14.25" customHeight="1">
      <c r="A202" s="188">
        <v>197.0</v>
      </c>
      <c r="B202" s="142" t="s">
        <v>3538</v>
      </c>
      <c r="C202" s="142" t="s">
        <v>3539</v>
      </c>
      <c r="D202" s="142" t="s">
        <v>3540</v>
      </c>
      <c r="E202" s="109" t="s">
        <v>2047</v>
      </c>
      <c r="F202" s="109"/>
      <c r="G202" s="109" t="s">
        <v>16</v>
      </c>
      <c r="H202" s="109">
        <v>1.112317405E9</v>
      </c>
      <c r="I202" s="109">
        <v>43062.0</v>
      </c>
      <c r="J202" s="109"/>
      <c r="K202" s="109"/>
      <c r="L202" s="109"/>
      <c r="M202" s="109"/>
      <c r="N202" s="109"/>
      <c r="O202" s="109"/>
      <c r="P202" s="109"/>
      <c r="Q202" s="109"/>
      <c r="R202" s="109"/>
      <c r="S202" s="109"/>
      <c r="T202" s="109"/>
      <c r="U202" s="109"/>
      <c r="V202" s="109"/>
      <c r="W202" s="109"/>
      <c r="X202" s="109"/>
      <c r="Y202" s="109"/>
      <c r="Z202" s="109">
        <v>43062.0</v>
      </c>
      <c r="AA202" s="109">
        <v>43242.0</v>
      </c>
      <c r="AB202" s="109"/>
      <c r="AC202" s="109" t="s">
        <v>394</v>
      </c>
      <c r="AD202" s="109">
        <v>35355.0</v>
      </c>
      <c r="AE202" s="109" t="s">
        <v>3541</v>
      </c>
      <c r="AF202" s="109" t="s">
        <v>3542</v>
      </c>
      <c r="AG202" s="109"/>
      <c r="AH202" s="109" t="s">
        <v>3543</v>
      </c>
      <c r="AI202" s="109"/>
      <c r="AJ202" s="109" t="s">
        <v>3544</v>
      </c>
      <c r="AK202" s="109" t="s">
        <v>3545</v>
      </c>
      <c r="AL202" s="109" t="s">
        <v>3546</v>
      </c>
      <c r="AM202" s="109" t="s">
        <v>3547</v>
      </c>
      <c r="AN202" s="109" t="s">
        <v>3548</v>
      </c>
      <c r="AO202" s="109"/>
      <c r="AP202" s="109"/>
      <c r="AQ202" s="142"/>
      <c r="AR202" s="109" t="s">
        <v>1840</v>
      </c>
      <c r="AS202" s="137">
        <v>43094.0</v>
      </c>
    </row>
    <row r="203" ht="14.25" customHeight="1">
      <c r="A203" s="188">
        <v>198.0</v>
      </c>
      <c r="B203" s="142" t="s">
        <v>3549</v>
      </c>
      <c r="C203" s="142" t="s">
        <v>3550</v>
      </c>
      <c r="D203" s="142" t="s">
        <v>638</v>
      </c>
      <c r="E203" s="109" t="s">
        <v>577</v>
      </c>
      <c r="F203" s="109"/>
      <c r="G203" s="109" t="s">
        <v>57</v>
      </c>
      <c r="H203" s="109">
        <v>1.030717361E9</v>
      </c>
      <c r="I203" s="109">
        <v>42815.0</v>
      </c>
      <c r="J203" s="109">
        <v>42801.0</v>
      </c>
      <c r="K203" s="109">
        <v>42814.0</v>
      </c>
      <c r="L203" s="109"/>
      <c r="M203" s="109"/>
      <c r="N203" s="109"/>
      <c r="O203" s="109"/>
      <c r="P203" s="109">
        <v>42815.0</v>
      </c>
      <c r="Q203" s="109">
        <v>42967.0</v>
      </c>
      <c r="R203" s="109"/>
      <c r="S203" s="109"/>
      <c r="T203" s="109"/>
      <c r="U203" s="109"/>
      <c r="V203" s="109"/>
      <c r="W203" s="109"/>
      <c r="X203" s="109"/>
      <c r="Y203" s="109"/>
      <c r="Z203" s="109">
        <v>42815.0</v>
      </c>
      <c r="AA203" s="109">
        <v>42998.0</v>
      </c>
      <c r="AB203" s="109"/>
      <c r="AC203" s="109" t="s">
        <v>394</v>
      </c>
      <c r="AD203" s="109">
        <v>33318.0</v>
      </c>
      <c r="AE203" s="109" t="s">
        <v>3551</v>
      </c>
      <c r="AF203" s="109" t="s">
        <v>3552</v>
      </c>
      <c r="AG203" s="109"/>
      <c r="AH203" s="109">
        <v>9.194798664E9</v>
      </c>
      <c r="AI203" s="109"/>
      <c r="AJ203" s="109" t="s">
        <v>3553</v>
      </c>
      <c r="AK203" s="109" t="s">
        <v>3554</v>
      </c>
      <c r="AL203" s="109" t="s">
        <v>3555</v>
      </c>
      <c r="AM203" s="109" t="s">
        <v>3556</v>
      </c>
      <c r="AN203" s="109" t="s">
        <v>3557</v>
      </c>
      <c r="AO203" s="109"/>
      <c r="AP203" s="109"/>
      <c r="AQ203" s="142"/>
      <c r="AR203" s="109" t="s">
        <v>1840</v>
      </c>
      <c r="AS203" s="137">
        <v>43100.0</v>
      </c>
    </row>
    <row r="204" ht="14.25" customHeight="1">
      <c r="A204" s="188">
        <v>199.0</v>
      </c>
      <c r="B204" s="142" t="s">
        <v>2319</v>
      </c>
      <c r="C204" s="142" t="s">
        <v>75</v>
      </c>
      <c r="D204" s="142" t="s">
        <v>3558</v>
      </c>
      <c r="E204" s="109" t="s">
        <v>717</v>
      </c>
      <c r="F204" s="109"/>
      <c r="G204" s="109" t="s">
        <v>16</v>
      </c>
      <c r="H204" s="109">
        <v>1.071217387E9</v>
      </c>
      <c r="I204" s="109">
        <v>42928.0</v>
      </c>
      <c r="J204" s="109"/>
      <c r="K204" s="109"/>
      <c r="L204" s="109"/>
      <c r="M204" s="109"/>
      <c r="N204" s="109"/>
      <c r="O204" s="109"/>
      <c r="P204" s="109"/>
      <c r="Q204" s="109"/>
      <c r="R204" s="109"/>
      <c r="S204" s="109"/>
      <c r="T204" s="109"/>
      <c r="U204" s="109"/>
      <c r="V204" s="109"/>
      <c r="W204" s="109"/>
      <c r="X204" s="109"/>
      <c r="Y204" s="109"/>
      <c r="Z204" s="109">
        <v>42928.0</v>
      </c>
      <c r="AA204" s="109">
        <v>43111.0</v>
      </c>
      <c r="AB204" s="109"/>
      <c r="AC204" s="109" t="s">
        <v>394</v>
      </c>
      <c r="AD204" s="109">
        <v>35190.0</v>
      </c>
      <c r="AE204" s="109" t="s">
        <v>3559</v>
      </c>
      <c r="AF204" s="109" t="s">
        <v>3560</v>
      </c>
      <c r="AG204" s="109"/>
      <c r="AH204" s="109" t="s">
        <v>3561</v>
      </c>
      <c r="AI204" s="109"/>
      <c r="AJ204" s="109" t="s">
        <v>3562</v>
      </c>
      <c r="AK204" s="109" t="s">
        <v>3563</v>
      </c>
      <c r="AL204" s="109" t="s">
        <v>3564</v>
      </c>
      <c r="AM204" s="109" t="s">
        <v>3565</v>
      </c>
      <c r="AN204" s="109" t="s">
        <v>3566</v>
      </c>
      <c r="AO204" s="109"/>
      <c r="AP204" s="109"/>
      <c r="AQ204" s="142"/>
      <c r="AR204" s="109" t="s">
        <v>1241</v>
      </c>
      <c r="AS204" s="137">
        <v>43111.0</v>
      </c>
    </row>
    <row r="205" ht="14.25" customHeight="1">
      <c r="A205" s="188">
        <v>200.0</v>
      </c>
      <c r="B205" s="142" t="s">
        <v>3567</v>
      </c>
      <c r="C205" s="142" t="s">
        <v>3568</v>
      </c>
      <c r="D205" s="142" t="s">
        <v>3569</v>
      </c>
      <c r="E205" s="109" t="s">
        <v>82</v>
      </c>
      <c r="F205" s="109"/>
      <c r="G205" s="109" t="s">
        <v>16</v>
      </c>
      <c r="H205" s="109">
        <v>1.071217385E9</v>
      </c>
      <c r="I205" s="109">
        <v>42928.0</v>
      </c>
      <c r="J205" s="109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109"/>
      <c r="Y205" s="109"/>
      <c r="Z205" s="109">
        <v>42928.0</v>
      </c>
      <c r="AA205" s="109">
        <v>43111.0</v>
      </c>
      <c r="AB205" s="109"/>
      <c r="AC205" s="109" t="s">
        <v>394</v>
      </c>
      <c r="AD205" s="109">
        <v>33925.0</v>
      </c>
      <c r="AE205" s="109" t="s">
        <v>3570</v>
      </c>
      <c r="AF205" s="109" t="s">
        <v>3571</v>
      </c>
      <c r="AG205" s="109"/>
      <c r="AH205" s="109">
        <v>9.467638208E9</v>
      </c>
      <c r="AI205" s="109"/>
      <c r="AJ205" s="109" t="s">
        <v>3572</v>
      </c>
      <c r="AK205" s="109" t="s">
        <v>3573</v>
      </c>
      <c r="AL205" s="109" t="s">
        <v>3574</v>
      </c>
      <c r="AM205" s="109" t="s">
        <v>3575</v>
      </c>
      <c r="AN205" s="109" t="s">
        <v>3576</v>
      </c>
      <c r="AO205" s="109"/>
      <c r="AP205" s="109"/>
      <c r="AQ205" s="142"/>
      <c r="AR205" s="109" t="s">
        <v>1241</v>
      </c>
      <c r="AS205" s="137">
        <v>43111.0</v>
      </c>
    </row>
    <row r="206" ht="14.25" customHeight="1">
      <c r="A206" s="188">
        <v>201.0</v>
      </c>
      <c r="B206" s="142" t="s">
        <v>3577</v>
      </c>
      <c r="C206" s="142" t="s">
        <v>3578</v>
      </c>
      <c r="D206" s="142" t="s">
        <v>3579</v>
      </c>
      <c r="E206" s="109" t="s">
        <v>82</v>
      </c>
      <c r="F206" s="109"/>
      <c r="G206" s="109" t="s">
        <v>16</v>
      </c>
      <c r="H206" s="109">
        <v>1.071217382E9</v>
      </c>
      <c r="I206" s="109">
        <v>42928.0</v>
      </c>
      <c r="J206" s="109"/>
      <c r="K206" s="109"/>
      <c r="L206" s="109"/>
      <c r="M206" s="109"/>
      <c r="N206" s="109"/>
      <c r="O206" s="109"/>
      <c r="P206" s="109"/>
      <c r="Q206" s="109"/>
      <c r="R206" s="109"/>
      <c r="S206" s="109"/>
      <c r="T206" s="109"/>
      <c r="U206" s="109"/>
      <c r="V206" s="109"/>
      <c r="W206" s="109"/>
      <c r="X206" s="109"/>
      <c r="Y206" s="109"/>
      <c r="Z206" s="109">
        <v>42928.0</v>
      </c>
      <c r="AA206" s="109">
        <v>43111.0</v>
      </c>
      <c r="AB206" s="109"/>
      <c r="AC206" s="109" t="s">
        <v>394</v>
      </c>
      <c r="AD206" s="109">
        <v>35282.0</v>
      </c>
      <c r="AE206" s="109" t="s">
        <v>3580</v>
      </c>
      <c r="AF206" s="109" t="s">
        <v>3581</v>
      </c>
      <c r="AG206" s="109"/>
      <c r="AH206" s="205" t="s">
        <v>3582</v>
      </c>
      <c r="AI206" s="109"/>
      <c r="AJ206" s="109" t="s">
        <v>3583</v>
      </c>
      <c r="AK206" s="109" t="s">
        <v>3584</v>
      </c>
      <c r="AL206" s="109" t="s">
        <v>3585</v>
      </c>
      <c r="AM206" s="109" t="s">
        <v>3586</v>
      </c>
      <c r="AN206" s="109" t="s">
        <v>3587</v>
      </c>
      <c r="AO206" s="109"/>
      <c r="AP206" s="109"/>
      <c r="AQ206" s="142"/>
      <c r="AR206" s="109" t="s">
        <v>1241</v>
      </c>
      <c r="AS206" s="137">
        <v>43111.0</v>
      </c>
    </row>
    <row r="207" ht="14.25" customHeight="1">
      <c r="A207" s="188">
        <v>202.0</v>
      </c>
      <c r="B207" s="142" t="s">
        <v>3588</v>
      </c>
      <c r="C207" s="142" t="s">
        <v>3589</v>
      </c>
      <c r="D207" s="142" t="s">
        <v>3590</v>
      </c>
      <c r="E207" s="109" t="s">
        <v>82</v>
      </c>
      <c r="F207" s="109"/>
      <c r="G207" s="109" t="s">
        <v>16</v>
      </c>
      <c r="H207" s="109">
        <v>1.071217384E9</v>
      </c>
      <c r="I207" s="109">
        <v>42928.0</v>
      </c>
      <c r="J207" s="109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109"/>
      <c r="Y207" s="109"/>
      <c r="Z207" s="109">
        <v>42928.0</v>
      </c>
      <c r="AA207" s="109">
        <v>43111.0</v>
      </c>
      <c r="AB207" s="109"/>
      <c r="AC207" s="109" t="s">
        <v>3157</v>
      </c>
      <c r="AD207" s="109">
        <v>35868.0</v>
      </c>
      <c r="AE207" s="109" t="s">
        <v>2706</v>
      </c>
      <c r="AF207" s="109" t="s">
        <v>3591</v>
      </c>
      <c r="AG207" s="109"/>
      <c r="AH207" s="109">
        <v>9.093341792E9</v>
      </c>
      <c r="AI207" s="109"/>
      <c r="AJ207" s="109" t="s">
        <v>3572</v>
      </c>
      <c r="AK207" s="109" t="s">
        <v>3592</v>
      </c>
      <c r="AL207" s="109" t="s">
        <v>3593</v>
      </c>
      <c r="AM207" s="205" t="s">
        <v>3594</v>
      </c>
      <c r="AN207" s="109" t="s">
        <v>3595</v>
      </c>
      <c r="AO207" s="109"/>
      <c r="AP207" s="109"/>
      <c r="AQ207" s="142"/>
      <c r="AR207" s="109" t="s">
        <v>1241</v>
      </c>
      <c r="AS207" s="137">
        <v>43111.0</v>
      </c>
    </row>
    <row r="208" ht="14.25" customHeight="1">
      <c r="A208" s="188">
        <v>203.0</v>
      </c>
      <c r="B208" s="142" t="s">
        <v>3596</v>
      </c>
      <c r="C208" s="142" t="s">
        <v>3597</v>
      </c>
      <c r="D208" s="142" t="s">
        <v>3598</v>
      </c>
      <c r="E208" s="109" t="s">
        <v>82</v>
      </c>
      <c r="F208" s="109"/>
      <c r="G208" s="109" t="s">
        <v>16</v>
      </c>
      <c r="H208" s="109">
        <v>1.071417383E9</v>
      </c>
      <c r="I208" s="109">
        <v>42930.0</v>
      </c>
      <c r="J208" s="109"/>
      <c r="K208" s="109"/>
      <c r="L208" s="109"/>
      <c r="M208" s="109"/>
      <c r="N208" s="109"/>
      <c r="O208" s="109"/>
      <c r="P208" s="109"/>
      <c r="Q208" s="109"/>
      <c r="R208" s="109"/>
      <c r="S208" s="109"/>
      <c r="T208" s="109"/>
      <c r="U208" s="109"/>
      <c r="V208" s="109"/>
      <c r="W208" s="109"/>
      <c r="X208" s="109"/>
      <c r="Y208" s="109"/>
      <c r="Z208" s="109">
        <v>42930.0</v>
      </c>
      <c r="AA208" s="109">
        <v>43113.0</v>
      </c>
      <c r="AB208" s="109"/>
      <c r="AC208" s="109" t="s">
        <v>394</v>
      </c>
      <c r="AD208" s="109">
        <v>34892.0</v>
      </c>
      <c r="AE208" s="109" t="s">
        <v>3599</v>
      </c>
      <c r="AF208" s="109" t="s">
        <v>3600</v>
      </c>
      <c r="AG208" s="109"/>
      <c r="AH208" s="109">
        <v>9.155325959E9</v>
      </c>
      <c r="AI208" s="109"/>
      <c r="AJ208" s="109" t="s">
        <v>3601</v>
      </c>
      <c r="AK208" s="109" t="s">
        <v>3602</v>
      </c>
      <c r="AL208" s="109" t="s">
        <v>3603</v>
      </c>
      <c r="AM208" s="205" t="s">
        <v>3604</v>
      </c>
      <c r="AN208" s="109" t="s">
        <v>3605</v>
      </c>
      <c r="AO208" s="109"/>
      <c r="AP208" s="109"/>
      <c r="AQ208" s="142"/>
      <c r="AR208" s="109" t="s">
        <v>1241</v>
      </c>
      <c r="AS208" s="137">
        <v>43113.0</v>
      </c>
    </row>
    <row r="209" ht="14.25" customHeight="1">
      <c r="A209" s="188">
        <v>204.0</v>
      </c>
      <c r="B209" s="142" t="s">
        <v>3606</v>
      </c>
      <c r="C209" s="142" t="s">
        <v>3607</v>
      </c>
      <c r="D209" s="142" t="s">
        <v>3608</v>
      </c>
      <c r="E209" s="109" t="s">
        <v>3609</v>
      </c>
      <c r="F209" s="109"/>
      <c r="G209" s="109" t="s">
        <v>57</v>
      </c>
      <c r="H209" s="109">
        <v>1.030507015E9</v>
      </c>
      <c r="I209" s="109">
        <v>39146.0</v>
      </c>
      <c r="J209" s="109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109"/>
      <c r="Y209" s="109"/>
      <c r="Z209" s="109">
        <v>39146.0</v>
      </c>
      <c r="AA209" s="109">
        <v>39330.0</v>
      </c>
      <c r="AB209" s="109"/>
      <c r="AC209" s="109" t="s">
        <v>2919</v>
      </c>
      <c r="AD209" s="109">
        <v>28414.0</v>
      </c>
      <c r="AE209" s="109" t="s">
        <v>3610</v>
      </c>
      <c r="AF209" s="109"/>
      <c r="AG209" s="109"/>
      <c r="AH209" s="109">
        <v>9.228388509E9</v>
      </c>
      <c r="AI209" s="109"/>
      <c r="AJ209" s="109" t="s">
        <v>3611</v>
      </c>
      <c r="AK209" s="109" t="s">
        <v>3612</v>
      </c>
      <c r="AL209" s="109" t="s">
        <v>3613</v>
      </c>
      <c r="AM209" s="109" t="s">
        <v>3614</v>
      </c>
      <c r="AN209" s="109" t="s">
        <v>3615</v>
      </c>
      <c r="AO209" s="109"/>
      <c r="AP209" s="109" t="s">
        <v>3616</v>
      </c>
      <c r="AQ209" s="142"/>
      <c r="AR209" s="109" t="s">
        <v>3617</v>
      </c>
      <c r="AS209" s="137">
        <v>43131.0</v>
      </c>
    </row>
    <row r="210" ht="14.25" customHeight="1">
      <c r="A210" s="188">
        <v>205.0</v>
      </c>
      <c r="B210" s="142" t="s">
        <v>3182</v>
      </c>
      <c r="C210" s="142" t="s">
        <v>3183</v>
      </c>
      <c r="D210" s="142" t="s">
        <v>3184</v>
      </c>
      <c r="E210" s="109" t="s">
        <v>577</v>
      </c>
      <c r="F210" s="109"/>
      <c r="G210" s="109" t="s">
        <v>16</v>
      </c>
      <c r="H210" s="109">
        <v>1.01091726E9</v>
      </c>
      <c r="I210" s="109">
        <v>43109.0</v>
      </c>
      <c r="J210" s="109"/>
      <c r="K210" s="109"/>
      <c r="L210" s="109"/>
      <c r="M210" s="109"/>
      <c r="N210" s="109"/>
      <c r="O210" s="109"/>
      <c r="P210" s="109"/>
      <c r="Q210" s="109"/>
      <c r="R210" s="109"/>
      <c r="S210" s="109"/>
      <c r="T210" s="109"/>
      <c r="U210" s="109"/>
      <c r="V210" s="109"/>
      <c r="W210" s="109"/>
      <c r="X210" s="109"/>
      <c r="Y210" s="109"/>
      <c r="Z210" s="109">
        <v>43109.0</v>
      </c>
      <c r="AA210" s="109">
        <v>43289.0</v>
      </c>
      <c r="AB210" s="109"/>
      <c r="AC210" s="109" t="s">
        <v>394</v>
      </c>
      <c r="AD210" s="109">
        <v>34369.0</v>
      </c>
      <c r="AE210" s="109" t="s">
        <v>3618</v>
      </c>
      <c r="AF210" s="109"/>
      <c r="AG210" s="109"/>
      <c r="AH210" s="109">
        <v>9.05454747E9</v>
      </c>
      <c r="AI210" s="109"/>
      <c r="AJ210" s="109" t="s">
        <v>3619</v>
      </c>
      <c r="AK210" s="109" t="s">
        <v>3187</v>
      </c>
      <c r="AL210" s="109" t="s">
        <v>3188</v>
      </c>
      <c r="AM210" s="109" t="s">
        <v>3189</v>
      </c>
      <c r="AN210" s="109" t="s">
        <v>3620</v>
      </c>
      <c r="AO210" s="109"/>
      <c r="AP210" s="109"/>
      <c r="AQ210" s="142"/>
      <c r="AR210" s="109" t="s">
        <v>3617</v>
      </c>
      <c r="AS210" s="137">
        <v>43126.0</v>
      </c>
    </row>
    <row r="211" ht="14.25" customHeight="1">
      <c r="A211" s="188">
        <v>206.0</v>
      </c>
      <c r="B211" s="142" t="s">
        <v>3621</v>
      </c>
      <c r="C211" s="142" t="s">
        <v>637</v>
      </c>
      <c r="D211" s="142" t="s">
        <v>3622</v>
      </c>
      <c r="E211" s="109" t="s">
        <v>2047</v>
      </c>
      <c r="F211" s="109"/>
      <c r="G211" s="109" t="s">
        <v>16</v>
      </c>
      <c r="H211" s="109">
        <v>1.080417386E9</v>
      </c>
      <c r="I211" s="109">
        <v>42951.0</v>
      </c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>
        <v>42951.0</v>
      </c>
      <c r="AA211" s="109">
        <v>43134.0</v>
      </c>
      <c r="AB211" s="109"/>
      <c r="AC211" s="109" t="s">
        <v>394</v>
      </c>
      <c r="AD211" s="109">
        <v>35338.0</v>
      </c>
      <c r="AE211" s="109" t="s">
        <v>3623</v>
      </c>
      <c r="AF211" s="109" t="s">
        <v>3624</v>
      </c>
      <c r="AG211" s="109"/>
      <c r="AH211" s="109">
        <v>9.262848907E9</v>
      </c>
      <c r="AI211" s="109"/>
      <c r="AJ211" s="109" t="s">
        <v>3625</v>
      </c>
      <c r="AK211" s="109" t="s">
        <v>3626</v>
      </c>
      <c r="AL211" s="109" t="s">
        <v>3627</v>
      </c>
      <c r="AM211" s="109" t="s">
        <v>3628</v>
      </c>
      <c r="AN211" s="109" t="s">
        <v>3629</v>
      </c>
      <c r="AO211" s="109"/>
      <c r="AP211" s="109"/>
      <c r="AQ211" s="142"/>
      <c r="AR211" s="109" t="s">
        <v>1241</v>
      </c>
      <c r="AS211" s="137">
        <v>43134.0</v>
      </c>
    </row>
    <row r="212" ht="14.25" customHeight="1">
      <c r="A212" s="188">
        <v>207.0</v>
      </c>
      <c r="B212" s="142" t="s">
        <v>3630</v>
      </c>
      <c r="C212" s="142" t="s">
        <v>3459</v>
      </c>
      <c r="D212" s="142" t="s">
        <v>3631</v>
      </c>
      <c r="E212" s="109" t="s">
        <v>1831</v>
      </c>
      <c r="F212" s="109"/>
      <c r="G212" s="109" t="s">
        <v>57</v>
      </c>
      <c r="H212" s="109">
        <v>1.011713161E9</v>
      </c>
      <c r="I212" s="109">
        <v>41410.0</v>
      </c>
      <c r="J212" s="109">
        <v>41291.0</v>
      </c>
      <c r="K212" s="109">
        <v>41381.0</v>
      </c>
      <c r="L212" s="109"/>
      <c r="M212" s="109"/>
      <c r="N212" s="109"/>
      <c r="O212" s="109"/>
      <c r="P212" s="109">
        <v>41410.0</v>
      </c>
      <c r="Q212" s="109">
        <v>41563.0</v>
      </c>
      <c r="R212" s="109"/>
      <c r="S212" s="109"/>
      <c r="T212" s="109"/>
      <c r="U212" s="109"/>
      <c r="V212" s="109">
        <v>41579.0</v>
      </c>
      <c r="W212" s="109">
        <v>42309.0</v>
      </c>
      <c r="X212" s="109">
        <v>42310.0</v>
      </c>
      <c r="Y212" s="109">
        <v>42676.0</v>
      </c>
      <c r="Z212" s="109">
        <v>42677.0</v>
      </c>
      <c r="AA212" s="109">
        <v>43406.0</v>
      </c>
      <c r="AB212" s="109"/>
      <c r="AC212" s="109" t="s">
        <v>394</v>
      </c>
      <c r="AD212" s="109">
        <v>33790.0</v>
      </c>
      <c r="AE212" s="109" t="s">
        <v>3632</v>
      </c>
      <c r="AF212" s="109" t="s">
        <v>3633</v>
      </c>
      <c r="AG212" s="109"/>
      <c r="AH212" s="109">
        <v>9.482741634E9</v>
      </c>
      <c r="AI212" s="109"/>
      <c r="AJ212" s="109" t="s">
        <v>3634</v>
      </c>
      <c r="AK212" s="109" t="s">
        <v>3635</v>
      </c>
      <c r="AL212" s="109" t="s">
        <v>3636</v>
      </c>
      <c r="AM212" s="109" t="s">
        <v>3637</v>
      </c>
      <c r="AN212" s="109" t="s">
        <v>3638</v>
      </c>
      <c r="AO212" s="109"/>
      <c r="AP212" s="109"/>
      <c r="AQ212" s="142"/>
      <c r="AR212" s="109" t="s">
        <v>3617</v>
      </c>
      <c r="AS212" s="137">
        <v>43136.0</v>
      </c>
    </row>
    <row r="213" ht="14.25" customHeight="1">
      <c r="A213" s="188">
        <v>208.0</v>
      </c>
      <c r="B213" s="142" t="s">
        <v>3639</v>
      </c>
      <c r="C213" s="142" t="s">
        <v>3640</v>
      </c>
      <c r="D213" s="142" t="s">
        <v>2418</v>
      </c>
      <c r="E213" s="109" t="s">
        <v>3391</v>
      </c>
      <c r="F213" s="109"/>
      <c r="G213" s="109" t="s">
        <v>16</v>
      </c>
      <c r="H213" s="109">
        <v>1.080817389E9</v>
      </c>
      <c r="I213" s="109">
        <v>42955.0</v>
      </c>
      <c r="J213" s="109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109"/>
      <c r="Y213" s="109"/>
      <c r="Z213" s="109">
        <v>42955.0</v>
      </c>
      <c r="AA213" s="109">
        <v>43138.0</v>
      </c>
      <c r="AB213" s="109"/>
      <c r="AC213" s="109" t="s">
        <v>394</v>
      </c>
      <c r="AD213" s="109">
        <v>36102.0</v>
      </c>
      <c r="AE213" s="109" t="s">
        <v>3641</v>
      </c>
      <c r="AF213" s="109" t="s">
        <v>3642</v>
      </c>
      <c r="AG213" s="109"/>
      <c r="AH213" s="109">
        <v>9.262013826E9</v>
      </c>
      <c r="AI213" s="109"/>
      <c r="AJ213" s="109" t="s">
        <v>3643</v>
      </c>
      <c r="AK213" s="109" t="s">
        <v>3644</v>
      </c>
      <c r="AL213" s="109" t="s">
        <v>3645</v>
      </c>
      <c r="AM213" s="109" t="s">
        <v>3646</v>
      </c>
      <c r="AN213" s="109" t="s">
        <v>3647</v>
      </c>
      <c r="AO213" s="109"/>
      <c r="AP213" s="109"/>
      <c r="AQ213" s="142"/>
      <c r="AR213" s="109" t="s">
        <v>1241</v>
      </c>
      <c r="AS213" s="137">
        <v>43138.0</v>
      </c>
    </row>
    <row r="214" ht="14.25" customHeight="1">
      <c r="A214" s="188">
        <v>209.0</v>
      </c>
      <c r="B214" s="142" t="s">
        <v>3648</v>
      </c>
      <c r="C214" s="142" t="s">
        <v>75</v>
      </c>
      <c r="D214" s="142" t="s">
        <v>3649</v>
      </c>
      <c r="E214" s="109" t="s">
        <v>561</v>
      </c>
      <c r="F214" s="109"/>
      <c r="G214" s="109" t="s">
        <v>57</v>
      </c>
      <c r="H214" s="109">
        <v>1.090111047E9</v>
      </c>
      <c r="I214" s="109">
        <v>40787.0</v>
      </c>
      <c r="J214" s="109"/>
      <c r="K214" s="109"/>
      <c r="L214" s="109"/>
      <c r="M214" s="109"/>
      <c r="N214" s="109"/>
      <c r="O214" s="109"/>
      <c r="P214" s="109"/>
      <c r="Q214" s="109"/>
      <c r="R214" s="109"/>
      <c r="S214" s="109"/>
      <c r="T214" s="109"/>
      <c r="U214" s="109"/>
      <c r="V214" s="109"/>
      <c r="W214" s="109"/>
      <c r="X214" s="109"/>
      <c r="Y214" s="109"/>
      <c r="Z214" s="109">
        <v>40787.0</v>
      </c>
      <c r="AA214" s="109">
        <v>40603.0</v>
      </c>
      <c r="AB214" s="109"/>
      <c r="AC214" s="109" t="s">
        <v>217</v>
      </c>
      <c r="AD214" s="109">
        <v>30712.0</v>
      </c>
      <c r="AE214" s="109" t="s">
        <v>3650</v>
      </c>
      <c r="AF214" s="109"/>
      <c r="AG214" s="109"/>
      <c r="AH214" s="109">
        <v>9.472175775E9</v>
      </c>
      <c r="AI214" s="109"/>
      <c r="AJ214" s="109" t="s">
        <v>3651</v>
      </c>
      <c r="AK214" s="109" t="s">
        <v>3652</v>
      </c>
      <c r="AL214" s="109" t="s">
        <v>3653</v>
      </c>
      <c r="AM214" s="109" t="s">
        <v>3654</v>
      </c>
      <c r="AN214" s="109" t="s">
        <v>3655</v>
      </c>
      <c r="AO214" s="109"/>
      <c r="AP214" s="109" t="s">
        <v>3656</v>
      </c>
      <c r="AQ214" s="142"/>
      <c r="AR214" s="109" t="s">
        <v>3617</v>
      </c>
      <c r="AS214" s="137">
        <v>43138.0</v>
      </c>
    </row>
    <row r="215" ht="14.25" customHeight="1">
      <c r="A215" s="188">
        <v>210.0</v>
      </c>
      <c r="B215" s="142" t="s">
        <v>3657</v>
      </c>
      <c r="C215" s="142" t="s">
        <v>1842</v>
      </c>
      <c r="D215" s="142" t="s">
        <v>1689</v>
      </c>
      <c r="E215" s="109" t="s">
        <v>717</v>
      </c>
      <c r="F215" s="109"/>
      <c r="G215" s="109" t="s">
        <v>16</v>
      </c>
      <c r="H215" s="109">
        <v>1.120317406E9</v>
      </c>
      <c r="I215" s="109">
        <v>43072.0</v>
      </c>
      <c r="J215" s="109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109"/>
      <c r="Y215" s="109"/>
      <c r="Z215" s="109">
        <v>43072.0</v>
      </c>
      <c r="AA215" s="109">
        <v>43253.0</v>
      </c>
      <c r="AB215" s="109"/>
      <c r="AC215" s="109" t="s">
        <v>394</v>
      </c>
      <c r="AD215" s="109">
        <v>34826.0</v>
      </c>
      <c r="AE215" s="109" t="s">
        <v>3658</v>
      </c>
      <c r="AF215" s="109" t="s">
        <v>3659</v>
      </c>
      <c r="AG215" s="109"/>
      <c r="AH215" s="109">
        <v>9.265045902E9</v>
      </c>
      <c r="AI215" s="109"/>
      <c r="AJ215" s="109" t="s">
        <v>3660</v>
      </c>
      <c r="AK215" s="109" t="s">
        <v>3661</v>
      </c>
      <c r="AL215" s="109" t="s">
        <v>3662</v>
      </c>
      <c r="AM215" s="109" t="s">
        <v>3663</v>
      </c>
      <c r="AN215" s="205" t="s">
        <v>3664</v>
      </c>
      <c r="AO215" s="109"/>
      <c r="AP215" s="109"/>
      <c r="AQ215" s="142"/>
      <c r="AR215" s="109" t="s">
        <v>983</v>
      </c>
      <c r="AS215" s="137">
        <v>43141.0</v>
      </c>
    </row>
    <row r="216" ht="14.25" customHeight="1">
      <c r="A216" s="188">
        <v>211.0</v>
      </c>
      <c r="B216" s="142" t="s">
        <v>3665</v>
      </c>
      <c r="C216" s="142" t="s">
        <v>3666</v>
      </c>
      <c r="D216" s="142" t="s">
        <v>3667</v>
      </c>
      <c r="E216" s="109" t="s">
        <v>133</v>
      </c>
      <c r="F216" s="109"/>
      <c r="G216" s="109" t="s">
        <v>57</v>
      </c>
      <c r="H216" s="109">
        <v>1.032610029E9</v>
      </c>
      <c r="I216" s="109">
        <v>39722.0</v>
      </c>
      <c r="J216" s="109">
        <v>39582.0</v>
      </c>
      <c r="K216" s="109">
        <v>39766.0</v>
      </c>
      <c r="L216" s="109"/>
      <c r="M216" s="109"/>
      <c r="N216" s="109"/>
      <c r="O216" s="109"/>
      <c r="P216" s="109">
        <v>39722.0</v>
      </c>
      <c r="Q216" s="109">
        <v>39813.0</v>
      </c>
      <c r="R216" s="109">
        <v>39814.0</v>
      </c>
      <c r="S216" s="109">
        <v>39903.0</v>
      </c>
      <c r="T216" s="109"/>
      <c r="U216" s="109"/>
      <c r="V216" s="109"/>
      <c r="W216" s="109"/>
      <c r="X216" s="109"/>
      <c r="Y216" s="109"/>
      <c r="Z216" s="109">
        <v>39904.0</v>
      </c>
      <c r="AA216" s="109">
        <v>40087.0</v>
      </c>
      <c r="AB216" s="109"/>
      <c r="AC216" s="109" t="s">
        <v>217</v>
      </c>
      <c r="AD216" s="109">
        <v>33145.0</v>
      </c>
      <c r="AE216" s="109" t="s">
        <v>3668</v>
      </c>
      <c r="AF216" s="109"/>
      <c r="AG216" s="109"/>
      <c r="AH216" s="109">
        <v>9.223536734E9</v>
      </c>
      <c r="AI216" s="109"/>
      <c r="AJ216" s="109"/>
      <c r="AK216" s="109" t="s">
        <v>3669</v>
      </c>
      <c r="AL216" s="109" t="s">
        <v>3670</v>
      </c>
      <c r="AM216" s="109" t="s">
        <v>3671</v>
      </c>
      <c r="AN216" s="109" t="s">
        <v>3672</v>
      </c>
      <c r="AO216" s="109"/>
      <c r="AP216" s="109" t="s">
        <v>3673</v>
      </c>
      <c r="AQ216" s="142"/>
      <c r="AR216" s="109" t="s">
        <v>3617</v>
      </c>
      <c r="AS216" s="137">
        <v>43146.0</v>
      </c>
    </row>
    <row r="217" ht="14.25" customHeight="1">
      <c r="A217" s="188">
        <v>212.0</v>
      </c>
      <c r="B217" s="142" t="s">
        <v>3674</v>
      </c>
      <c r="C217" s="142" t="s">
        <v>3675</v>
      </c>
      <c r="D217" s="142" t="s">
        <v>3676</v>
      </c>
      <c r="E217" s="109" t="s">
        <v>1881</v>
      </c>
      <c r="F217" s="109"/>
      <c r="G217" s="109" t="s">
        <v>16</v>
      </c>
      <c r="H217" s="109">
        <v>1.08161739E9</v>
      </c>
      <c r="I217" s="109">
        <v>42963.0</v>
      </c>
      <c r="J217" s="109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109"/>
      <c r="Y217" s="109"/>
      <c r="Z217" s="109">
        <v>42963.0</v>
      </c>
      <c r="AA217" s="109">
        <v>43146.0</v>
      </c>
      <c r="AB217" s="109"/>
      <c r="AC217" s="109" t="s">
        <v>394</v>
      </c>
      <c r="AD217" s="109">
        <v>34391.0</v>
      </c>
      <c r="AE217" s="109" t="s">
        <v>3677</v>
      </c>
      <c r="AF217" s="109" t="s">
        <v>3678</v>
      </c>
      <c r="AG217" s="109"/>
      <c r="AH217" s="109">
        <v>9.555703252E9</v>
      </c>
      <c r="AI217" s="109"/>
      <c r="AJ217" s="109" t="s">
        <v>3679</v>
      </c>
      <c r="AK217" s="109" t="s">
        <v>3680</v>
      </c>
      <c r="AL217" s="109" t="s">
        <v>3681</v>
      </c>
      <c r="AM217" s="202" t="s">
        <v>3682</v>
      </c>
      <c r="AN217" s="109" t="s">
        <v>3683</v>
      </c>
      <c r="AO217" s="109"/>
      <c r="AP217" s="109"/>
      <c r="AQ217" s="142"/>
      <c r="AR217" s="109" t="s">
        <v>1241</v>
      </c>
      <c r="AS217" s="137" t="s">
        <v>3684</v>
      </c>
    </row>
    <row r="218" ht="14.25" customHeight="1">
      <c r="A218" s="188">
        <v>213.0</v>
      </c>
      <c r="B218" s="142" t="s">
        <v>3685</v>
      </c>
      <c r="C218" s="142" t="s">
        <v>3686</v>
      </c>
      <c r="D218" s="142" t="s">
        <v>3687</v>
      </c>
      <c r="E218" s="109" t="s">
        <v>2047</v>
      </c>
      <c r="F218" s="109"/>
      <c r="G218" s="109" t="s">
        <v>16</v>
      </c>
      <c r="H218" s="109">
        <v>1.083017391E9</v>
      </c>
      <c r="I218" s="109">
        <v>42977.0</v>
      </c>
      <c r="J218" s="109"/>
      <c r="K218" s="109"/>
      <c r="L218" s="109"/>
      <c r="M218" s="109"/>
      <c r="N218" s="109"/>
      <c r="O218" s="109"/>
      <c r="P218" s="109"/>
      <c r="Q218" s="109"/>
      <c r="R218" s="109"/>
      <c r="S218" s="109"/>
      <c r="T218" s="109"/>
      <c r="U218" s="109"/>
      <c r="V218" s="109"/>
      <c r="W218" s="109"/>
      <c r="X218" s="109"/>
      <c r="Y218" s="109"/>
      <c r="Z218" s="109">
        <v>42977.0</v>
      </c>
      <c r="AA218" s="109">
        <v>43159.0</v>
      </c>
      <c r="AB218" s="109"/>
      <c r="AC218" s="109" t="s">
        <v>394</v>
      </c>
      <c r="AD218" s="109">
        <v>35611.0</v>
      </c>
      <c r="AE218" s="109" t="s">
        <v>3688</v>
      </c>
      <c r="AF218" s="109" t="s">
        <v>3624</v>
      </c>
      <c r="AG218" s="109"/>
      <c r="AH218" s="109">
        <v>9.509208453E9</v>
      </c>
      <c r="AI218" s="109"/>
      <c r="AJ218" s="109" t="s">
        <v>3689</v>
      </c>
      <c r="AK218" s="109" t="s">
        <v>3690</v>
      </c>
      <c r="AL218" s="109" t="s">
        <v>3691</v>
      </c>
      <c r="AM218" s="109" t="s">
        <v>3692</v>
      </c>
      <c r="AN218" s="109" t="s">
        <v>3693</v>
      </c>
      <c r="AO218" s="109"/>
      <c r="AP218" s="109"/>
      <c r="AQ218" s="142"/>
      <c r="AR218" s="109" t="s">
        <v>1241</v>
      </c>
      <c r="AS218" s="137">
        <v>43159.0</v>
      </c>
    </row>
    <row r="219" ht="14.25" customHeight="1">
      <c r="A219" s="188">
        <v>214.0</v>
      </c>
      <c r="B219" s="142" t="s">
        <v>3694</v>
      </c>
      <c r="C219" s="142" t="s">
        <v>3589</v>
      </c>
      <c r="D219" s="142" t="s">
        <v>2289</v>
      </c>
      <c r="E219" s="109" t="s">
        <v>3695</v>
      </c>
      <c r="F219" s="109"/>
      <c r="G219" s="109" t="s">
        <v>16</v>
      </c>
      <c r="H219" s="109">
        <v>1.090617392E9</v>
      </c>
      <c r="I219" s="109">
        <v>42984.0</v>
      </c>
      <c r="J219" s="109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109"/>
      <c r="Y219" s="109"/>
      <c r="Z219" s="109">
        <v>42984.0</v>
      </c>
      <c r="AA219" s="109">
        <v>43164.0</v>
      </c>
      <c r="AB219" s="109"/>
      <c r="AC219" s="109" t="s">
        <v>394</v>
      </c>
      <c r="AD219" s="109">
        <v>34896.0</v>
      </c>
      <c r="AE219" s="109" t="s">
        <v>3696</v>
      </c>
      <c r="AF219" s="109" t="s">
        <v>3624</v>
      </c>
      <c r="AG219" s="109"/>
      <c r="AH219" s="109">
        <v>9.771316563E9</v>
      </c>
      <c r="AI219" s="109"/>
      <c r="AJ219" s="109" t="s">
        <v>3697</v>
      </c>
      <c r="AK219" s="109" t="s">
        <v>3698</v>
      </c>
      <c r="AL219" s="109" t="s">
        <v>3699</v>
      </c>
      <c r="AM219" s="202" t="s">
        <v>3700</v>
      </c>
      <c r="AN219" s="204" t="s">
        <v>3701</v>
      </c>
      <c r="AO219" s="109"/>
      <c r="AP219" s="109"/>
      <c r="AQ219" s="142"/>
      <c r="AR219" s="109" t="s">
        <v>1241</v>
      </c>
      <c r="AS219" s="137">
        <v>43164.0</v>
      </c>
    </row>
    <row r="220" ht="14.25" customHeight="1">
      <c r="A220" s="188">
        <v>215.0</v>
      </c>
      <c r="B220" s="142" t="s">
        <v>847</v>
      </c>
      <c r="C220" s="142" t="s">
        <v>3702</v>
      </c>
      <c r="D220" s="142" t="s">
        <v>3703</v>
      </c>
      <c r="E220" s="109" t="s">
        <v>3704</v>
      </c>
      <c r="F220" s="109"/>
      <c r="G220" s="109" t="s">
        <v>57</v>
      </c>
      <c r="H220" s="109">
        <v>1.041212127E9</v>
      </c>
      <c r="I220" s="109">
        <v>41122.0</v>
      </c>
      <c r="J220" s="109">
        <v>41015.0</v>
      </c>
      <c r="K220" s="109">
        <v>41106.0</v>
      </c>
      <c r="L220" s="109"/>
      <c r="M220" s="109"/>
      <c r="N220" s="109"/>
      <c r="O220" s="109"/>
      <c r="P220" s="109">
        <v>41122.0</v>
      </c>
      <c r="Q220" s="109">
        <v>41244.0</v>
      </c>
      <c r="R220" s="109">
        <v>41290.0</v>
      </c>
      <c r="S220" s="109">
        <v>41441.0</v>
      </c>
      <c r="T220" s="109"/>
      <c r="U220" s="109"/>
      <c r="V220" s="109">
        <v>41456.0</v>
      </c>
      <c r="W220" s="109">
        <v>42186.0</v>
      </c>
      <c r="X220" s="109">
        <v>42186.0</v>
      </c>
      <c r="Y220" s="109">
        <v>42552.0</v>
      </c>
      <c r="Z220" s="109">
        <v>42553.0</v>
      </c>
      <c r="AA220" s="109">
        <v>43283.0</v>
      </c>
      <c r="AB220" s="109"/>
      <c r="AC220" s="109" t="s">
        <v>394</v>
      </c>
      <c r="AD220" s="109">
        <v>31974.0</v>
      </c>
      <c r="AE220" s="109" t="s">
        <v>3705</v>
      </c>
      <c r="AF220" s="109" t="s">
        <v>3706</v>
      </c>
      <c r="AG220" s="109"/>
      <c r="AH220" s="109">
        <v>9.153721987E9</v>
      </c>
      <c r="AI220" s="109"/>
      <c r="AJ220" s="109" t="s">
        <v>1834</v>
      </c>
      <c r="AK220" s="109" t="s">
        <v>3707</v>
      </c>
      <c r="AL220" s="109" t="s">
        <v>3708</v>
      </c>
      <c r="AM220" s="109" t="s">
        <v>2985</v>
      </c>
      <c r="AN220" s="109" t="s">
        <v>3709</v>
      </c>
      <c r="AO220" s="109"/>
      <c r="AP220" s="109" t="s">
        <v>3710</v>
      </c>
      <c r="AQ220" s="142"/>
      <c r="AR220" s="109" t="s">
        <v>3617</v>
      </c>
      <c r="AS220" s="137">
        <v>43169.0</v>
      </c>
    </row>
    <row r="221" ht="14.25" customHeight="1">
      <c r="A221" s="188">
        <v>216.0</v>
      </c>
      <c r="B221" s="142" t="s">
        <v>3711</v>
      </c>
      <c r="C221" s="142" t="s">
        <v>3155</v>
      </c>
      <c r="D221" s="142" t="s">
        <v>3712</v>
      </c>
      <c r="E221" s="109" t="s">
        <v>1881</v>
      </c>
      <c r="F221" s="109"/>
      <c r="G221" s="109" t="s">
        <v>57</v>
      </c>
      <c r="H221" s="109">
        <v>1.021417355E9</v>
      </c>
      <c r="I221" s="109">
        <v>42780.0</v>
      </c>
      <c r="J221" s="109">
        <v>42765.0</v>
      </c>
      <c r="K221" s="109">
        <v>42779.0</v>
      </c>
      <c r="L221" s="109"/>
      <c r="M221" s="109"/>
      <c r="N221" s="109"/>
      <c r="O221" s="109"/>
      <c r="P221" s="109">
        <v>42780.0</v>
      </c>
      <c r="Q221" s="109">
        <v>42929.0</v>
      </c>
      <c r="R221" s="109"/>
      <c r="S221" s="109"/>
      <c r="T221" s="109"/>
      <c r="U221" s="109"/>
      <c r="V221" s="109"/>
      <c r="W221" s="109"/>
      <c r="X221" s="109"/>
      <c r="Y221" s="109"/>
      <c r="Z221" s="109">
        <v>42780.0</v>
      </c>
      <c r="AA221" s="109">
        <v>42960.0</v>
      </c>
      <c r="AB221" s="109"/>
      <c r="AC221" s="109" t="s">
        <v>394</v>
      </c>
      <c r="AD221" s="109">
        <v>35091.0</v>
      </c>
      <c r="AE221" s="109" t="s">
        <v>3713</v>
      </c>
      <c r="AF221" s="109"/>
      <c r="AG221" s="109"/>
      <c r="AH221" s="109">
        <v>9.485709406E9</v>
      </c>
      <c r="AI221" s="109"/>
      <c r="AJ221" s="109" t="s">
        <v>2171</v>
      </c>
      <c r="AK221" s="109" t="s">
        <v>3714</v>
      </c>
      <c r="AL221" s="109" t="s">
        <v>3715</v>
      </c>
      <c r="AM221" s="109" t="s">
        <v>3716</v>
      </c>
      <c r="AN221" s="109" t="s">
        <v>3717</v>
      </c>
      <c r="AO221" s="109"/>
      <c r="AP221" s="109"/>
      <c r="AQ221" s="142"/>
      <c r="AR221" s="109" t="s">
        <v>983</v>
      </c>
      <c r="AS221" s="137">
        <v>43169.0</v>
      </c>
    </row>
    <row r="222" ht="14.25" customHeight="1">
      <c r="A222" s="188">
        <v>217.0</v>
      </c>
      <c r="B222" s="142" t="s">
        <v>80</v>
      </c>
      <c r="C222" s="142" t="s">
        <v>3718</v>
      </c>
      <c r="D222" s="142" t="s">
        <v>3719</v>
      </c>
      <c r="E222" s="109" t="s">
        <v>2047</v>
      </c>
      <c r="F222" s="109"/>
      <c r="G222" s="109" t="s">
        <v>16</v>
      </c>
      <c r="H222" s="109">
        <v>1.092617395E9</v>
      </c>
      <c r="I222" s="109">
        <v>43004.0</v>
      </c>
      <c r="J222" s="109"/>
      <c r="K222" s="109"/>
      <c r="L222" s="109"/>
      <c r="M222" s="109"/>
      <c r="N222" s="109"/>
      <c r="O222" s="109"/>
      <c r="P222" s="109"/>
      <c r="Q222" s="109"/>
      <c r="R222" s="109"/>
      <c r="S222" s="109"/>
      <c r="T222" s="109"/>
      <c r="U222" s="109"/>
      <c r="V222" s="109"/>
      <c r="W222" s="109"/>
      <c r="X222" s="109"/>
      <c r="Y222" s="109"/>
      <c r="Z222" s="109">
        <v>43004.0</v>
      </c>
      <c r="AA222" s="109">
        <v>43184.0</v>
      </c>
      <c r="AB222" s="109"/>
      <c r="AC222" s="109" t="s">
        <v>394</v>
      </c>
      <c r="AD222" s="109">
        <v>36126.0</v>
      </c>
      <c r="AE222" s="109" t="s">
        <v>3720</v>
      </c>
      <c r="AF222" s="109" t="s">
        <v>3624</v>
      </c>
      <c r="AG222" s="109"/>
      <c r="AH222" s="109">
        <v>9.462642783E9</v>
      </c>
      <c r="AI222" s="109"/>
      <c r="AJ222" s="109" t="s">
        <v>3721</v>
      </c>
      <c r="AK222" s="109" t="s">
        <v>3722</v>
      </c>
      <c r="AL222" s="109" t="s">
        <v>3723</v>
      </c>
      <c r="AM222" s="109" t="s">
        <v>3724</v>
      </c>
      <c r="AN222" s="109" t="s">
        <v>3725</v>
      </c>
      <c r="AO222" s="109"/>
      <c r="AP222" s="109"/>
      <c r="AQ222" s="142"/>
      <c r="AR222" s="109" t="s">
        <v>1241</v>
      </c>
      <c r="AS222" s="137">
        <v>43184.0</v>
      </c>
    </row>
    <row r="223" ht="14.25" customHeight="1">
      <c r="A223" s="188">
        <v>218.0</v>
      </c>
      <c r="B223" s="142" t="s">
        <v>3726</v>
      </c>
      <c r="C223" s="142" t="s">
        <v>3727</v>
      </c>
      <c r="D223" s="142" t="s">
        <v>3728</v>
      </c>
      <c r="E223" s="109" t="s">
        <v>944</v>
      </c>
      <c r="F223" s="109"/>
      <c r="G223" s="109" t="s">
        <v>57</v>
      </c>
      <c r="H223" s="109">
        <v>1.110216337E9</v>
      </c>
      <c r="I223" s="109">
        <v>42676.0</v>
      </c>
      <c r="J223" s="109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109"/>
      <c r="Y223" s="109"/>
      <c r="Z223" s="109">
        <v>42676.0</v>
      </c>
      <c r="AA223" s="109">
        <v>42857.0</v>
      </c>
      <c r="AB223" s="109"/>
      <c r="AC223" s="109" t="s">
        <v>394</v>
      </c>
      <c r="AD223" s="109">
        <v>33098.0</v>
      </c>
      <c r="AE223" s="109" t="s">
        <v>3729</v>
      </c>
      <c r="AF223" s="109" t="s">
        <v>1366</v>
      </c>
      <c r="AG223" s="109"/>
      <c r="AH223" s="109">
        <v>9.176510813E9</v>
      </c>
      <c r="AI223" s="109"/>
      <c r="AJ223" s="109" t="s">
        <v>3730</v>
      </c>
      <c r="AK223" s="109" t="s">
        <v>3731</v>
      </c>
      <c r="AL223" s="109" t="s">
        <v>3732</v>
      </c>
      <c r="AM223" s="109" t="s">
        <v>3733</v>
      </c>
      <c r="AN223" s="109" t="s">
        <v>3734</v>
      </c>
      <c r="AO223" s="109"/>
      <c r="AP223" s="109"/>
      <c r="AQ223" s="142"/>
      <c r="AR223" s="109" t="s">
        <v>3617</v>
      </c>
      <c r="AS223" s="137">
        <v>43196.0</v>
      </c>
    </row>
    <row r="224" ht="14.25" customHeight="1">
      <c r="A224" s="188">
        <v>219.0</v>
      </c>
      <c r="B224" s="142" t="s">
        <v>3735</v>
      </c>
      <c r="C224" s="142" t="s">
        <v>1928</v>
      </c>
      <c r="D224" s="142" t="s">
        <v>3736</v>
      </c>
      <c r="E224" s="109" t="s">
        <v>1881</v>
      </c>
      <c r="F224" s="109"/>
      <c r="G224" s="109" t="s">
        <v>16</v>
      </c>
      <c r="H224" s="109">
        <v>1.100217397E9</v>
      </c>
      <c r="I224" s="109">
        <v>43010.0</v>
      </c>
      <c r="J224" s="109"/>
      <c r="K224" s="109"/>
      <c r="L224" s="109"/>
      <c r="M224" s="109"/>
      <c r="N224" s="109"/>
      <c r="O224" s="109"/>
      <c r="P224" s="109"/>
      <c r="Q224" s="109"/>
      <c r="R224" s="109"/>
      <c r="S224" s="109"/>
      <c r="T224" s="109"/>
      <c r="U224" s="109"/>
      <c r="V224" s="109"/>
      <c r="W224" s="109"/>
      <c r="X224" s="109"/>
      <c r="Y224" s="109"/>
      <c r="Z224" s="109">
        <v>43010.0</v>
      </c>
      <c r="AA224" s="109">
        <v>43191.0</v>
      </c>
      <c r="AB224" s="109"/>
      <c r="AC224" s="109" t="s">
        <v>394</v>
      </c>
      <c r="AD224" s="109">
        <v>34158.0</v>
      </c>
      <c r="AE224" s="109" t="s">
        <v>3737</v>
      </c>
      <c r="AF224" s="109" t="s">
        <v>3738</v>
      </c>
      <c r="AG224" s="109"/>
      <c r="AH224" s="109" t="s">
        <v>3739</v>
      </c>
      <c r="AI224" s="109"/>
      <c r="AJ224" s="109" t="s">
        <v>3740</v>
      </c>
      <c r="AK224" s="109" t="s">
        <v>3741</v>
      </c>
      <c r="AL224" s="109" t="s">
        <v>3742</v>
      </c>
      <c r="AM224" s="109" t="s">
        <v>3743</v>
      </c>
      <c r="AN224" s="109" t="s">
        <v>3744</v>
      </c>
      <c r="AO224" s="109"/>
      <c r="AP224" s="109"/>
      <c r="AQ224" s="142"/>
      <c r="AR224" s="109" t="s">
        <v>1241</v>
      </c>
      <c r="AS224" s="137">
        <v>43191.0</v>
      </c>
    </row>
    <row r="225" ht="14.25" customHeight="1">
      <c r="A225" s="188">
        <v>220.0</v>
      </c>
      <c r="B225" s="142" t="s">
        <v>3745</v>
      </c>
      <c r="C225" s="142" t="s">
        <v>3484</v>
      </c>
      <c r="D225" s="142" t="s">
        <v>3746</v>
      </c>
      <c r="E225" s="109" t="s">
        <v>1881</v>
      </c>
      <c r="F225" s="109"/>
      <c r="G225" s="109" t="s">
        <v>16</v>
      </c>
      <c r="H225" s="109">
        <v>1.100917399E9</v>
      </c>
      <c r="I225" s="109">
        <v>43017.0</v>
      </c>
      <c r="J225" s="109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109"/>
      <c r="Y225" s="109"/>
      <c r="Z225" s="109">
        <v>43027.0</v>
      </c>
      <c r="AA225" s="109">
        <v>43198.0</v>
      </c>
      <c r="AB225" s="109"/>
      <c r="AC225" s="109" t="s">
        <v>394</v>
      </c>
      <c r="AD225" s="109">
        <v>33178.0</v>
      </c>
      <c r="AE225" s="109" t="s">
        <v>3747</v>
      </c>
      <c r="AF225" s="109" t="s">
        <v>3517</v>
      </c>
      <c r="AG225" s="109"/>
      <c r="AH225" s="109">
        <v>9.75096118E9</v>
      </c>
      <c r="AI225" s="109"/>
      <c r="AJ225" s="109" t="s">
        <v>3748</v>
      </c>
      <c r="AK225" s="109" t="s">
        <v>3749</v>
      </c>
      <c r="AL225" s="109" t="s">
        <v>3750</v>
      </c>
      <c r="AM225" s="109" t="s">
        <v>3751</v>
      </c>
      <c r="AN225" s="109" t="s">
        <v>3752</v>
      </c>
      <c r="AO225" s="109"/>
      <c r="AP225" s="109" t="s">
        <v>3753</v>
      </c>
      <c r="AQ225" s="142"/>
      <c r="AR225" s="109" t="s">
        <v>1241</v>
      </c>
      <c r="AS225" s="137">
        <v>43198.0</v>
      </c>
    </row>
    <row r="226" ht="14.25" customHeight="1">
      <c r="A226" s="188">
        <v>221.0</v>
      </c>
      <c r="B226" s="142" t="s">
        <v>3754</v>
      </c>
      <c r="C226" s="142" t="s">
        <v>2004</v>
      </c>
      <c r="D226" s="142" t="s">
        <v>3755</v>
      </c>
      <c r="E226" s="109" t="s">
        <v>82</v>
      </c>
      <c r="F226" s="109"/>
      <c r="G226" s="109" t="s">
        <v>16</v>
      </c>
      <c r="H226" s="109">
        <v>1.1010174E9</v>
      </c>
      <c r="I226" s="109">
        <v>43018.0</v>
      </c>
      <c r="J226" s="109"/>
      <c r="K226" s="109"/>
      <c r="L226" s="109"/>
      <c r="M226" s="109"/>
      <c r="N226" s="109"/>
      <c r="O226" s="109"/>
      <c r="P226" s="109"/>
      <c r="Q226" s="109"/>
      <c r="R226" s="109"/>
      <c r="S226" s="109"/>
      <c r="T226" s="109"/>
      <c r="U226" s="109"/>
      <c r="V226" s="109"/>
      <c r="W226" s="109"/>
      <c r="X226" s="109"/>
      <c r="Y226" s="109"/>
      <c r="Z226" s="109">
        <v>43018.0</v>
      </c>
      <c r="AA226" s="109">
        <v>43199.0</v>
      </c>
      <c r="AB226" s="109"/>
      <c r="AC226" s="109" t="s">
        <v>394</v>
      </c>
      <c r="AD226" s="109">
        <v>34862.0</v>
      </c>
      <c r="AE226" s="109" t="s">
        <v>3756</v>
      </c>
      <c r="AF226" s="109" t="s">
        <v>3757</v>
      </c>
      <c r="AG226" s="109"/>
      <c r="AH226" s="205" t="s">
        <v>3758</v>
      </c>
      <c r="AI226" s="109"/>
      <c r="AJ226" s="109" t="s">
        <v>3759</v>
      </c>
      <c r="AK226" s="109" t="s">
        <v>3760</v>
      </c>
      <c r="AL226" s="109" t="s">
        <v>3761</v>
      </c>
      <c r="AM226" s="109" t="s">
        <v>3762</v>
      </c>
      <c r="AN226" s="109" t="s">
        <v>3763</v>
      </c>
      <c r="AO226" s="109"/>
      <c r="AP226" s="109"/>
      <c r="AQ226" s="142"/>
      <c r="AR226" s="189" t="s">
        <v>1241</v>
      </c>
      <c r="AS226" s="191">
        <v>43199.0</v>
      </c>
    </row>
    <row r="227" ht="14.25" customHeight="1">
      <c r="A227" s="188">
        <v>222.0</v>
      </c>
      <c r="B227" s="142" t="s">
        <v>3764</v>
      </c>
      <c r="C227" s="142" t="s">
        <v>3155</v>
      </c>
      <c r="D227" s="142" t="s">
        <v>3765</v>
      </c>
      <c r="E227" s="109" t="s">
        <v>1881</v>
      </c>
      <c r="F227" s="109"/>
      <c r="G227" s="109" t="s">
        <v>16</v>
      </c>
      <c r="H227" s="109">
        <v>1.032718424E9</v>
      </c>
      <c r="I227" s="109">
        <v>43186.0</v>
      </c>
      <c r="J227" s="109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109"/>
      <c r="Y227" s="109"/>
      <c r="Z227" s="109">
        <v>43186.0</v>
      </c>
      <c r="AA227" s="109">
        <v>43369.0</v>
      </c>
      <c r="AB227" s="109"/>
      <c r="AC227" s="109" t="s">
        <v>394</v>
      </c>
      <c r="AD227" s="109">
        <v>33489.0</v>
      </c>
      <c r="AE227" s="109" t="s">
        <v>3766</v>
      </c>
      <c r="AF227" s="109" t="s">
        <v>3767</v>
      </c>
      <c r="AG227" s="109"/>
      <c r="AH227" s="109">
        <v>9.498533898E9</v>
      </c>
      <c r="AI227" s="109"/>
      <c r="AJ227" s="109" t="s">
        <v>3768</v>
      </c>
      <c r="AK227" s="109" t="s">
        <v>3769</v>
      </c>
      <c r="AL227" s="109" t="s">
        <v>3770</v>
      </c>
      <c r="AM227" s="109" t="s">
        <v>3771</v>
      </c>
      <c r="AN227" s="109" t="s">
        <v>3772</v>
      </c>
      <c r="AO227" s="109"/>
      <c r="AP227" s="109"/>
      <c r="AQ227" s="142"/>
      <c r="AR227" s="109" t="s">
        <v>3617</v>
      </c>
      <c r="AS227" s="137">
        <v>43194.0</v>
      </c>
    </row>
    <row r="228" ht="14.25" customHeight="1">
      <c r="A228" s="188">
        <v>223.0</v>
      </c>
      <c r="B228" s="142" t="s">
        <v>3773</v>
      </c>
      <c r="C228" s="142" t="s">
        <v>3774</v>
      </c>
      <c r="D228" s="142" t="s">
        <v>3775</v>
      </c>
      <c r="E228" s="109" t="s">
        <v>717</v>
      </c>
      <c r="F228" s="109"/>
      <c r="G228" s="109" t="s">
        <v>16</v>
      </c>
      <c r="H228" s="109">
        <v>1.011018408E9</v>
      </c>
      <c r="I228" s="109">
        <v>43110.0</v>
      </c>
      <c r="J228" s="109"/>
      <c r="K228" s="109"/>
      <c r="L228" s="109"/>
      <c r="M228" s="109"/>
      <c r="N228" s="109"/>
      <c r="O228" s="109"/>
      <c r="P228" s="109"/>
      <c r="Q228" s="109"/>
      <c r="R228" s="109"/>
      <c r="S228" s="109"/>
      <c r="T228" s="109"/>
      <c r="U228" s="109"/>
      <c r="V228" s="109"/>
      <c r="W228" s="109"/>
      <c r="X228" s="109"/>
      <c r="Y228" s="109"/>
      <c r="Z228" s="109">
        <v>43110.0</v>
      </c>
      <c r="AA228" s="109">
        <v>43290.0</v>
      </c>
      <c r="AB228" s="109"/>
      <c r="AC228" s="109" t="s">
        <v>394</v>
      </c>
      <c r="AD228" s="109">
        <v>34997.0</v>
      </c>
      <c r="AE228" s="109" t="s">
        <v>3776</v>
      </c>
      <c r="AF228" s="109" t="s">
        <v>3777</v>
      </c>
      <c r="AG228" s="109"/>
      <c r="AH228" s="109" t="s">
        <v>3778</v>
      </c>
      <c r="AI228" s="109"/>
      <c r="AJ228" s="109" t="s">
        <v>3779</v>
      </c>
      <c r="AK228" s="109" t="s">
        <v>3780</v>
      </c>
      <c r="AL228" s="109" t="s">
        <v>3781</v>
      </c>
      <c r="AM228" s="109" t="s">
        <v>3782</v>
      </c>
      <c r="AN228" s="109" t="s">
        <v>3783</v>
      </c>
      <c r="AO228" s="109"/>
      <c r="AP228" s="109" t="s">
        <v>3784</v>
      </c>
      <c r="AQ228" s="142"/>
      <c r="AR228" s="109" t="s">
        <v>3617</v>
      </c>
      <c r="AS228" s="137">
        <v>43206.0</v>
      </c>
    </row>
    <row r="229" ht="14.25" customHeight="1">
      <c r="A229" s="188">
        <v>224.0</v>
      </c>
      <c r="B229" s="142" t="s">
        <v>1164</v>
      </c>
      <c r="C229" s="142" t="s">
        <v>3785</v>
      </c>
      <c r="D229" s="142" t="s">
        <v>638</v>
      </c>
      <c r="E229" s="109" t="s">
        <v>133</v>
      </c>
      <c r="F229" s="109"/>
      <c r="G229" s="109" t="s">
        <v>57</v>
      </c>
      <c r="H229" s="109">
        <v>1.011405009E9</v>
      </c>
      <c r="I229" s="109">
        <v>38366.0</v>
      </c>
      <c r="J229" s="109">
        <v>38335.0</v>
      </c>
      <c r="K229" s="109">
        <v>38000.0</v>
      </c>
      <c r="L229" s="109"/>
      <c r="M229" s="109"/>
      <c r="N229" s="109"/>
      <c r="O229" s="109"/>
      <c r="P229" s="109">
        <v>38366.0</v>
      </c>
      <c r="Q229" s="109">
        <v>38517.0</v>
      </c>
      <c r="R229" s="109"/>
      <c r="S229" s="109"/>
      <c r="T229" s="109"/>
      <c r="U229" s="109"/>
      <c r="V229" s="109"/>
      <c r="W229" s="109"/>
      <c r="X229" s="109"/>
      <c r="Y229" s="109"/>
      <c r="Z229" s="109"/>
      <c r="AA229" s="109"/>
      <c r="AB229" s="109"/>
      <c r="AC229" s="109" t="s">
        <v>217</v>
      </c>
      <c r="AD229" s="109">
        <v>27214.0</v>
      </c>
      <c r="AE229" s="109" t="s">
        <v>3786</v>
      </c>
      <c r="AF229" s="109"/>
      <c r="AG229" s="109"/>
      <c r="AH229" s="109">
        <v>9.16334465E8</v>
      </c>
      <c r="AI229" s="109"/>
      <c r="AJ229" s="109" t="s">
        <v>3787</v>
      </c>
      <c r="AK229" s="109" t="s">
        <v>3788</v>
      </c>
      <c r="AL229" s="109" t="s">
        <v>3789</v>
      </c>
      <c r="AM229" s="109" t="s">
        <v>3790</v>
      </c>
      <c r="AN229" s="109" t="s">
        <v>3791</v>
      </c>
      <c r="AO229" s="109"/>
      <c r="AP229" s="109" t="s">
        <v>3792</v>
      </c>
      <c r="AQ229" s="142"/>
      <c r="AR229" s="109" t="s">
        <v>3617</v>
      </c>
      <c r="AS229" s="137">
        <v>43220.0</v>
      </c>
    </row>
    <row r="230" ht="14.25" customHeight="1">
      <c r="A230" s="188">
        <v>225.0</v>
      </c>
      <c r="B230" s="142" t="s">
        <v>3793</v>
      </c>
      <c r="C230" s="142" t="s">
        <v>3794</v>
      </c>
      <c r="D230" s="142" t="s">
        <v>3795</v>
      </c>
      <c r="E230" s="109" t="s">
        <v>133</v>
      </c>
      <c r="F230" s="109"/>
      <c r="G230" s="109" t="s">
        <v>57</v>
      </c>
      <c r="H230" s="109">
        <v>1.062405048E9</v>
      </c>
      <c r="I230" s="109">
        <v>38527.0</v>
      </c>
      <c r="J230" s="109">
        <v>38527.0</v>
      </c>
      <c r="K230" s="109">
        <v>38619.0</v>
      </c>
      <c r="L230" s="109"/>
      <c r="M230" s="109"/>
      <c r="N230" s="109"/>
      <c r="O230" s="109"/>
      <c r="P230" s="109"/>
      <c r="Q230" s="109"/>
      <c r="R230" s="109"/>
      <c r="S230" s="109"/>
      <c r="T230" s="109"/>
      <c r="U230" s="109"/>
      <c r="V230" s="109"/>
      <c r="W230" s="109"/>
      <c r="X230" s="109"/>
      <c r="Y230" s="109"/>
      <c r="Z230" s="109"/>
      <c r="AA230" s="109"/>
      <c r="AB230" s="109"/>
      <c r="AC230" s="109" t="s">
        <v>217</v>
      </c>
      <c r="AD230" s="109">
        <v>31261.0</v>
      </c>
      <c r="AE230" s="109" t="s">
        <v>3796</v>
      </c>
      <c r="AF230" s="109"/>
      <c r="AG230" s="109"/>
      <c r="AH230" s="109">
        <v>9.473262108E9</v>
      </c>
      <c r="AI230" s="109"/>
      <c r="AJ230" s="109" t="s">
        <v>3797</v>
      </c>
      <c r="AK230" s="109" t="s">
        <v>3798</v>
      </c>
      <c r="AL230" s="109" t="s">
        <v>3799</v>
      </c>
      <c r="AM230" s="109" t="s">
        <v>3800</v>
      </c>
      <c r="AN230" s="109" t="s">
        <v>3801</v>
      </c>
      <c r="AO230" s="109"/>
      <c r="AP230" s="109" t="s">
        <v>3802</v>
      </c>
      <c r="AQ230" s="142"/>
      <c r="AR230" s="109" t="s">
        <v>3617</v>
      </c>
      <c r="AS230" s="137">
        <v>43220.0</v>
      </c>
    </row>
    <row r="231" ht="14.25" customHeight="1">
      <c r="A231" s="188">
        <v>226.0</v>
      </c>
      <c r="B231" s="142" t="s">
        <v>3803</v>
      </c>
      <c r="C231" s="142" t="s">
        <v>3804</v>
      </c>
      <c r="D231" s="142" t="s">
        <v>3805</v>
      </c>
      <c r="E231" s="109" t="s">
        <v>133</v>
      </c>
      <c r="F231" s="109"/>
      <c r="G231" s="109" t="s">
        <v>57</v>
      </c>
      <c r="H231" s="109">
        <v>1.082008021E9</v>
      </c>
      <c r="I231" s="109">
        <v>39680.0</v>
      </c>
      <c r="J231" s="109">
        <v>39587.0</v>
      </c>
      <c r="K231" s="109">
        <v>39679.0</v>
      </c>
      <c r="L231" s="109"/>
      <c r="M231" s="109"/>
      <c r="N231" s="109"/>
      <c r="O231" s="109"/>
      <c r="P231" s="109">
        <v>39680.0</v>
      </c>
      <c r="Q231" s="109">
        <v>39741.0</v>
      </c>
      <c r="R231" s="109">
        <v>39973.0</v>
      </c>
      <c r="S231" s="109">
        <v>40156.0</v>
      </c>
      <c r="T231" s="109">
        <v>40163.0</v>
      </c>
      <c r="U231" s="109">
        <v>40345.0</v>
      </c>
      <c r="V231" s="109"/>
      <c r="W231" s="109"/>
      <c r="X231" s="109"/>
      <c r="Y231" s="109"/>
      <c r="Z231" s="109"/>
      <c r="AA231" s="109"/>
      <c r="AB231" s="109"/>
      <c r="AC231" s="109" t="s">
        <v>217</v>
      </c>
      <c r="AD231" s="109">
        <v>32517.0</v>
      </c>
      <c r="AE231" s="109" t="s">
        <v>3806</v>
      </c>
      <c r="AF231" s="109" t="s">
        <v>3807</v>
      </c>
      <c r="AG231" s="109"/>
      <c r="AH231" s="109">
        <v>9.102419878E9</v>
      </c>
      <c r="AI231" s="109"/>
      <c r="AJ231" s="109" t="s">
        <v>1834</v>
      </c>
      <c r="AK231" s="109" t="s">
        <v>3808</v>
      </c>
      <c r="AL231" s="109" t="s">
        <v>3809</v>
      </c>
      <c r="AM231" s="109" t="s">
        <v>3810</v>
      </c>
      <c r="AN231" s="109" t="s">
        <v>3811</v>
      </c>
      <c r="AO231" s="109"/>
      <c r="AP231" s="109"/>
      <c r="AQ231" s="142"/>
      <c r="AR231" s="109" t="s">
        <v>3617</v>
      </c>
      <c r="AS231" s="137">
        <v>43220.0</v>
      </c>
    </row>
    <row r="232" ht="14.25" customHeight="1">
      <c r="A232" s="188">
        <v>227.0</v>
      </c>
      <c r="B232" s="142" t="s">
        <v>3812</v>
      </c>
      <c r="C232" s="142" t="s">
        <v>3813</v>
      </c>
      <c r="D232" s="142" t="s">
        <v>3814</v>
      </c>
      <c r="E232" s="109" t="s">
        <v>133</v>
      </c>
      <c r="F232" s="109"/>
      <c r="G232" s="109" t="s">
        <v>57</v>
      </c>
      <c r="H232" s="109">
        <v>1.012709086E9</v>
      </c>
      <c r="I232" s="109">
        <v>40026.0</v>
      </c>
      <c r="J232" s="109">
        <v>39930.0</v>
      </c>
      <c r="K232" s="109">
        <v>40021.0</v>
      </c>
      <c r="L232" s="109"/>
      <c r="M232" s="109"/>
      <c r="N232" s="109"/>
      <c r="O232" s="109"/>
      <c r="P232" s="109">
        <v>40026.0</v>
      </c>
      <c r="Q232" s="109">
        <v>40210.0</v>
      </c>
      <c r="R232" s="109"/>
      <c r="S232" s="109"/>
      <c r="T232" s="109"/>
      <c r="U232" s="109"/>
      <c r="V232" s="109"/>
      <c r="W232" s="109"/>
      <c r="X232" s="109"/>
      <c r="Y232" s="109"/>
      <c r="Z232" s="109"/>
      <c r="AA232" s="109"/>
      <c r="AB232" s="109"/>
      <c r="AC232" s="109" t="s">
        <v>217</v>
      </c>
      <c r="AD232" s="109">
        <v>32598.0</v>
      </c>
      <c r="AE232" s="109" t="s">
        <v>3815</v>
      </c>
      <c r="AF232" s="109" t="s">
        <v>3816</v>
      </c>
      <c r="AG232" s="109"/>
      <c r="AH232" s="109">
        <v>9.165608643E9</v>
      </c>
      <c r="AI232" s="109"/>
      <c r="AJ232" s="109" t="s">
        <v>1834</v>
      </c>
      <c r="AK232" s="109" t="s">
        <v>3817</v>
      </c>
      <c r="AL232" s="109" t="s">
        <v>3818</v>
      </c>
      <c r="AM232" s="109" t="s">
        <v>3819</v>
      </c>
      <c r="AN232" s="109" t="s">
        <v>3820</v>
      </c>
      <c r="AO232" s="109"/>
      <c r="AP232" s="109" t="s">
        <v>3821</v>
      </c>
      <c r="AQ232" s="142"/>
      <c r="AR232" s="109" t="s">
        <v>3617</v>
      </c>
      <c r="AS232" s="137">
        <v>43220.0</v>
      </c>
    </row>
    <row r="233" ht="14.25" customHeight="1">
      <c r="A233" s="188">
        <v>228.0</v>
      </c>
      <c r="B233" s="142" t="s">
        <v>3822</v>
      </c>
      <c r="C233" s="142" t="s">
        <v>3823</v>
      </c>
      <c r="D233" s="142" t="s">
        <v>3824</v>
      </c>
      <c r="E233" s="109" t="s">
        <v>561</v>
      </c>
      <c r="F233" s="109"/>
      <c r="G233" s="109" t="s">
        <v>57</v>
      </c>
      <c r="H233" s="109">
        <v>1.080109027E9</v>
      </c>
      <c r="I233" s="109">
        <v>40023.0</v>
      </c>
      <c r="J233" s="109"/>
      <c r="K233" s="109"/>
      <c r="L233" s="109"/>
      <c r="M233" s="109"/>
      <c r="N233" s="109"/>
      <c r="O233" s="109"/>
      <c r="P233" s="109"/>
      <c r="Q233" s="109"/>
      <c r="R233" s="109"/>
      <c r="S233" s="109"/>
      <c r="T233" s="109"/>
      <c r="U233" s="109"/>
      <c r="V233" s="109"/>
      <c r="W233" s="109"/>
      <c r="X233" s="109"/>
      <c r="Y233" s="109"/>
      <c r="Z233" s="109"/>
      <c r="AA233" s="109"/>
      <c r="AB233" s="109"/>
      <c r="AC233" s="109" t="s">
        <v>217</v>
      </c>
      <c r="AD233" s="109">
        <v>30743.0</v>
      </c>
      <c r="AE233" s="109" t="s">
        <v>3825</v>
      </c>
      <c r="AF233" s="109"/>
      <c r="AG233" s="109"/>
      <c r="AH233" s="109">
        <v>9.2011177E9</v>
      </c>
      <c r="AI233" s="109"/>
      <c r="AJ233" s="109" t="s">
        <v>1834</v>
      </c>
      <c r="AK233" s="109" t="s">
        <v>3826</v>
      </c>
      <c r="AL233" s="109" t="s">
        <v>3827</v>
      </c>
      <c r="AM233" s="109" t="s">
        <v>3828</v>
      </c>
      <c r="AN233" s="109" t="s">
        <v>3829</v>
      </c>
      <c r="AO233" s="109"/>
      <c r="AP233" s="109" t="s">
        <v>3830</v>
      </c>
      <c r="AQ233" s="142"/>
      <c r="AR233" s="109" t="s">
        <v>3617</v>
      </c>
      <c r="AS233" s="137">
        <v>43220.0</v>
      </c>
    </row>
    <row r="234" ht="14.25" customHeight="1">
      <c r="A234" s="188">
        <v>229.0</v>
      </c>
      <c r="B234" s="142" t="s">
        <v>3831</v>
      </c>
      <c r="C234" s="142" t="s">
        <v>3832</v>
      </c>
      <c r="D234" s="142" t="s">
        <v>3833</v>
      </c>
      <c r="E234" s="109" t="s">
        <v>561</v>
      </c>
      <c r="F234" s="109"/>
      <c r="G234" s="109" t="s">
        <v>57</v>
      </c>
      <c r="H234" s="109">
        <v>1.090111007E9</v>
      </c>
      <c r="I234" s="109">
        <v>40787.0</v>
      </c>
      <c r="J234" s="109">
        <v>39362.0</v>
      </c>
      <c r="K234" s="109">
        <v>39454.0</v>
      </c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 t="s">
        <v>3834</v>
      </c>
      <c r="AD234" s="109">
        <v>31810.0</v>
      </c>
      <c r="AE234" s="109" t="s">
        <v>3835</v>
      </c>
      <c r="AF234" s="109"/>
      <c r="AG234" s="109"/>
      <c r="AH234" s="109">
        <v>9.997131729E9</v>
      </c>
      <c r="AI234" s="109"/>
      <c r="AJ234" s="109" t="s">
        <v>2268</v>
      </c>
      <c r="AK234" s="109" t="s">
        <v>3836</v>
      </c>
      <c r="AL234" s="109" t="s">
        <v>3837</v>
      </c>
      <c r="AM234" s="109" t="s">
        <v>3838</v>
      </c>
      <c r="AN234" s="109" t="s">
        <v>3839</v>
      </c>
      <c r="AO234" s="109"/>
      <c r="AP234" s="109" t="s">
        <v>3840</v>
      </c>
      <c r="AQ234" s="142"/>
      <c r="AR234" s="109" t="s">
        <v>3617</v>
      </c>
      <c r="AS234" s="137">
        <v>43220.0</v>
      </c>
    </row>
    <row r="235" ht="14.25" customHeight="1">
      <c r="A235" s="188">
        <v>230.0</v>
      </c>
      <c r="B235" s="142" t="s">
        <v>3841</v>
      </c>
      <c r="C235" s="142" t="s">
        <v>3842</v>
      </c>
      <c r="D235" s="142" t="s">
        <v>3843</v>
      </c>
      <c r="E235" s="109" t="s">
        <v>561</v>
      </c>
      <c r="F235" s="109"/>
      <c r="G235" s="109" t="s">
        <v>57</v>
      </c>
      <c r="H235" s="109">
        <v>1.090111059E9</v>
      </c>
      <c r="I235" s="109">
        <v>40787.0</v>
      </c>
      <c r="J235" s="109">
        <v>39482.0</v>
      </c>
      <c r="K235" s="109">
        <v>39572.0</v>
      </c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  <c r="AA235" s="109"/>
      <c r="AB235" s="109"/>
      <c r="AC235" s="109" t="s">
        <v>217</v>
      </c>
      <c r="AD235" s="109">
        <v>31400.0</v>
      </c>
      <c r="AE235" s="109" t="s">
        <v>3844</v>
      </c>
      <c r="AF235" s="109"/>
      <c r="AG235" s="109"/>
      <c r="AH235" s="109">
        <v>9.239610479E9</v>
      </c>
      <c r="AI235" s="109"/>
      <c r="AJ235" s="109" t="s">
        <v>1961</v>
      </c>
      <c r="AK235" s="109" t="s">
        <v>3845</v>
      </c>
      <c r="AL235" s="109" t="s">
        <v>3846</v>
      </c>
      <c r="AM235" s="109" t="s">
        <v>3847</v>
      </c>
      <c r="AN235" s="109" t="s">
        <v>3848</v>
      </c>
      <c r="AO235" s="109"/>
      <c r="AP235" s="109"/>
      <c r="AQ235" s="142"/>
      <c r="AR235" s="109" t="s">
        <v>3617</v>
      </c>
      <c r="AS235" s="137">
        <v>43220.0</v>
      </c>
    </row>
    <row r="236" ht="14.25" customHeight="1">
      <c r="A236" s="188">
        <v>231.0</v>
      </c>
      <c r="B236" s="142" t="s">
        <v>3849</v>
      </c>
      <c r="C236" s="142" t="s">
        <v>1362</v>
      </c>
      <c r="D236" s="142" t="s">
        <v>3850</v>
      </c>
      <c r="E236" s="109" t="s">
        <v>82</v>
      </c>
      <c r="F236" s="109"/>
      <c r="G236" s="109" t="s">
        <v>16</v>
      </c>
      <c r="H236" s="109">
        <v>1.110317402E9</v>
      </c>
      <c r="I236" s="109">
        <v>43042.0</v>
      </c>
      <c r="J236" s="109"/>
      <c r="K236" s="109"/>
      <c r="L236" s="109"/>
      <c r="M236" s="109"/>
      <c r="N236" s="109"/>
      <c r="O236" s="109"/>
      <c r="P236" s="109"/>
      <c r="Q236" s="109"/>
      <c r="R236" s="109"/>
      <c r="S236" s="109"/>
      <c r="T236" s="109"/>
      <c r="U236" s="109"/>
      <c r="V236" s="109"/>
      <c r="W236" s="109"/>
      <c r="X236" s="109"/>
      <c r="Y236" s="109"/>
      <c r="Z236" s="109"/>
      <c r="AA236" s="109"/>
      <c r="AB236" s="109"/>
      <c r="AC236" s="109" t="s">
        <v>394</v>
      </c>
      <c r="AD236" s="109">
        <v>34900.0</v>
      </c>
      <c r="AE236" s="109" t="s">
        <v>3851</v>
      </c>
      <c r="AF236" s="109" t="s">
        <v>3852</v>
      </c>
      <c r="AG236" s="109"/>
      <c r="AH236" s="109">
        <v>9.757231478E9</v>
      </c>
      <c r="AI236" s="109"/>
      <c r="AJ236" s="109" t="s">
        <v>3853</v>
      </c>
      <c r="AK236" s="109" t="s">
        <v>3854</v>
      </c>
      <c r="AL236" s="109" t="s">
        <v>3855</v>
      </c>
      <c r="AM236" s="109" t="s">
        <v>3856</v>
      </c>
      <c r="AN236" s="205" t="s">
        <v>3857</v>
      </c>
      <c r="AO236" s="109"/>
      <c r="AP236" s="109" t="s">
        <v>3858</v>
      </c>
      <c r="AQ236" s="142"/>
      <c r="AR236" s="109" t="s">
        <v>1241</v>
      </c>
      <c r="AS236" s="109">
        <v>43222.0</v>
      </c>
    </row>
    <row r="237" ht="14.25" customHeight="1">
      <c r="A237" s="188">
        <v>232.0</v>
      </c>
      <c r="B237" s="142" t="s">
        <v>3859</v>
      </c>
      <c r="C237" s="142" t="s">
        <v>3860</v>
      </c>
      <c r="D237" s="142" t="s">
        <v>2344</v>
      </c>
      <c r="E237" s="109" t="s">
        <v>1881</v>
      </c>
      <c r="F237" s="109"/>
      <c r="G237" s="109" t="s">
        <v>57</v>
      </c>
      <c r="H237" s="109">
        <v>1.011713156E9</v>
      </c>
      <c r="I237" s="109">
        <v>41410.0</v>
      </c>
      <c r="J237" s="109">
        <v>41291.0</v>
      </c>
      <c r="K237" s="109">
        <v>41381.0</v>
      </c>
      <c r="L237" s="109"/>
      <c r="M237" s="109"/>
      <c r="N237" s="109"/>
      <c r="O237" s="109"/>
      <c r="P237" s="109">
        <v>41410.0</v>
      </c>
      <c r="Q237" s="109">
        <v>41563.0</v>
      </c>
      <c r="R237" s="109"/>
      <c r="S237" s="109"/>
      <c r="T237" s="109"/>
      <c r="U237" s="109"/>
      <c r="V237" s="109">
        <v>41579.0</v>
      </c>
      <c r="W237" s="109">
        <v>42309.0</v>
      </c>
      <c r="X237" s="109">
        <v>42676.0</v>
      </c>
      <c r="Y237" s="109">
        <v>43406.0</v>
      </c>
      <c r="Z237" s="109"/>
      <c r="AA237" s="109"/>
      <c r="AB237" s="109"/>
      <c r="AC237" s="109" t="s">
        <v>394</v>
      </c>
      <c r="AD237" s="109">
        <v>33246.0</v>
      </c>
      <c r="AE237" s="109" t="s">
        <v>3861</v>
      </c>
      <c r="AF237" s="109" t="s">
        <v>3862</v>
      </c>
      <c r="AG237" s="109"/>
      <c r="AH237" s="109">
        <v>9.079176143E9</v>
      </c>
      <c r="AI237" s="109"/>
      <c r="AJ237" s="109" t="s">
        <v>1961</v>
      </c>
      <c r="AK237" s="109" t="s">
        <v>3863</v>
      </c>
      <c r="AL237" s="109" t="s">
        <v>3864</v>
      </c>
      <c r="AM237" s="109" t="s">
        <v>3865</v>
      </c>
      <c r="AN237" s="109" t="s">
        <v>3866</v>
      </c>
      <c r="AO237" s="109"/>
      <c r="AP237" s="109"/>
      <c r="AQ237" s="142"/>
      <c r="AR237" s="109" t="s">
        <v>3617</v>
      </c>
      <c r="AS237" s="109">
        <v>43220.0</v>
      </c>
    </row>
    <row r="238" ht="14.25" customHeight="1">
      <c r="A238" s="188">
        <v>233.0</v>
      </c>
      <c r="B238" s="142" t="s">
        <v>3867</v>
      </c>
      <c r="C238" s="142" t="s">
        <v>1915</v>
      </c>
      <c r="D238" s="142" t="s">
        <v>3868</v>
      </c>
      <c r="E238" s="109" t="s">
        <v>1881</v>
      </c>
      <c r="F238" s="109"/>
      <c r="G238" s="109" t="s">
        <v>16</v>
      </c>
      <c r="H238" s="109">
        <v>1.111117403E9</v>
      </c>
      <c r="I238" s="109">
        <v>43050.0</v>
      </c>
      <c r="J238" s="109"/>
      <c r="K238" s="109"/>
      <c r="L238" s="109"/>
      <c r="M238" s="109"/>
      <c r="N238" s="109"/>
      <c r="O238" s="109"/>
      <c r="P238" s="109"/>
      <c r="Q238" s="109"/>
      <c r="R238" s="109"/>
      <c r="S238" s="109"/>
      <c r="T238" s="109"/>
      <c r="U238" s="109"/>
      <c r="V238" s="109"/>
      <c r="W238" s="109"/>
      <c r="X238" s="109"/>
      <c r="Y238" s="109"/>
      <c r="Z238" s="109">
        <v>43050.0</v>
      </c>
      <c r="AA238" s="109">
        <v>43230.0</v>
      </c>
      <c r="AB238" s="109"/>
      <c r="AC238" s="109" t="s">
        <v>394</v>
      </c>
      <c r="AD238" s="109">
        <v>34677.0</v>
      </c>
      <c r="AE238" s="109" t="s">
        <v>3869</v>
      </c>
      <c r="AF238" s="109" t="s">
        <v>3870</v>
      </c>
      <c r="AG238" s="109"/>
      <c r="AH238" s="109">
        <v>9.463438128E9</v>
      </c>
      <c r="AI238" s="109"/>
      <c r="AJ238" s="109" t="s">
        <v>3871</v>
      </c>
      <c r="AK238" s="109" t="s">
        <v>3872</v>
      </c>
      <c r="AL238" s="109" t="s">
        <v>3873</v>
      </c>
      <c r="AM238" s="202" t="s">
        <v>3874</v>
      </c>
      <c r="AN238" s="109" t="s">
        <v>3875</v>
      </c>
      <c r="AO238" s="109"/>
      <c r="AP238" s="109" t="s">
        <v>3876</v>
      </c>
      <c r="AQ238" s="142"/>
      <c r="AR238" s="109" t="s">
        <v>1241</v>
      </c>
      <c r="AS238" s="109">
        <v>43230.0</v>
      </c>
    </row>
    <row r="239" ht="14.25" customHeight="1">
      <c r="A239" s="188">
        <v>234.0</v>
      </c>
      <c r="B239" s="142" t="s">
        <v>3877</v>
      </c>
      <c r="C239" s="142" t="s">
        <v>3878</v>
      </c>
      <c r="D239" s="142" t="s">
        <v>3879</v>
      </c>
      <c r="E239" s="109" t="s">
        <v>3880</v>
      </c>
      <c r="F239" s="109"/>
      <c r="G239" s="109" t="s">
        <v>16</v>
      </c>
      <c r="H239" s="109">
        <v>1.020818415E9</v>
      </c>
      <c r="I239" s="109">
        <v>43139.0</v>
      </c>
      <c r="J239" s="109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109"/>
      <c r="Y239" s="109"/>
      <c r="Z239" s="109">
        <v>43139.0</v>
      </c>
      <c r="AA239" s="109">
        <v>43319.0</v>
      </c>
      <c r="AB239" s="109"/>
      <c r="AC239" s="109" t="s">
        <v>3881</v>
      </c>
      <c r="AD239" s="109">
        <v>31296.0</v>
      </c>
      <c r="AE239" s="109" t="s">
        <v>3882</v>
      </c>
      <c r="AF239" s="109" t="s">
        <v>3883</v>
      </c>
      <c r="AG239" s="109"/>
      <c r="AH239" s="109">
        <v>9.212519092E9</v>
      </c>
      <c r="AI239" s="109"/>
      <c r="AJ239" s="109" t="s">
        <v>3884</v>
      </c>
      <c r="AK239" s="109" t="s">
        <v>3885</v>
      </c>
      <c r="AL239" s="109" t="s">
        <v>3886</v>
      </c>
      <c r="AM239" s="109" t="s">
        <v>3887</v>
      </c>
      <c r="AN239" s="205" t="s">
        <v>3888</v>
      </c>
      <c r="AO239" s="109"/>
      <c r="AP239" s="109" t="s">
        <v>3889</v>
      </c>
      <c r="AQ239" s="142"/>
      <c r="AR239" s="109" t="s">
        <v>983</v>
      </c>
      <c r="AS239" s="109">
        <v>43220.0</v>
      </c>
    </row>
    <row r="240" ht="14.25" customHeight="1">
      <c r="A240" s="188">
        <v>235.0</v>
      </c>
      <c r="B240" s="142" t="s">
        <v>3890</v>
      </c>
      <c r="C240" s="142" t="s">
        <v>3155</v>
      </c>
      <c r="D240" s="142" t="s">
        <v>3891</v>
      </c>
      <c r="E240" s="109" t="s">
        <v>550</v>
      </c>
      <c r="F240" s="109"/>
      <c r="G240" s="109" t="s">
        <v>57</v>
      </c>
      <c r="H240" s="109">
        <v>1.020817354E9</v>
      </c>
      <c r="I240" s="109">
        <v>42774.0</v>
      </c>
      <c r="J240" s="109"/>
      <c r="K240" s="109"/>
      <c r="L240" s="109"/>
      <c r="M240" s="109"/>
      <c r="N240" s="109"/>
      <c r="O240" s="109"/>
      <c r="P240" s="109"/>
      <c r="Q240" s="109"/>
      <c r="R240" s="109"/>
      <c r="S240" s="109"/>
      <c r="T240" s="109"/>
      <c r="U240" s="109"/>
      <c r="V240" s="109"/>
      <c r="W240" s="109"/>
      <c r="X240" s="109"/>
      <c r="Y240" s="109"/>
      <c r="Z240" s="109">
        <v>42774.0</v>
      </c>
      <c r="AA240" s="109">
        <v>42954.0</v>
      </c>
      <c r="AB240" s="109"/>
      <c r="AC240" s="109" t="s">
        <v>394</v>
      </c>
      <c r="AD240" s="109">
        <v>31455.0</v>
      </c>
      <c r="AE240" s="109" t="s">
        <v>3892</v>
      </c>
      <c r="AF240" s="109" t="s">
        <v>3893</v>
      </c>
      <c r="AG240" s="109"/>
      <c r="AH240" s="109">
        <v>9.213682846E9</v>
      </c>
      <c r="AI240" s="109"/>
      <c r="AJ240" s="109" t="s">
        <v>3894</v>
      </c>
      <c r="AK240" s="109" t="s">
        <v>3895</v>
      </c>
      <c r="AL240" s="109" t="s">
        <v>3896</v>
      </c>
      <c r="AM240" s="109" t="s">
        <v>3897</v>
      </c>
      <c r="AN240" s="109" t="s">
        <v>3898</v>
      </c>
      <c r="AO240" s="109"/>
      <c r="AP240" s="109"/>
      <c r="AQ240" s="142"/>
      <c r="AR240" s="109" t="s">
        <v>3617</v>
      </c>
      <c r="AS240" s="109">
        <v>43228.0</v>
      </c>
    </row>
    <row r="241" ht="14.25" customHeight="1">
      <c r="A241" s="188">
        <v>236.0</v>
      </c>
      <c r="B241" s="142" t="s">
        <v>3899</v>
      </c>
      <c r="C241" s="142" t="s">
        <v>2572</v>
      </c>
      <c r="D241" s="142" t="s">
        <v>3900</v>
      </c>
      <c r="E241" s="109" t="s">
        <v>1881</v>
      </c>
      <c r="F241" s="109"/>
      <c r="G241" s="109" t="s">
        <v>16</v>
      </c>
      <c r="H241" s="109">
        <v>1.112317404E9</v>
      </c>
      <c r="I241" s="109">
        <v>43062.0</v>
      </c>
      <c r="J241" s="109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109"/>
      <c r="Y241" s="109"/>
      <c r="Z241" s="109">
        <v>43062.0</v>
      </c>
      <c r="AA241" s="109">
        <v>43242.0</v>
      </c>
      <c r="AB241" s="109"/>
      <c r="AC241" s="109" t="s">
        <v>394</v>
      </c>
      <c r="AD241" s="109">
        <v>34650.0</v>
      </c>
      <c r="AE241" s="109" t="s">
        <v>3901</v>
      </c>
      <c r="AF241" s="109" t="s">
        <v>3902</v>
      </c>
      <c r="AG241" s="109"/>
      <c r="AH241" s="109" t="s">
        <v>3903</v>
      </c>
      <c r="AI241" s="109"/>
      <c r="AJ241" s="109" t="s">
        <v>3904</v>
      </c>
      <c r="AK241" s="109" t="s">
        <v>3905</v>
      </c>
      <c r="AL241" s="109" t="s">
        <v>3906</v>
      </c>
      <c r="AM241" s="109" t="s">
        <v>3907</v>
      </c>
      <c r="AN241" s="109" t="s">
        <v>3908</v>
      </c>
      <c r="AO241" s="109"/>
      <c r="AP241" s="109" t="s">
        <v>3909</v>
      </c>
      <c r="AQ241" s="142"/>
      <c r="AR241" s="109" t="s">
        <v>1241</v>
      </c>
      <c r="AS241" s="109">
        <v>43242.0</v>
      </c>
    </row>
    <row r="242" ht="14.25" customHeight="1">
      <c r="A242" s="188">
        <v>237.0</v>
      </c>
      <c r="B242" s="142" t="s">
        <v>3910</v>
      </c>
      <c r="C242" s="142" t="s">
        <v>3911</v>
      </c>
      <c r="D242" s="142" t="s">
        <v>3912</v>
      </c>
      <c r="E242" s="109" t="s">
        <v>82</v>
      </c>
      <c r="F242" s="109"/>
      <c r="G242" s="109" t="s">
        <v>16</v>
      </c>
      <c r="H242" s="109"/>
      <c r="I242" s="109">
        <v>43236.0</v>
      </c>
      <c r="J242" s="109"/>
      <c r="K242" s="109"/>
      <c r="L242" s="109"/>
      <c r="M242" s="109"/>
      <c r="N242" s="109"/>
      <c r="O242" s="109"/>
      <c r="P242" s="109"/>
      <c r="Q242" s="109"/>
      <c r="R242" s="109"/>
      <c r="S242" s="109"/>
      <c r="T242" s="109"/>
      <c r="U242" s="109"/>
      <c r="V242" s="109"/>
      <c r="W242" s="109"/>
      <c r="X242" s="109"/>
      <c r="Y242" s="109"/>
      <c r="Z242" s="109">
        <v>43236.0</v>
      </c>
      <c r="AA242" s="109">
        <v>43419.0</v>
      </c>
      <c r="AB242" s="109"/>
      <c r="AC242" s="109" t="s">
        <v>394</v>
      </c>
      <c r="AD242" s="109">
        <v>33027.0</v>
      </c>
      <c r="AE242" s="109" t="s">
        <v>3913</v>
      </c>
      <c r="AF242" s="109" t="s">
        <v>3624</v>
      </c>
      <c r="AG242" s="109"/>
      <c r="AH242" s="109">
        <v>9.266256916E9</v>
      </c>
      <c r="AI242" s="109"/>
      <c r="AJ242" s="109" t="s">
        <v>3914</v>
      </c>
      <c r="AK242" s="109" t="s">
        <v>3915</v>
      </c>
      <c r="AL242" s="109" t="s">
        <v>3916</v>
      </c>
      <c r="AM242" s="109" t="s">
        <v>3917</v>
      </c>
      <c r="AN242" s="109" t="s">
        <v>3918</v>
      </c>
      <c r="AO242" s="109"/>
      <c r="AP242" s="109"/>
      <c r="AQ242" s="142"/>
      <c r="AR242" s="109" t="s">
        <v>3919</v>
      </c>
      <c r="AS242" s="109">
        <v>43237.0</v>
      </c>
    </row>
    <row r="243" ht="14.25" customHeight="1">
      <c r="A243" s="188">
        <v>238.0</v>
      </c>
      <c r="B243" s="142" t="s">
        <v>3920</v>
      </c>
      <c r="C243" s="142" t="s">
        <v>3921</v>
      </c>
      <c r="D243" s="142" t="s">
        <v>2779</v>
      </c>
      <c r="E243" s="109" t="s">
        <v>82</v>
      </c>
      <c r="F243" s="109"/>
      <c r="G243" s="109" t="s">
        <v>16</v>
      </c>
      <c r="H243" s="109"/>
      <c r="I243" s="109">
        <v>43236.0</v>
      </c>
      <c r="J243" s="109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109"/>
      <c r="Y243" s="109"/>
      <c r="Z243" s="109">
        <v>43236.0</v>
      </c>
      <c r="AA243" s="109">
        <v>43419.0</v>
      </c>
      <c r="AB243" s="109"/>
      <c r="AC243" s="109" t="s">
        <v>394</v>
      </c>
      <c r="AD243" s="109">
        <v>33895.0</v>
      </c>
      <c r="AE243" s="109" t="s">
        <v>3922</v>
      </c>
      <c r="AF243" s="109" t="s">
        <v>3624</v>
      </c>
      <c r="AG243" s="109"/>
      <c r="AH243" s="109">
        <v>9.752969025E9</v>
      </c>
      <c r="AI243" s="109"/>
      <c r="AJ243" s="109" t="s">
        <v>3923</v>
      </c>
      <c r="AK243" s="109"/>
      <c r="AL243" s="109" t="s">
        <v>3924</v>
      </c>
      <c r="AM243" s="109" t="s">
        <v>3925</v>
      </c>
      <c r="AN243" s="205" t="s">
        <v>3926</v>
      </c>
      <c r="AO243" s="109"/>
      <c r="AP243" s="109"/>
      <c r="AQ243" s="142"/>
      <c r="AR243" s="109" t="s">
        <v>983</v>
      </c>
      <c r="AS243" s="109">
        <v>43236.0</v>
      </c>
    </row>
    <row r="244" ht="14.25" customHeight="1">
      <c r="A244" s="188">
        <v>239.0</v>
      </c>
      <c r="B244" s="142" t="s">
        <v>3927</v>
      </c>
      <c r="C244" s="142" t="s">
        <v>3928</v>
      </c>
      <c r="D244" s="142" t="s">
        <v>3929</v>
      </c>
      <c r="E244" s="109" t="s">
        <v>1881</v>
      </c>
      <c r="F244" s="109"/>
      <c r="G244" s="109" t="s">
        <v>16</v>
      </c>
      <c r="H244" s="109">
        <v>1.032818425E9</v>
      </c>
      <c r="I244" s="109">
        <v>43187.0</v>
      </c>
      <c r="J244" s="109"/>
      <c r="K244" s="109"/>
      <c r="L244" s="109"/>
      <c r="M244" s="109"/>
      <c r="N244" s="109"/>
      <c r="O244" s="109"/>
      <c r="P244" s="109"/>
      <c r="Q244" s="109"/>
      <c r="R244" s="109"/>
      <c r="S244" s="109"/>
      <c r="T244" s="109"/>
      <c r="U244" s="109"/>
      <c r="V244" s="109"/>
      <c r="W244" s="109"/>
      <c r="X244" s="109"/>
      <c r="Y244" s="109"/>
      <c r="Z244" s="109">
        <v>43187.0</v>
      </c>
      <c r="AA244" s="109">
        <v>43370.0</v>
      </c>
      <c r="AB244" s="109"/>
      <c r="AC244" s="109" t="s">
        <v>3930</v>
      </c>
      <c r="AD244" s="109">
        <v>33956.0</v>
      </c>
      <c r="AE244" s="109" t="s">
        <v>3931</v>
      </c>
      <c r="AF244" s="109"/>
      <c r="AG244" s="109"/>
      <c r="AH244" s="109">
        <v>9.273205903E9</v>
      </c>
      <c r="AI244" s="109"/>
      <c r="AJ244" s="109" t="s">
        <v>3932</v>
      </c>
      <c r="AK244" s="109" t="s">
        <v>3933</v>
      </c>
      <c r="AL244" s="109" t="s">
        <v>3934</v>
      </c>
      <c r="AM244" s="206" t="s">
        <v>3935</v>
      </c>
      <c r="AN244" s="109" t="s">
        <v>3936</v>
      </c>
      <c r="AO244" s="109"/>
      <c r="AP244" s="109" t="s">
        <v>3937</v>
      </c>
      <c r="AQ244" s="142"/>
      <c r="AR244" s="109" t="s">
        <v>3617</v>
      </c>
      <c r="AS244" s="109">
        <v>43243.0</v>
      </c>
    </row>
    <row r="245" ht="14.25" customHeight="1">
      <c r="A245" s="188">
        <v>240.0</v>
      </c>
      <c r="B245" s="142" t="s">
        <v>2282</v>
      </c>
      <c r="C245" s="142" t="s">
        <v>2283</v>
      </c>
      <c r="D245" s="142" t="s">
        <v>2284</v>
      </c>
      <c r="E245" s="109" t="s">
        <v>1831</v>
      </c>
      <c r="F245" s="109"/>
      <c r="G245" s="109" t="s">
        <v>57</v>
      </c>
      <c r="H245" s="109">
        <v>1.120314219E9</v>
      </c>
      <c r="I245" s="109">
        <v>42067.0</v>
      </c>
      <c r="J245" s="109">
        <v>41986.0</v>
      </c>
      <c r="K245" s="109">
        <v>42066.0</v>
      </c>
      <c r="L245" s="109"/>
      <c r="M245" s="109"/>
      <c r="N245" s="109"/>
      <c r="O245" s="109"/>
      <c r="P245" s="109">
        <v>42067.0</v>
      </c>
      <c r="Q245" s="109">
        <v>42220.0</v>
      </c>
      <c r="R245" s="109"/>
      <c r="S245" s="109"/>
      <c r="T245" s="109"/>
      <c r="U245" s="109"/>
      <c r="V245" s="109">
        <v>42674.0</v>
      </c>
      <c r="W245" s="109">
        <v>43404.0</v>
      </c>
      <c r="X245" s="109"/>
      <c r="Y245" s="109"/>
      <c r="Z245" s="109"/>
      <c r="AA245" s="109"/>
      <c r="AB245" s="109"/>
      <c r="AC245" s="109" t="s">
        <v>394</v>
      </c>
      <c r="AD245" s="109">
        <v>34868.0</v>
      </c>
      <c r="AE245" s="109" t="s">
        <v>3938</v>
      </c>
      <c r="AF245" s="109"/>
      <c r="AG245" s="109"/>
      <c r="AH245" s="109" t="s">
        <v>3939</v>
      </c>
      <c r="AI245" s="109"/>
      <c r="AJ245" s="109" t="s">
        <v>3940</v>
      </c>
      <c r="AK245" s="109" t="s">
        <v>2286</v>
      </c>
      <c r="AL245" s="109" t="s">
        <v>3941</v>
      </c>
      <c r="AM245" s="109" t="s">
        <v>2287</v>
      </c>
      <c r="AN245" s="109" t="s">
        <v>2288</v>
      </c>
      <c r="AO245" s="109"/>
      <c r="AP245" s="109"/>
      <c r="AQ245" s="142"/>
      <c r="AR245" s="109" t="s">
        <v>3617</v>
      </c>
      <c r="AS245" s="109">
        <v>43246.0</v>
      </c>
    </row>
    <row r="246" ht="14.25" customHeight="1">
      <c r="A246" s="188">
        <v>241.0</v>
      </c>
      <c r="B246" s="142" t="s">
        <v>3942</v>
      </c>
      <c r="C246" s="142" t="s">
        <v>3095</v>
      </c>
      <c r="D246" s="142" t="s">
        <v>3943</v>
      </c>
      <c r="E246" s="109" t="s">
        <v>561</v>
      </c>
      <c r="F246" s="109"/>
      <c r="G246" s="109" t="s">
        <v>57</v>
      </c>
      <c r="H246" s="109">
        <v>1.072005054E9</v>
      </c>
      <c r="I246" s="109">
        <v>38553.0</v>
      </c>
      <c r="J246" s="109">
        <v>38471.0</v>
      </c>
      <c r="K246" s="109">
        <v>38562.0</v>
      </c>
      <c r="L246" s="109"/>
      <c r="M246" s="109"/>
      <c r="N246" s="109"/>
      <c r="O246" s="109"/>
      <c r="P246" s="109"/>
      <c r="Q246" s="109"/>
      <c r="R246" s="109"/>
      <c r="S246" s="109"/>
      <c r="T246" s="109"/>
      <c r="U246" s="109"/>
      <c r="V246" s="109"/>
      <c r="W246" s="109"/>
      <c r="X246" s="109"/>
      <c r="Y246" s="109"/>
      <c r="Z246" s="109">
        <v>38553.0</v>
      </c>
      <c r="AA246" s="109">
        <v>38737.0</v>
      </c>
      <c r="AB246" s="109"/>
      <c r="AC246" s="109" t="s">
        <v>217</v>
      </c>
      <c r="AD246" s="109">
        <v>30374.0</v>
      </c>
      <c r="AE246" s="109" t="s">
        <v>3944</v>
      </c>
      <c r="AF246" s="109" t="s">
        <v>3945</v>
      </c>
      <c r="AG246" s="109"/>
      <c r="AH246" s="109" t="s">
        <v>3946</v>
      </c>
      <c r="AI246" s="109"/>
      <c r="AJ246" s="109" t="s">
        <v>1834</v>
      </c>
      <c r="AK246" s="109" t="s">
        <v>3947</v>
      </c>
      <c r="AL246" s="109" t="s">
        <v>3948</v>
      </c>
      <c r="AM246" s="109" t="s">
        <v>3949</v>
      </c>
      <c r="AN246" s="109" t="s">
        <v>3950</v>
      </c>
      <c r="AO246" s="109"/>
      <c r="AP246" s="109" t="s">
        <v>3951</v>
      </c>
      <c r="AQ246" s="142"/>
      <c r="AR246" s="109" t="s">
        <v>3617</v>
      </c>
      <c r="AS246" s="109">
        <v>43240.0</v>
      </c>
    </row>
    <row r="247" ht="14.25" customHeight="1">
      <c r="A247" s="188">
        <v>242.0</v>
      </c>
      <c r="B247" s="142" t="s">
        <v>3952</v>
      </c>
      <c r="C247" s="142" t="s">
        <v>2532</v>
      </c>
      <c r="D247" s="142" t="s">
        <v>2532</v>
      </c>
      <c r="E247" s="109" t="s">
        <v>561</v>
      </c>
      <c r="F247" s="109"/>
      <c r="G247" s="109" t="s">
        <v>57</v>
      </c>
      <c r="H247" s="109">
        <v>1.080109003E9</v>
      </c>
      <c r="I247" s="109">
        <v>40026.0</v>
      </c>
      <c r="J247" s="109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109"/>
      <c r="Y247" s="109"/>
      <c r="Z247" s="109">
        <v>40026.0</v>
      </c>
      <c r="AA247" s="109">
        <v>40210.0</v>
      </c>
      <c r="AB247" s="109"/>
      <c r="AC247" s="109" t="s">
        <v>217</v>
      </c>
      <c r="AD247" s="109">
        <v>31469.0</v>
      </c>
      <c r="AE247" s="109" t="s">
        <v>3953</v>
      </c>
      <c r="AF247" s="109" t="s">
        <v>3954</v>
      </c>
      <c r="AG247" s="109"/>
      <c r="AH247" s="109">
        <v>9.432465313E9</v>
      </c>
      <c r="AI247" s="109"/>
      <c r="AJ247" s="109" t="s">
        <v>1834</v>
      </c>
      <c r="AK247" s="109" t="s">
        <v>3955</v>
      </c>
      <c r="AL247" s="109" t="s">
        <v>3956</v>
      </c>
      <c r="AM247" s="109" t="s">
        <v>3957</v>
      </c>
      <c r="AN247" s="109" t="s">
        <v>3958</v>
      </c>
      <c r="AO247" s="109"/>
      <c r="AP247" s="109" t="s">
        <v>3959</v>
      </c>
      <c r="AQ247" s="142"/>
      <c r="AR247" s="109" t="s">
        <v>3617</v>
      </c>
      <c r="AS247" s="109">
        <v>43240.0</v>
      </c>
    </row>
    <row r="248" ht="14.25" customHeight="1">
      <c r="A248" s="188">
        <v>243.0</v>
      </c>
      <c r="B248" s="142" t="s">
        <v>3960</v>
      </c>
      <c r="C248" s="142" t="s">
        <v>3961</v>
      </c>
      <c r="D248" s="142" t="s">
        <v>2233</v>
      </c>
      <c r="E248" s="109" t="s">
        <v>3962</v>
      </c>
      <c r="F248" s="109"/>
      <c r="G248" s="109" t="s">
        <v>57</v>
      </c>
      <c r="H248" s="109">
        <v>1.121609023E9</v>
      </c>
      <c r="I248" s="109">
        <v>42302.0</v>
      </c>
      <c r="J248" s="109">
        <v>40063.0</v>
      </c>
      <c r="K248" s="109">
        <v>40154.0</v>
      </c>
      <c r="L248" s="109"/>
      <c r="M248" s="109"/>
      <c r="N248" s="109"/>
      <c r="O248" s="109"/>
      <c r="P248" s="109">
        <v>40163.0</v>
      </c>
      <c r="Q248" s="109">
        <v>40345.0</v>
      </c>
      <c r="R248" s="109">
        <v>40355.0</v>
      </c>
      <c r="S248" s="109">
        <v>40508.0</v>
      </c>
      <c r="T248" s="109"/>
      <c r="U248" s="109"/>
      <c r="V248" s="109">
        <v>40787.0</v>
      </c>
      <c r="W248" s="109">
        <v>41518.0</v>
      </c>
      <c r="X248" s="109">
        <v>41563.0</v>
      </c>
      <c r="Y248" s="109">
        <v>41928.0</v>
      </c>
      <c r="Z248" s="109">
        <v>41936.0</v>
      </c>
      <c r="AA248" s="109">
        <v>42301.0</v>
      </c>
      <c r="AB248" s="109"/>
      <c r="AC248" s="109" t="s">
        <v>3834</v>
      </c>
      <c r="AD248" s="109">
        <v>30205.0</v>
      </c>
      <c r="AE248" s="109" t="s">
        <v>3963</v>
      </c>
      <c r="AF248" s="109" t="s">
        <v>3964</v>
      </c>
      <c r="AG248" s="109"/>
      <c r="AH248" s="109">
        <v>9.163494762E9</v>
      </c>
      <c r="AI248" s="109"/>
      <c r="AJ248" s="109" t="s">
        <v>3965</v>
      </c>
      <c r="AK248" s="109" t="s">
        <v>3966</v>
      </c>
      <c r="AL248" s="109" t="s">
        <v>3967</v>
      </c>
      <c r="AM248" s="109" t="s">
        <v>3968</v>
      </c>
      <c r="AN248" s="109" t="s">
        <v>3969</v>
      </c>
      <c r="AO248" s="109"/>
      <c r="AP248" s="109"/>
      <c r="AQ248" s="142"/>
      <c r="AR248" s="109" t="s">
        <v>3617</v>
      </c>
      <c r="AS248" s="109">
        <v>43256.0</v>
      </c>
    </row>
    <row r="249" ht="14.25" customHeight="1">
      <c r="A249" s="188">
        <v>244.0</v>
      </c>
      <c r="B249" s="142" t="s">
        <v>461</v>
      </c>
      <c r="C249" s="142" t="s">
        <v>75</v>
      </c>
      <c r="D249" s="142" t="s">
        <v>3970</v>
      </c>
      <c r="E249" s="109" t="s">
        <v>82</v>
      </c>
      <c r="F249" s="109"/>
      <c r="G249" s="109" t="s">
        <v>16</v>
      </c>
      <c r="H249" s="109">
        <v>1.020318413E9</v>
      </c>
      <c r="I249" s="109">
        <v>43134.0</v>
      </c>
      <c r="J249" s="109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109"/>
      <c r="Y249" s="109"/>
      <c r="Z249" s="109">
        <v>43134.0</v>
      </c>
      <c r="AA249" s="109">
        <v>43314.0</v>
      </c>
      <c r="AB249" s="109"/>
      <c r="AC249" s="109" t="s">
        <v>394</v>
      </c>
      <c r="AD249" s="109">
        <v>30497.0</v>
      </c>
      <c r="AE249" s="109" t="s">
        <v>3971</v>
      </c>
      <c r="AF249" s="109" t="s">
        <v>3624</v>
      </c>
      <c r="AG249" s="109"/>
      <c r="AH249" s="109">
        <v>9.059097086E9</v>
      </c>
      <c r="AI249" s="109"/>
      <c r="AJ249" s="109" t="s">
        <v>3972</v>
      </c>
      <c r="AK249" s="109" t="s">
        <v>3973</v>
      </c>
      <c r="AL249" s="109" t="s">
        <v>3974</v>
      </c>
      <c r="AM249" s="109" t="s">
        <v>3975</v>
      </c>
      <c r="AN249" s="205" t="s">
        <v>3976</v>
      </c>
      <c r="AO249" s="109"/>
      <c r="AP249" s="109"/>
      <c r="AQ249" s="142"/>
      <c r="AR249" s="109" t="s">
        <v>3617</v>
      </c>
      <c r="AS249" s="109">
        <v>43246.0</v>
      </c>
    </row>
    <row r="250" ht="14.25" customHeight="1">
      <c r="A250" s="188">
        <v>245.0</v>
      </c>
      <c r="B250" s="142" t="s">
        <v>3977</v>
      </c>
      <c r="C250" s="142" t="s">
        <v>3978</v>
      </c>
      <c r="D250" s="142" t="s">
        <v>76</v>
      </c>
      <c r="E250" s="109" t="s">
        <v>103</v>
      </c>
      <c r="F250" s="109"/>
      <c r="G250" s="109" t="s">
        <v>57</v>
      </c>
      <c r="H250" s="109">
        <v>1.10060502E9</v>
      </c>
      <c r="I250" s="109">
        <v>38631.0</v>
      </c>
      <c r="J250" s="109"/>
      <c r="K250" s="109"/>
      <c r="L250" s="109">
        <v>38631.0</v>
      </c>
      <c r="M250" s="109">
        <v>38782.0</v>
      </c>
      <c r="N250" s="109"/>
      <c r="O250" s="109"/>
      <c r="P250" s="109"/>
      <c r="Q250" s="109"/>
      <c r="R250" s="109"/>
      <c r="S250" s="109"/>
      <c r="T250" s="109"/>
      <c r="U250" s="109"/>
      <c r="V250" s="109"/>
      <c r="W250" s="109"/>
      <c r="X250" s="109">
        <v>38783.0</v>
      </c>
      <c r="Y250" s="109">
        <v>38875.0</v>
      </c>
      <c r="Z250" s="109"/>
      <c r="AA250" s="109"/>
      <c r="AB250" s="109"/>
      <c r="AC250" s="109" t="s">
        <v>217</v>
      </c>
      <c r="AD250" s="109">
        <v>19677.0</v>
      </c>
      <c r="AE250" s="109" t="s">
        <v>3979</v>
      </c>
      <c r="AF250" s="109" t="s">
        <v>3980</v>
      </c>
      <c r="AG250" s="109"/>
      <c r="AH250" s="109">
        <v>9.154637662E9</v>
      </c>
      <c r="AI250" s="109"/>
      <c r="AJ250" s="109"/>
      <c r="AK250" s="109" t="s">
        <v>3981</v>
      </c>
      <c r="AL250" s="109" t="s">
        <v>3982</v>
      </c>
      <c r="AM250" s="109" t="s">
        <v>3983</v>
      </c>
      <c r="AN250" s="109" t="s">
        <v>3984</v>
      </c>
      <c r="AO250" s="109"/>
      <c r="AP250" s="109"/>
      <c r="AQ250" s="142"/>
      <c r="AR250" s="109" t="s">
        <v>3985</v>
      </c>
      <c r="AS250" s="109">
        <v>43281.0</v>
      </c>
    </row>
    <row r="251" ht="14.25" customHeight="1">
      <c r="A251" s="188">
        <v>246.0</v>
      </c>
      <c r="B251" s="142" t="s">
        <v>3986</v>
      </c>
      <c r="C251" s="142" t="s">
        <v>3987</v>
      </c>
      <c r="D251" s="142" t="s">
        <v>3988</v>
      </c>
      <c r="E251" s="109" t="s">
        <v>561</v>
      </c>
      <c r="F251" s="109"/>
      <c r="G251" s="109" t="s">
        <v>57</v>
      </c>
      <c r="H251" s="109">
        <v>1.102416336E9</v>
      </c>
      <c r="I251" s="109">
        <v>42667.0</v>
      </c>
      <c r="J251" s="109">
        <v>42653.0</v>
      </c>
      <c r="K251" s="109">
        <v>42666.0</v>
      </c>
      <c r="L251" s="109">
        <v>42667.0</v>
      </c>
      <c r="M251" s="109">
        <v>42818.0</v>
      </c>
      <c r="N251" s="109"/>
      <c r="O251" s="109"/>
      <c r="P251" s="109"/>
      <c r="Q251" s="109"/>
      <c r="R251" s="109">
        <v>42819.0</v>
      </c>
      <c r="S251" s="109">
        <v>43548.0</v>
      </c>
      <c r="T251" s="109"/>
      <c r="U251" s="109"/>
      <c r="V251" s="109"/>
      <c r="W251" s="109"/>
      <c r="X251" s="109"/>
      <c r="Y251" s="109"/>
      <c r="Z251" s="109"/>
      <c r="AA251" s="109"/>
      <c r="AB251" s="109"/>
      <c r="AC251" s="109" t="s">
        <v>394</v>
      </c>
      <c r="AD251" s="109">
        <v>34041.0</v>
      </c>
      <c r="AE251" s="109" t="s">
        <v>3989</v>
      </c>
      <c r="AF251" s="109"/>
      <c r="AG251" s="109"/>
      <c r="AH251" s="109">
        <v>9.983044636E9</v>
      </c>
      <c r="AI251" s="109"/>
      <c r="AJ251" s="109" t="s">
        <v>2171</v>
      </c>
      <c r="AK251" s="109" t="s">
        <v>3990</v>
      </c>
      <c r="AL251" s="109" t="s">
        <v>3991</v>
      </c>
      <c r="AM251" s="109" t="s">
        <v>3992</v>
      </c>
      <c r="AN251" s="109" t="s">
        <v>3993</v>
      </c>
      <c r="AO251" s="109"/>
      <c r="AP251" s="109"/>
      <c r="AQ251" s="142"/>
      <c r="AR251" s="109" t="s">
        <v>900</v>
      </c>
      <c r="AS251" s="109">
        <v>43287.0</v>
      </c>
    </row>
    <row r="252" ht="14.25" customHeight="1">
      <c r="A252" s="188">
        <v>247.0</v>
      </c>
      <c r="B252" s="142" t="s">
        <v>3994</v>
      </c>
      <c r="C252" s="142" t="s">
        <v>3995</v>
      </c>
      <c r="D252" s="142" t="s">
        <v>3996</v>
      </c>
      <c r="E252" s="109" t="s">
        <v>2047</v>
      </c>
      <c r="F252" s="109"/>
      <c r="G252" s="109" t="s">
        <v>16</v>
      </c>
      <c r="H252" s="109">
        <v>1.01231841E9</v>
      </c>
      <c r="I252" s="109">
        <v>43123.0</v>
      </c>
      <c r="J252" s="109"/>
      <c r="K252" s="109"/>
      <c r="L252" s="109"/>
      <c r="M252" s="109"/>
      <c r="N252" s="109"/>
      <c r="O252" s="109"/>
      <c r="P252" s="109"/>
      <c r="Q252" s="109"/>
      <c r="R252" s="109"/>
      <c r="S252" s="109"/>
      <c r="T252" s="109"/>
      <c r="U252" s="109"/>
      <c r="V252" s="109"/>
      <c r="W252" s="109"/>
      <c r="X252" s="109"/>
      <c r="Y252" s="109"/>
      <c r="Z252" s="109">
        <v>43123.0</v>
      </c>
      <c r="AA252" s="109">
        <v>43303.0</v>
      </c>
      <c r="AB252" s="109"/>
      <c r="AC252" s="109" t="s">
        <v>3997</v>
      </c>
      <c r="AD252" s="109">
        <v>33330.0</v>
      </c>
      <c r="AE252" s="109" t="s">
        <v>3998</v>
      </c>
      <c r="AF252" s="109" t="s">
        <v>3624</v>
      </c>
      <c r="AG252" s="109"/>
      <c r="AH252" s="109">
        <v>9.266206765E9</v>
      </c>
      <c r="AI252" s="109"/>
      <c r="AJ252" s="109" t="s">
        <v>3999</v>
      </c>
      <c r="AK252" s="109" t="s">
        <v>4000</v>
      </c>
      <c r="AL252" s="109" t="s">
        <v>4001</v>
      </c>
      <c r="AM252" s="109" t="s">
        <v>4002</v>
      </c>
      <c r="AN252" s="109" t="s">
        <v>4003</v>
      </c>
      <c r="AO252" s="109"/>
      <c r="AP252" s="109" t="s">
        <v>4004</v>
      </c>
      <c r="AQ252" s="142"/>
      <c r="AR252" s="109" t="s">
        <v>1241</v>
      </c>
      <c r="AS252" s="109">
        <v>43303.0</v>
      </c>
    </row>
    <row r="253" ht="14.25" customHeight="1">
      <c r="A253" s="188">
        <v>248.0</v>
      </c>
      <c r="B253" s="142" t="s">
        <v>2217</v>
      </c>
      <c r="C253" s="142" t="s">
        <v>4005</v>
      </c>
      <c r="D253" s="142" t="s">
        <v>2562</v>
      </c>
      <c r="E253" s="109" t="s">
        <v>1831</v>
      </c>
      <c r="F253" s="109"/>
      <c r="G253" s="109" t="s">
        <v>57</v>
      </c>
      <c r="H253" s="109">
        <v>1.072516323E9</v>
      </c>
      <c r="I253" s="109">
        <v>42590.0</v>
      </c>
      <c r="J253" s="109">
        <v>42576.0</v>
      </c>
      <c r="K253" s="109">
        <v>42589.0</v>
      </c>
      <c r="L253" s="109">
        <v>42590.0</v>
      </c>
      <c r="M253" s="109">
        <v>42743.0</v>
      </c>
      <c r="N253" s="109"/>
      <c r="O253" s="109"/>
      <c r="P253" s="109"/>
      <c r="Q253" s="109"/>
      <c r="R253" s="109">
        <v>42744.0</v>
      </c>
      <c r="S253" s="109">
        <v>43473.0</v>
      </c>
      <c r="T253" s="109"/>
      <c r="U253" s="109"/>
      <c r="V253" s="109"/>
      <c r="W253" s="109"/>
      <c r="X253" s="109"/>
      <c r="Y253" s="109"/>
      <c r="Z253" s="109"/>
      <c r="AA253" s="109"/>
      <c r="AB253" s="109"/>
      <c r="AC253" s="109" t="s">
        <v>394</v>
      </c>
      <c r="AD253" s="109">
        <v>35459.0</v>
      </c>
      <c r="AE253" s="109" t="s">
        <v>4006</v>
      </c>
      <c r="AF253" s="109"/>
      <c r="AG253" s="109"/>
      <c r="AH253" s="109" t="s">
        <v>4007</v>
      </c>
      <c r="AI253" s="109"/>
      <c r="AJ253" s="109" t="s">
        <v>4008</v>
      </c>
      <c r="AK253" s="109" t="s">
        <v>4009</v>
      </c>
      <c r="AL253" s="109" t="s">
        <v>4010</v>
      </c>
      <c r="AM253" s="109" t="s">
        <v>4011</v>
      </c>
      <c r="AN253" s="109" t="s">
        <v>4012</v>
      </c>
      <c r="AO253" s="109"/>
      <c r="AP253" s="109"/>
      <c r="AQ253" s="142"/>
      <c r="AR253" s="109" t="s">
        <v>3617</v>
      </c>
      <c r="AS253" s="109">
        <v>43283.0</v>
      </c>
    </row>
    <row r="254" ht="14.25" customHeight="1">
      <c r="A254" s="188">
        <v>249.0</v>
      </c>
      <c r="B254" s="142" t="s">
        <v>2319</v>
      </c>
      <c r="C254" s="142" t="s">
        <v>4013</v>
      </c>
      <c r="D254" s="142" t="s">
        <v>4014</v>
      </c>
      <c r="E254" s="109" t="s">
        <v>82</v>
      </c>
      <c r="F254" s="109"/>
      <c r="G254" s="109" t="s">
        <v>16</v>
      </c>
      <c r="H254" s="109">
        <v>1.020318412E9</v>
      </c>
      <c r="I254" s="109">
        <v>43134.0</v>
      </c>
      <c r="J254" s="109"/>
      <c r="K254" s="109"/>
      <c r="L254" s="109"/>
      <c r="M254" s="109"/>
      <c r="N254" s="109"/>
      <c r="O254" s="109"/>
      <c r="P254" s="109"/>
      <c r="Q254" s="109"/>
      <c r="R254" s="109"/>
      <c r="S254" s="109"/>
      <c r="T254" s="109"/>
      <c r="U254" s="109"/>
      <c r="V254" s="109"/>
      <c r="W254" s="109"/>
      <c r="X254" s="109"/>
      <c r="Y254" s="109"/>
      <c r="Z254" s="109">
        <v>43134.0</v>
      </c>
      <c r="AA254" s="109">
        <v>43314.0</v>
      </c>
      <c r="AB254" s="109"/>
      <c r="AC254" s="109" t="s">
        <v>394</v>
      </c>
      <c r="AD254" s="109">
        <v>34846.0</v>
      </c>
      <c r="AE254" s="109" t="s">
        <v>4015</v>
      </c>
      <c r="AF254" s="109" t="s">
        <v>3624</v>
      </c>
      <c r="AG254" s="109"/>
      <c r="AH254" s="109">
        <v>9.509389448E9</v>
      </c>
      <c r="AI254" s="109"/>
      <c r="AJ254" s="109" t="s">
        <v>4016</v>
      </c>
      <c r="AK254" s="109" t="s">
        <v>4017</v>
      </c>
      <c r="AL254" s="109" t="s">
        <v>4018</v>
      </c>
      <c r="AM254" s="109" t="s">
        <v>4019</v>
      </c>
      <c r="AN254" s="109" t="s">
        <v>4020</v>
      </c>
      <c r="AO254" s="109"/>
      <c r="AP254" s="109"/>
      <c r="AQ254" s="142"/>
      <c r="AR254" s="109" t="s">
        <v>1241</v>
      </c>
      <c r="AS254" s="109">
        <v>43314.0</v>
      </c>
    </row>
    <row r="255" ht="14.25" customHeight="1">
      <c r="A255" s="188">
        <v>250.0</v>
      </c>
      <c r="B255" s="142" t="s">
        <v>4021</v>
      </c>
      <c r="C255" s="142" t="s">
        <v>4022</v>
      </c>
      <c r="D255" s="142" t="s">
        <v>4023</v>
      </c>
      <c r="E255" s="109" t="s">
        <v>82</v>
      </c>
      <c r="F255" s="109"/>
      <c r="G255" s="109" t="s">
        <v>16</v>
      </c>
      <c r="H255" s="109">
        <v>1.020718414E9</v>
      </c>
      <c r="I255" s="109">
        <v>43138.0</v>
      </c>
      <c r="J255" s="109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109"/>
      <c r="Y255" s="109"/>
      <c r="Z255" s="109">
        <v>43138.0</v>
      </c>
      <c r="AA255" s="109">
        <v>43318.0</v>
      </c>
      <c r="AB255" s="109"/>
      <c r="AC255" s="109" t="s">
        <v>217</v>
      </c>
      <c r="AD255" s="109">
        <v>32130.0</v>
      </c>
      <c r="AE255" s="109" t="s">
        <v>4024</v>
      </c>
      <c r="AF255" s="109" t="s">
        <v>4025</v>
      </c>
      <c r="AG255" s="109"/>
      <c r="AH255" s="109">
        <v>9.063121217E9</v>
      </c>
      <c r="AI255" s="109"/>
      <c r="AJ255" s="109" t="s">
        <v>4026</v>
      </c>
      <c r="AK255" s="109" t="s">
        <v>4027</v>
      </c>
      <c r="AL255" s="109" t="s">
        <v>4028</v>
      </c>
      <c r="AM255" s="109" t="s">
        <v>4029</v>
      </c>
      <c r="AN255" s="109" t="s">
        <v>4030</v>
      </c>
      <c r="AO255" s="109"/>
      <c r="AP255" s="109" t="s">
        <v>4031</v>
      </c>
      <c r="AQ255" s="142"/>
      <c r="AR255" s="109" t="s">
        <v>1241</v>
      </c>
      <c r="AS255" s="109">
        <v>43318.0</v>
      </c>
    </row>
    <row r="256" ht="14.25" customHeight="1">
      <c r="A256" s="188">
        <v>251.0</v>
      </c>
      <c r="B256" s="142" t="s">
        <v>4032</v>
      </c>
      <c r="C256" s="142" t="s">
        <v>462</v>
      </c>
      <c r="D256" s="142" t="s">
        <v>4033</v>
      </c>
      <c r="E256" s="109" t="s">
        <v>82</v>
      </c>
      <c r="F256" s="109"/>
      <c r="G256" s="109" t="s">
        <v>16</v>
      </c>
      <c r="H256" s="109">
        <v>1.021518417E9</v>
      </c>
      <c r="I256" s="109">
        <v>43146.0</v>
      </c>
      <c r="J256" s="109"/>
      <c r="K256" s="109"/>
      <c r="L256" s="109"/>
      <c r="M256" s="109"/>
      <c r="N256" s="109"/>
      <c r="O256" s="109"/>
      <c r="P256" s="109"/>
      <c r="Q256" s="109"/>
      <c r="R256" s="109"/>
      <c r="S256" s="109"/>
      <c r="T256" s="109"/>
      <c r="U256" s="109"/>
      <c r="V256" s="109"/>
      <c r="W256" s="109"/>
      <c r="X256" s="109"/>
      <c r="Y256" s="109"/>
      <c r="Z256" s="109">
        <v>43146.0</v>
      </c>
      <c r="AA256" s="109">
        <v>43326.0</v>
      </c>
      <c r="AB256" s="109"/>
      <c r="AC256" s="109" t="s">
        <v>394</v>
      </c>
      <c r="AD256" s="109">
        <v>35376.0</v>
      </c>
      <c r="AE256" s="109" t="s">
        <v>4034</v>
      </c>
      <c r="AF256" s="109" t="s">
        <v>4035</v>
      </c>
      <c r="AG256" s="109"/>
      <c r="AH256" s="109" t="s">
        <v>4036</v>
      </c>
      <c r="AI256" s="109"/>
      <c r="AJ256" s="109" t="s">
        <v>4037</v>
      </c>
      <c r="AK256" s="109" t="s">
        <v>4038</v>
      </c>
      <c r="AL256" s="109" t="s">
        <v>4039</v>
      </c>
      <c r="AM256" s="205" t="s">
        <v>4040</v>
      </c>
      <c r="AN256" s="109" t="s">
        <v>4041</v>
      </c>
      <c r="AO256" s="109"/>
      <c r="AP256" s="109"/>
      <c r="AQ256" s="142"/>
      <c r="AR256" s="109" t="s">
        <v>1241</v>
      </c>
      <c r="AS256" s="109">
        <v>43318.0</v>
      </c>
    </row>
    <row r="257" ht="14.25" customHeight="1">
      <c r="A257" s="188">
        <v>252.0</v>
      </c>
      <c r="B257" s="142" t="s">
        <v>2064</v>
      </c>
      <c r="C257" s="142" t="s">
        <v>4042</v>
      </c>
      <c r="D257" s="142" t="s">
        <v>4043</v>
      </c>
      <c r="E257" s="109" t="s">
        <v>3391</v>
      </c>
      <c r="F257" s="109"/>
      <c r="G257" s="109" t="s">
        <v>16</v>
      </c>
      <c r="H257" s="109">
        <v>1.021618418E9</v>
      </c>
      <c r="I257" s="109">
        <v>43147.0</v>
      </c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>
        <v>43147.0</v>
      </c>
      <c r="AA257" s="109">
        <v>43327.0</v>
      </c>
      <c r="AB257" s="109"/>
      <c r="AC257" s="109" t="s">
        <v>394</v>
      </c>
      <c r="AD257" s="109">
        <v>32844.0</v>
      </c>
      <c r="AE257" s="109" t="s">
        <v>4044</v>
      </c>
      <c r="AF257" s="109" t="s">
        <v>4045</v>
      </c>
      <c r="AG257" s="109"/>
      <c r="AH257" s="109">
        <v>9.306353511E9</v>
      </c>
      <c r="AI257" s="109"/>
      <c r="AJ257" s="109" t="s">
        <v>4046</v>
      </c>
      <c r="AK257" s="109" t="s">
        <v>4047</v>
      </c>
      <c r="AL257" s="109" t="s">
        <v>4048</v>
      </c>
      <c r="AM257" s="109" t="s">
        <v>4049</v>
      </c>
      <c r="AN257" s="109" t="s">
        <v>4050</v>
      </c>
      <c r="AO257" s="109"/>
      <c r="AP257" s="109" t="s">
        <v>4051</v>
      </c>
      <c r="AQ257" s="142"/>
      <c r="AR257" s="109" t="s">
        <v>3617</v>
      </c>
      <c r="AS257" s="109">
        <v>43310.0</v>
      </c>
    </row>
    <row r="258" ht="14.25" customHeight="1">
      <c r="A258" s="188">
        <v>253.0</v>
      </c>
      <c r="B258" s="142" t="s">
        <v>4052</v>
      </c>
      <c r="C258" s="142" t="s">
        <v>4053</v>
      </c>
      <c r="D258" s="142" t="s">
        <v>4054</v>
      </c>
      <c r="E258" s="109" t="s">
        <v>3880</v>
      </c>
      <c r="F258" s="109"/>
      <c r="G258" s="109" t="s">
        <v>16</v>
      </c>
      <c r="H258" s="109">
        <v>1.022118419E9</v>
      </c>
      <c r="I258" s="109">
        <v>43152.0</v>
      </c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>
        <v>43152.0</v>
      </c>
      <c r="AA258" s="109">
        <v>43332.0</v>
      </c>
      <c r="AB258" s="109"/>
      <c r="AC258" s="109" t="s">
        <v>394</v>
      </c>
      <c r="AD258" s="109">
        <v>32224.0</v>
      </c>
      <c r="AE258" s="109" t="s">
        <v>4055</v>
      </c>
      <c r="AF258" s="109" t="s">
        <v>4056</v>
      </c>
      <c r="AG258" s="109"/>
      <c r="AH258" s="109">
        <v>9.308956302E9</v>
      </c>
      <c r="AI258" s="109"/>
      <c r="AJ258" s="109" t="s">
        <v>4057</v>
      </c>
      <c r="AK258" s="109" t="s">
        <v>4058</v>
      </c>
      <c r="AL258" s="109" t="s">
        <v>4059</v>
      </c>
      <c r="AM258" s="109" t="s">
        <v>4060</v>
      </c>
      <c r="AN258" s="109" t="s">
        <v>4061</v>
      </c>
      <c r="AO258" s="109"/>
      <c r="AP258" s="109" t="s">
        <v>4062</v>
      </c>
      <c r="AQ258" s="142"/>
      <c r="AR258" s="109" t="s">
        <v>1241</v>
      </c>
      <c r="AS258" s="109">
        <v>43332.0</v>
      </c>
    </row>
    <row r="259" ht="14.25" customHeight="1">
      <c r="A259" s="188">
        <v>254.0</v>
      </c>
      <c r="B259" s="142" t="s">
        <v>4063</v>
      </c>
      <c r="C259" s="142" t="s">
        <v>2336</v>
      </c>
      <c r="D259" s="142" t="s">
        <v>4064</v>
      </c>
      <c r="E259" s="109" t="s">
        <v>82</v>
      </c>
      <c r="F259" s="109"/>
      <c r="G259" s="109" t="s">
        <v>16</v>
      </c>
      <c r="H259" s="202">
        <v>1.05261844E9</v>
      </c>
      <c r="I259" s="109">
        <v>43246.0</v>
      </c>
      <c r="J259" s="109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109"/>
      <c r="Y259" s="109"/>
      <c r="Z259" s="109">
        <v>43246.0</v>
      </c>
      <c r="AA259" s="109">
        <v>43429.0</v>
      </c>
      <c r="AB259" s="109"/>
      <c r="AC259" s="109" t="s">
        <v>217</v>
      </c>
      <c r="AD259" s="109"/>
      <c r="AE259" s="109" t="s">
        <v>4065</v>
      </c>
      <c r="AF259" s="109" t="s">
        <v>4066</v>
      </c>
      <c r="AG259" s="109"/>
      <c r="AH259" s="109">
        <v>9.06964025E9</v>
      </c>
      <c r="AI259" s="109"/>
      <c r="AJ259" s="109" t="s">
        <v>4067</v>
      </c>
      <c r="AK259" s="109" t="s">
        <v>4068</v>
      </c>
      <c r="AL259" s="109" t="s">
        <v>4069</v>
      </c>
      <c r="AM259" s="109" t="s">
        <v>4070</v>
      </c>
      <c r="AN259" s="109" t="s">
        <v>4071</v>
      </c>
      <c r="AO259" s="109"/>
      <c r="AP259" s="109"/>
      <c r="AQ259" s="142"/>
      <c r="AR259" s="109" t="s">
        <v>983</v>
      </c>
      <c r="AS259" s="109">
        <v>43294.0</v>
      </c>
    </row>
    <row r="260" ht="14.25" customHeight="1">
      <c r="A260" s="188">
        <v>255.0</v>
      </c>
      <c r="B260" s="142" t="s">
        <v>4072</v>
      </c>
      <c r="C260" s="142" t="s">
        <v>4073</v>
      </c>
      <c r="D260" s="142" t="s">
        <v>4074</v>
      </c>
      <c r="E260" s="109" t="s">
        <v>82</v>
      </c>
      <c r="F260" s="109"/>
      <c r="G260" s="109" t="s">
        <v>16</v>
      </c>
      <c r="H260" s="109">
        <v>1.060618444E9</v>
      </c>
      <c r="I260" s="109">
        <v>43257.0</v>
      </c>
      <c r="J260" s="109"/>
      <c r="K260" s="109"/>
      <c r="L260" s="109"/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109"/>
      <c r="Y260" s="109"/>
      <c r="Z260" s="109">
        <v>43257.0</v>
      </c>
      <c r="AA260" s="109">
        <v>43439.0</v>
      </c>
      <c r="AB260" s="109"/>
      <c r="AC260" s="109" t="s">
        <v>394</v>
      </c>
      <c r="AD260" s="109">
        <v>34199.0</v>
      </c>
      <c r="AE260" s="109" t="s">
        <v>4075</v>
      </c>
      <c r="AF260" s="109" t="s">
        <v>4076</v>
      </c>
      <c r="AG260" s="109"/>
      <c r="AH260" s="109">
        <v>9.569315224E9</v>
      </c>
      <c r="AI260" s="109"/>
      <c r="AJ260" s="109" t="s">
        <v>4077</v>
      </c>
      <c r="AK260" s="109" t="s">
        <v>4078</v>
      </c>
      <c r="AL260" s="109" t="s">
        <v>4079</v>
      </c>
      <c r="AM260" s="162" t="s">
        <v>4080</v>
      </c>
      <c r="AN260" s="109" t="s">
        <v>4081</v>
      </c>
      <c r="AO260" s="109"/>
      <c r="AP260" s="109"/>
      <c r="AQ260" s="142"/>
      <c r="AR260" s="109" t="s">
        <v>3617</v>
      </c>
      <c r="AS260" s="109">
        <v>43322.0</v>
      </c>
    </row>
    <row r="261" ht="14.25" customHeight="1">
      <c r="A261" s="188">
        <v>256.0</v>
      </c>
      <c r="B261" s="142" t="s">
        <v>1673</v>
      </c>
      <c r="C261" s="142" t="s">
        <v>4082</v>
      </c>
      <c r="D261" s="142" t="s">
        <v>4083</v>
      </c>
      <c r="E261" s="109" t="s">
        <v>176</v>
      </c>
      <c r="F261" s="109"/>
      <c r="G261" s="109" t="s">
        <v>424</v>
      </c>
      <c r="H261" s="109">
        <v>1.030118423E9</v>
      </c>
      <c r="I261" s="109">
        <v>43160.0</v>
      </c>
      <c r="J261" s="109"/>
      <c r="K261" s="109"/>
      <c r="L261" s="109">
        <v>43160.0</v>
      </c>
      <c r="M261" s="109">
        <v>43343.0</v>
      </c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109"/>
      <c r="Y261" s="109"/>
      <c r="Z261" s="109"/>
      <c r="AA261" s="109"/>
      <c r="AB261" s="109"/>
      <c r="AC261" s="109" t="s">
        <v>394</v>
      </c>
      <c r="AD261" s="109">
        <v>34305.0</v>
      </c>
      <c r="AE261" s="109" t="s">
        <v>4084</v>
      </c>
      <c r="AF261" s="109" t="s">
        <v>4085</v>
      </c>
      <c r="AG261" s="109"/>
      <c r="AH261" s="109">
        <v>9.501669178E9</v>
      </c>
      <c r="AI261" s="109"/>
      <c r="AJ261" s="109" t="s">
        <v>4086</v>
      </c>
      <c r="AK261" s="109" t="s">
        <v>4087</v>
      </c>
      <c r="AL261" s="109" t="s">
        <v>4088</v>
      </c>
      <c r="AM261" s="109" t="s">
        <v>4089</v>
      </c>
      <c r="AN261" s="109" t="s">
        <v>4090</v>
      </c>
      <c r="AO261" s="109"/>
      <c r="AP261" s="109"/>
      <c r="AQ261" s="142"/>
      <c r="AR261" s="109" t="s">
        <v>4091</v>
      </c>
      <c r="AS261" s="109">
        <v>43322.0</v>
      </c>
    </row>
    <row r="262" ht="14.25" customHeight="1">
      <c r="A262" s="188">
        <v>257.0</v>
      </c>
      <c r="B262" s="142" t="s">
        <v>76</v>
      </c>
      <c r="C262" s="142" t="s">
        <v>4092</v>
      </c>
      <c r="D262" s="142" t="s">
        <v>4093</v>
      </c>
      <c r="E262" s="109" t="s">
        <v>717</v>
      </c>
      <c r="F262" s="109"/>
      <c r="G262" s="109" t="s">
        <v>57</v>
      </c>
      <c r="H262" s="109">
        <v>1.051617373E9</v>
      </c>
      <c r="I262" s="109">
        <v>42871.0</v>
      </c>
      <c r="J262" s="109"/>
      <c r="K262" s="109"/>
      <c r="L262" s="109"/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109"/>
      <c r="Y262" s="109"/>
      <c r="Z262" s="109">
        <v>42871.0</v>
      </c>
      <c r="AA262" s="109">
        <v>43054.0</v>
      </c>
      <c r="AB262" s="109"/>
      <c r="AC262" s="109" t="s">
        <v>394</v>
      </c>
      <c r="AD262" s="109">
        <v>35001.0</v>
      </c>
      <c r="AE262" s="109" t="s">
        <v>4094</v>
      </c>
      <c r="AF262" s="109" t="s">
        <v>4095</v>
      </c>
      <c r="AG262" s="109"/>
      <c r="AH262" s="109">
        <v>9.267819018E9</v>
      </c>
      <c r="AI262" s="109"/>
      <c r="AJ262" s="109" t="s">
        <v>4096</v>
      </c>
      <c r="AK262" s="109" t="s">
        <v>4097</v>
      </c>
      <c r="AL262" s="109" t="s">
        <v>4098</v>
      </c>
      <c r="AM262" s="109" t="s">
        <v>4099</v>
      </c>
      <c r="AN262" s="109" t="s">
        <v>4100</v>
      </c>
      <c r="AO262" s="109"/>
      <c r="AP262" s="109"/>
      <c r="AQ262" s="142"/>
      <c r="AR262" s="109" t="s">
        <v>3617</v>
      </c>
      <c r="AS262" s="109">
        <v>43312.0</v>
      </c>
    </row>
    <row r="263" ht="14.25" customHeight="1">
      <c r="A263" s="188">
        <v>258.0</v>
      </c>
      <c r="B263" s="158" t="s">
        <v>4101</v>
      </c>
      <c r="C263" s="158" t="s">
        <v>4102</v>
      </c>
      <c r="D263" s="158" t="s">
        <v>4103</v>
      </c>
      <c r="E263" s="109" t="s">
        <v>4104</v>
      </c>
      <c r="F263" s="109" t="s">
        <v>4105</v>
      </c>
      <c r="G263" s="109" t="s">
        <v>57</v>
      </c>
      <c r="H263" s="109">
        <v>1.022017356E9</v>
      </c>
      <c r="I263" s="109">
        <v>42786.0</v>
      </c>
      <c r="J263" s="109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109"/>
      <c r="Y263" s="109"/>
      <c r="Z263" s="109">
        <v>42786.0</v>
      </c>
      <c r="AA263" s="109">
        <v>42966.0</v>
      </c>
      <c r="AB263" s="109"/>
      <c r="AC263" s="109" t="s">
        <v>394</v>
      </c>
      <c r="AD263" s="109">
        <v>33444.0</v>
      </c>
      <c r="AE263" s="109" t="s">
        <v>4106</v>
      </c>
      <c r="AF263" s="109" t="s">
        <v>4107</v>
      </c>
      <c r="AG263" s="109"/>
      <c r="AH263" s="109">
        <v>9.304887706E9</v>
      </c>
      <c r="AI263" s="109"/>
      <c r="AJ263" s="109" t="s">
        <v>4108</v>
      </c>
      <c r="AK263" s="109" t="s">
        <v>4109</v>
      </c>
      <c r="AL263" s="109" t="s">
        <v>4110</v>
      </c>
      <c r="AM263" s="109" t="s">
        <v>4111</v>
      </c>
      <c r="AN263" s="109" t="s">
        <v>4112</v>
      </c>
      <c r="AO263" s="109"/>
      <c r="AP263" s="109"/>
      <c r="AQ263" s="142"/>
      <c r="AR263" s="109" t="s">
        <v>954</v>
      </c>
      <c r="AS263" s="109">
        <v>43311.0</v>
      </c>
    </row>
    <row r="264" ht="14.25" customHeight="1">
      <c r="A264" s="188">
        <v>259.0</v>
      </c>
      <c r="B264" s="158" t="s">
        <v>435</v>
      </c>
      <c r="C264" s="158" t="s">
        <v>533</v>
      </c>
      <c r="D264" s="158" t="s">
        <v>4113</v>
      </c>
      <c r="E264" s="109" t="s">
        <v>103</v>
      </c>
      <c r="F264" s="109" t="s">
        <v>56</v>
      </c>
      <c r="G264" s="109" t="s">
        <v>57</v>
      </c>
      <c r="H264" s="109">
        <v>1.01140501E9</v>
      </c>
      <c r="I264" s="109">
        <v>38366.0</v>
      </c>
      <c r="J264" s="109">
        <v>38335.0</v>
      </c>
      <c r="K264" s="109">
        <v>38366.0</v>
      </c>
      <c r="L264" s="109">
        <v>38366.0</v>
      </c>
      <c r="M264" s="109">
        <v>38517.0</v>
      </c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109"/>
      <c r="Y264" s="109"/>
      <c r="Z264" s="109"/>
      <c r="AA264" s="109"/>
      <c r="AB264" s="109"/>
      <c r="AC264" s="109" t="s">
        <v>217</v>
      </c>
      <c r="AD264" s="109">
        <v>27245.0</v>
      </c>
      <c r="AE264" s="109" t="s">
        <v>4114</v>
      </c>
      <c r="AF264" s="109" t="s">
        <v>4115</v>
      </c>
      <c r="AG264" s="109"/>
      <c r="AH264" s="109">
        <v>9.228530682E9</v>
      </c>
      <c r="AI264" s="109"/>
      <c r="AJ264" s="109" t="s">
        <v>4116</v>
      </c>
      <c r="AK264" s="109" t="s">
        <v>4117</v>
      </c>
      <c r="AL264" s="109" t="s">
        <v>4118</v>
      </c>
      <c r="AM264" s="109" t="s">
        <v>4119</v>
      </c>
      <c r="AN264" s="109" t="s">
        <v>4120</v>
      </c>
      <c r="AO264" s="109"/>
      <c r="AP264" s="109" t="s">
        <v>4121</v>
      </c>
      <c r="AQ264" s="142"/>
      <c r="AR264" s="109" t="s">
        <v>954</v>
      </c>
      <c r="AS264" s="109">
        <v>43312.0</v>
      </c>
    </row>
    <row r="265" ht="14.25" customHeight="1">
      <c r="A265" s="188">
        <v>260.0</v>
      </c>
      <c r="B265" s="158" t="s">
        <v>4122</v>
      </c>
      <c r="C265" s="158" t="s">
        <v>2453</v>
      </c>
      <c r="D265" s="158" t="s">
        <v>4123</v>
      </c>
      <c r="E265" s="109" t="s">
        <v>2047</v>
      </c>
      <c r="F265" s="109" t="s">
        <v>4124</v>
      </c>
      <c r="G265" s="109" t="s">
        <v>16</v>
      </c>
      <c r="H265" s="109">
        <v>1.02271842E9</v>
      </c>
      <c r="I265" s="109">
        <v>43158.0</v>
      </c>
      <c r="J265" s="109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109"/>
      <c r="Y265" s="109"/>
      <c r="Z265" s="109">
        <v>43158.0</v>
      </c>
      <c r="AA265" s="109">
        <v>43338.0</v>
      </c>
      <c r="AB265" s="109"/>
      <c r="AC265" s="109" t="s">
        <v>394</v>
      </c>
      <c r="AD265" s="109">
        <v>36083.0</v>
      </c>
      <c r="AE265" s="109" t="s">
        <v>4125</v>
      </c>
      <c r="AF265" s="109" t="s">
        <v>4126</v>
      </c>
      <c r="AG265" s="109"/>
      <c r="AH265" s="109">
        <v>9.356513351E9</v>
      </c>
      <c r="AI265" s="109"/>
      <c r="AJ265" s="109" t="s">
        <v>3274</v>
      </c>
      <c r="AK265" s="109" t="s">
        <v>4127</v>
      </c>
      <c r="AL265" s="109" t="s">
        <v>4128</v>
      </c>
      <c r="AM265" s="109" t="s">
        <v>4129</v>
      </c>
      <c r="AN265" s="109" t="s">
        <v>4130</v>
      </c>
      <c r="AO265" s="109"/>
      <c r="AP265" s="109"/>
      <c r="AQ265" s="142"/>
      <c r="AR265" s="189" t="s">
        <v>1241</v>
      </c>
      <c r="AS265" s="109">
        <v>43307.0</v>
      </c>
    </row>
    <row r="266" ht="14.25" customHeight="1">
      <c r="A266" s="188">
        <v>261.0</v>
      </c>
      <c r="B266" s="158" t="s">
        <v>4131</v>
      </c>
      <c r="C266" s="158" t="s">
        <v>4132</v>
      </c>
      <c r="D266" s="158" t="s">
        <v>4133</v>
      </c>
      <c r="E266" s="109" t="s">
        <v>4134</v>
      </c>
      <c r="F266" s="109" t="s">
        <v>4135</v>
      </c>
      <c r="G266" s="109" t="s">
        <v>57</v>
      </c>
      <c r="H266" s="109">
        <v>1.010614198E9</v>
      </c>
      <c r="I266" s="109">
        <v>41736.0</v>
      </c>
      <c r="J266" s="109">
        <v>41645.0</v>
      </c>
      <c r="K266" s="109">
        <v>41735.0</v>
      </c>
      <c r="L266" s="109">
        <v>41736.0</v>
      </c>
      <c r="M266" s="109">
        <v>41888.0</v>
      </c>
      <c r="N266" s="109"/>
      <c r="O266" s="109"/>
      <c r="P266" s="109"/>
      <c r="Q266" s="109"/>
      <c r="R266" s="109">
        <v>41889.0</v>
      </c>
      <c r="S266" s="109">
        <v>42253.0</v>
      </c>
      <c r="T266" s="109">
        <v>42254.0</v>
      </c>
      <c r="U266" s="109">
        <v>42619.0</v>
      </c>
      <c r="V266" s="109">
        <v>42620.0</v>
      </c>
      <c r="W266" s="109">
        <v>43349.0</v>
      </c>
      <c r="X266" s="109"/>
      <c r="Y266" s="109"/>
      <c r="Z266" s="109"/>
      <c r="AA266" s="109"/>
      <c r="AB266" s="109"/>
      <c r="AC266" s="109" t="s">
        <v>394</v>
      </c>
      <c r="AD266" s="109">
        <v>34370.0</v>
      </c>
      <c r="AE266" s="109" t="s">
        <v>4136</v>
      </c>
      <c r="AF266" s="109"/>
      <c r="AG266" s="109"/>
      <c r="AH266" s="109">
        <v>9.059764431E9</v>
      </c>
      <c r="AI266" s="109"/>
      <c r="AJ266" s="109" t="s">
        <v>2195</v>
      </c>
      <c r="AK266" s="109" t="s">
        <v>4137</v>
      </c>
      <c r="AL266" s="202" t="s">
        <v>4138</v>
      </c>
      <c r="AM266" s="202" t="s">
        <v>4139</v>
      </c>
      <c r="AN266" s="202" t="s">
        <v>4140</v>
      </c>
      <c r="AO266" s="109"/>
      <c r="AP266" s="109"/>
      <c r="AQ266" s="142"/>
      <c r="AR266" s="109" t="s">
        <v>3617</v>
      </c>
      <c r="AS266" s="109">
        <v>43353.0</v>
      </c>
    </row>
    <row r="267" ht="14.25" customHeight="1">
      <c r="A267" s="188">
        <v>262.0</v>
      </c>
      <c r="B267" s="158" t="s">
        <v>4141</v>
      </c>
      <c r="C267" s="158" t="s">
        <v>4142</v>
      </c>
      <c r="D267" s="158" t="s">
        <v>4143</v>
      </c>
      <c r="E267" s="109" t="s">
        <v>4134</v>
      </c>
      <c r="F267" s="109" t="s">
        <v>4135</v>
      </c>
      <c r="G267" s="109" t="s">
        <v>57</v>
      </c>
      <c r="H267" s="109">
        <v>1.09271633E9</v>
      </c>
      <c r="I267" s="109">
        <v>42640.0</v>
      </c>
      <c r="J267" s="109">
        <v>42626.0</v>
      </c>
      <c r="K267" s="109">
        <v>42639.0</v>
      </c>
      <c r="L267" s="109">
        <v>42640.0</v>
      </c>
      <c r="M267" s="109">
        <v>42792.0</v>
      </c>
      <c r="N267" s="109"/>
      <c r="O267" s="109"/>
      <c r="P267" s="109"/>
      <c r="Q267" s="109"/>
      <c r="R267" s="109">
        <v>42793.0</v>
      </c>
      <c r="S267" s="109">
        <v>43522.0</v>
      </c>
      <c r="T267" s="109"/>
      <c r="U267" s="109"/>
      <c r="V267" s="109"/>
      <c r="W267" s="109"/>
      <c r="X267" s="109"/>
      <c r="Y267" s="109"/>
      <c r="Z267" s="109"/>
      <c r="AA267" s="109"/>
      <c r="AB267" s="109"/>
      <c r="AC267" s="109" t="s">
        <v>394</v>
      </c>
      <c r="AD267" s="109">
        <v>34813.0</v>
      </c>
      <c r="AE267" s="109" t="s">
        <v>4144</v>
      </c>
      <c r="AF267" s="109" t="s">
        <v>4145</v>
      </c>
      <c r="AG267" s="109"/>
      <c r="AH267" s="109">
        <v>9.263503522E9</v>
      </c>
      <c r="AI267" s="109"/>
      <c r="AJ267" s="109" t="s">
        <v>1847</v>
      </c>
      <c r="AK267" s="109" t="s">
        <v>4146</v>
      </c>
      <c r="AL267" s="109" t="s">
        <v>4147</v>
      </c>
      <c r="AM267" s="109" t="s">
        <v>4148</v>
      </c>
      <c r="AN267" s="109" t="s">
        <v>4149</v>
      </c>
      <c r="AO267" s="109"/>
      <c r="AP267" s="109"/>
      <c r="AQ267" s="142"/>
      <c r="AR267" s="109" t="s">
        <v>3617</v>
      </c>
      <c r="AS267" s="109">
        <v>43356.0</v>
      </c>
    </row>
    <row r="268" ht="14.25" customHeight="1">
      <c r="A268" s="188">
        <v>263.0</v>
      </c>
      <c r="B268" s="158" t="s">
        <v>4150</v>
      </c>
      <c r="C268" s="158" t="s">
        <v>4151</v>
      </c>
      <c r="D268" s="158" t="s">
        <v>4152</v>
      </c>
      <c r="E268" s="109" t="s">
        <v>82</v>
      </c>
      <c r="F268" s="109" t="s">
        <v>4135</v>
      </c>
      <c r="G268" s="109" t="s">
        <v>16</v>
      </c>
      <c r="H268" s="109">
        <v>1.060818447E9</v>
      </c>
      <c r="I268" s="109">
        <v>43259.0</v>
      </c>
      <c r="J268" s="109"/>
      <c r="K268" s="109"/>
      <c r="L268" s="109"/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109">
        <v>43259.0</v>
      </c>
      <c r="Y268" s="109">
        <v>43441.0</v>
      </c>
      <c r="Z268" s="109"/>
      <c r="AA268" s="109"/>
      <c r="AB268" s="109"/>
      <c r="AC268" s="109" t="s">
        <v>217</v>
      </c>
      <c r="AD268" s="109">
        <v>33591.0</v>
      </c>
      <c r="AE268" s="109" t="s">
        <v>4153</v>
      </c>
      <c r="AF268" s="109" t="s">
        <v>4154</v>
      </c>
      <c r="AG268" s="109"/>
      <c r="AH268" s="109">
        <v>9.196300188E9</v>
      </c>
      <c r="AI268" s="109"/>
      <c r="AJ268" s="109" t="s">
        <v>4155</v>
      </c>
      <c r="AK268" s="109" t="s">
        <v>4156</v>
      </c>
      <c r="AL268" s="109" t="s">
        <v>4157</v>
      </c>
      <c r="AM268" s="109" t="s">
        <v>4158</v>
      </c>
      <c r="AN268" s="109"/>
      <c r="AO268" s="109"/>
      <c r="AP268" s="109"/>
      <c r="AQ268" s="142"/>
      <c r="AR268" s="109" t="s">
        <v>983</v>
      </c>
      <c r="AS268" s="109">
        <v>43327.0</v>
      </c>
    </row>
    <row r="269" ht="14.25" customHeight="1">
      <c r="A269" s="188">
        <v>264.0</v>
      </c>
      <c r="B269" s="158" t="s">
        <v>4159</v>
      </c>
      <c r="C269" s="158" t="s">
        <v>4160</v>
      </c>
      <c r="D269" s="158" t="s">
        <v>4161</v>
      </c>
      <c r="E269" s="109" t="s">
        <v>4162</v>
      </c>
      <c r="F269" s="109" t="s">
        <v>4135</v>
      </c>
      <c r="G269" s="109" t="s">
        <v>16</v>
      </c>
      <c r="H269" s="109">
        <v>1.090118145E9</v>
      </c>
      <c r="I269" s="109">
        <v>43344.0</v>
      </c>
      <c r="J269" s="109">
        <v>43344.0</v>
      </c>
      <c r="K269" s="109">
        <v>43359.0</v>
      </c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109">
        <v>43344.0</v>
      </c>
      <c r="Y269" s="109">
        <v>43524.0</v>
      </c>
      <c r="Z269" s="109"/>
      <c r="AA269" s="109"/>
      <c r="AB269" s="109"/>
      <c r="AC269" s="109" t="s">
        <v>394</v>
      </c>
      <c r="AD269" s="109">
        <v>33768.0</v>
      </c>
      <c r="AE269" s="109" t="s">
        <v>4163</v>
      </c>
      <c r="AF269" s="109" t="s">
        <v>4164</v>
      </c>
      <c r="AG269" s="109"/>
      <c r="AH269" s="109">
        <v>9.483140136E9</v>
      </c>
      <c r="AI269" s="109"/>
      <c r="AJ269" s="109" t="s">
        <v>4165</v>
      </c>
      <c r="AK269" s="109" t="s">
        <v>4166</v>
      </c>
      <c r="AL269" s="109" t="s">
        <v>4167</v>
      </c>
      <c r="AM269" s="206" t="s">
        <v>4168</v>
      </c>
      <c r="AN269" s="109"/>
      <c r="AO269" s="109"/>
      <c r="AP269" s="109"/>
      <c r="AQ269" s="142"/>
      <c r="AR269" s="109" t="s">
        <v>3617</v>
      </c>
      <c r="AS269" s="109" t="s">
        <v>4169</v>
      </c>
    </row>
    <row r="270" ht="14.25" customHeight="1">
      <c r="A270" s="188">
        <v>265.0</v>
      </c>
      <c r="B270" s="158" t="s">
        <v>4170</v>
      </c>
      <c r="C270" s="158" t="s">
        <v>4171</v>
      </c>
      <c r="D270" s="158"/>
      <c r="E270" s="109" t="s">
        <v>82</v>
      </c>
      <c r="F270" s="109" t="s">
        <v>4135</v>
      </c>
      <c r="G270" s="109" t="s">
        <v>16</v>
      </c>
      <c r="H270" s="109">
        <v>1.070518453E9</v>
      </c>
      <c r="I270" s="109">
        <v>43286.0</v>
      </c>
      <c r="J270" s="109"/>
      <c r="K270" s="109"/>
      <c r="L270" s="109"/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109">
        <v>43286.0</v>
      </c>
      <c r="Y270" s="109">
        <v>43469.0</v>
      </c>
      <c r="Z270" s="109"/>
      <c r="AA270" s="109"/>
      <c r="AB270" s="109"/>
      <c r="AC270" s="109" t="s">
        <v>394</v>
      </c>
      <c r="AD270" s="109">
        <v>33956.0</v>
      </c>
      <c r="AE270" s="109" t="s">
        <v>4172</v>
      </c>
      <c r="AF270" s="109"/>
      <c r="AG270" s="109"/>
      <c r="AH270" s="109">
        <v>9.55435221E9</v>
      </c>
      <c r="AI270" s="109"/>
      <c r="AJ270" s="109" t="s">
        <v>4173</v>
      </c>
      <c r="AK270" s="109" t="s">
        <v>4174</v>
      </c>
      <c r="AL270" s="109" t="s">
        <v>4175</v>
      </c>
      <c r="AM270" s="206" t="s">
        <v>4176</v>
      </c>
      <c r="AN270" s="162" t="s">
        <v>4177</v>
      </c>
      <c r="AO270" s="109"/>
      <c r="AP270" s="109" t="s">
        <v>4178</v>
      </c>
      <c r="AQ270" s="142"/>
      <c r="AR270" s="109" t="s">
        <v>983</v>
      </c>
      <c r="AS270" s="109">
        <v>43404.0</v>
      </c>
    </row>
    <row r="271" ht="14.25" customHeight="1">
      <c r="A271" s="188">
        <v>266.0</v>
      </c>
      <c r="B271" s="158" t="s">
        <v>4179</v>
      </c>
      <c r="C271" s="158" t="s">
        <v>75</v>
      </c>
      <c r="D271" s="158" t="s">
        <v>4180</v>
      </c>
      <c r="E271" s="109" t="s">
        <v>4162</v>
      </c>
      <c r="F271" s="109" t="s">
        <v>4135</v>
      </c>
      <c r="G271" s="109" t="s">
        <v>16</v>
      </c>
      <c r="H271" s="109">
        <v>1.050918432E9</v>
      </c>
      <c r="I271" s="109">
        <v>43229.0</v>
      </c>
      <c r="J271" s="109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109">
        <v>43229.0</v>
      </c>
      <c r="Y271" s="109">
        <v>43412.0</v>
      </c>
      <c r="Z271" s="109"/>
      <c r="AA271" s="109"/>
      <c r="AB271" s="109"/>
      <c r="AC271" s="109" t="s">
        <v>394</v>
      </c>
      <c r="AD271" s="109">
        <v>33691.0</v>
      </c>
      <c r="AE271" s="109" t="s">
        <v>4181</v>
      </c>
      <c r="AF271" s="109" t="s">
        <v>3624</v>
      </c>
      <c r="AG271" s="109"/>
      <c r="AH271" s="109">
        <v>9.1005581058E10</v>
      </c>
      <c r="AI271" s="109"/>
      <c r="AJ271" s="109" t="s">
        <v>4182</v>
      </c>
      <c r="AK271" s="109" t="s">
        <v>4183</v>
      </c>
      <c r="AL271" s="205" t="s">
        <v>4184</v>
      </c>
      <c r="AM271" s="109" t="s">
        <v>4185</v>
      </c>
      <c r="AN271" s="109" t="s">
        <v>4186</v>
      </c>
      <c r="AO271" s="109"/>
      <c r="AP271" s="109"/>
      <c r="AQ271" s="142"/>
      <c r="AR271" s="109" t="s">
        <v>1241</v>
      </c>
      <c r="AS271" s="109">
        <v>43404.0</v>
      </c>
    </row>
    <row r="272" ht="14.25" customHeight="1">
      <c r="A272" s="188">
        <v>267.0</v>
      </c>
      <c r="B272" s="158" t="s">
        <v>506</v>
      </c>
      <c r="C272" s="158" t="s">
        <v>997</v>
      </c>
      <c r="D272" s="158" t="s">
        <v>4187</v>
      </c>
      <c r="E272" s="109" t="s">
        <v>577</v>
      </c>
      <c r="F272" s="109" t="s">
        <v>537</v>
      </c>
      <c r="G272" s="109" t="s">
        <v>57</v>
      </c>
      <c r="H272" s="109">
        <v>1.080111093E9</v>
      </c>
      <c r="I272" s="109">
        <v>40862.0</v>
      </c>
      <c r="J272" s="109">
        <v>40756.0</v>
      </c>
      <c r="K272" s="109">
        <v>40848.0</v>
      </c>
      <c r="L272" s="109">
        <v>40862.0</v>
      </c>
      <c r="M272" s="109">
        <v>41014.0</v>
      </c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109">
        <v>41045.0</v>
      </c>
      <c r="Y272" s="109">
        <v>41229.0</v>
      </c>
      <c r="Z272" s="109"/>
      <c r="AA272" s="109"/>
      <c r="AB272" s="109"/>
      <c r="AC272" s="109" t="s">
        <v>217</v>
      </c>
      <c r="AD272" s="109">
        <v>32436.0</v>
      </c>
      <c r="AE272" s="109" t="s">
        <v>4188</v>
      </c>
      <c r="AF272" s="109" t="s">
        <v>4189</v>
      </c>
      <c r="AG272" s="109"/>
      <c r="AH272" s="109" t="s">
        <v>4190</v>
      </c>
      <c r="AI272" s="109"/>
      <c r="AJ272" s="109" t="s">
        <v>2237</v>
      </c>
      <c r="AK272" s="109" t="s">
        <v>4191</v>
      </c>
      <c r="AL272" s="109" t="s">
        <v>4192</v>
      </c>
      <c r="AM272" s="109" t="s">
        <v>4193</v>
      </c>
      <c r="AN272" s="109" t="s">
        <v>4194</v>
      </c>
      <c r="AO272" s="109"/>
      <c r="AP272" s="109" t="s">
        <v>4195</v>
      </c>
      <c r="AQ272" s="142"/>
      <c r="AR272" s="109" t="s">
        <v>3617</v>
      </c>
      <c r="AS272" s="109">
        <v>43429.0</v>
      </c>
    </row>
    <row r="273" ht="14.25" customHeight="1">
      <c r="A273" s="188">
        <v>268.0</v>
      </c>
      <c r="B273" s="158" t="s">
        <v>4196</v>
      </c>
      <c r="C273" s="158" t="s">
        <v>4197</v>
      </c>
      <c r="D273" s="158" t="s">
        <v>4198</v>
      </c>
      <c r="E273" s="109" t="s">
        <v>3962</v>
      </c>
      <c r="F273" s="109" t="s">
        <v>56</v>
      </c>
      <c r="G273" s="109" t="s">
        <v>57</v>
      </c>
      <c r="H273" s="109">
        <v>1.051413165E9</v>
      </c>
      <c r="I273" s="109">
        <v>41518.0</v>
      </c>
      <c r="J273" s="109">
        <v>41408.0</v>
      </c>
      <c r="K273" s="109">
        <v>41500.0</v>
      </c>
      <c r="L273" s="109">
        <v>41518.0</v>
      </c>
      <c r="M273" s="109">
        <v>41670.0</v>
      </c>
      <c r="N273" s="109"/>
      <c r="O273" s="109"/>
      <c r="P273" s="109"/>
      <c r="Q273" s="109"/>
      <c r="R273" s="109">
        <v>41671.0</v>
      </c>
      <c r="S273" s="109">
        <v>42036.0</v>
      </c>
      <c r="T273" s="109">
        <v>42037.0</v>
      </c>
      <c r="U273" s="109">
        <v>42401.0</v>
      </c>
      <c r="V273" s="109">
        <v>42402.0</v>
      </c>
      <c r="W273" s="109">
        <v>42768.0</v>
      </c>
      <c r="X273" s="109"/>
      <c r="Y273" s="109"/>
      <c r="Z273" s="109"/>
      <c r="AA273" s="109"/>
      <c r="AB273" s="109"/>
      <c r="AC273" s="109" t="s">
        <v>394</v>
      </c>
      <c r="AD273" s="109">
        <v>32638.0</v>
      </c>
      <c r="AE273" s="109" t="s">
        <v>4199</v>
      </c>
      <c r="AF273" s="109"/>
      <c r="AG273" s="109"/>
      <c r="AH273" s="109">
        <v>9.997407033E9</v>
      </c>
      <c r="AI273" s="109"/>
      <c r="AJ273" s="109" t="s">
        <v>1834</v>
      </c>
      <c r="AK273" s="109" t="s">
        <v>4200</v>
      </c>
      <c r="AL273" s="109" t="s">
        <v>4201</v>
      </c>
      <c r="AM273" s="109" t="s">
        <v>4202</v>
      </c>
      <c r="AN273" s="109" t="s">
        <v>4203</v>
      </c>
      <c r="AO273" s="109"/>
      <c r="AP273" s="109"/>
      <c r="AQ273" s="142"/>
      <c r="AR273" s="109" t="s">
        <v>3617</v>
      </c>
      <c r="AS273" s="109">
        <v>43404.0</v>
      </c>
    </row>
    <row r="274" ht="14.25" customHeight="1">
      <c r="A274" s="188">
        <v>269.0</v>
      </c>
      <c r="B274" s="158" t="s">
        <v>4204</v>
      </c>
      <c r="C274" s="158" t="s">
        <v>4205</v>
      </c>
      <c r="D274" s="158" t="s">
        <v>4206</v>
      </c>
      <c r="E274" s="109" t="s">
        <v>82</v>
      </c>
      <c r="F274" s="109" t="s">
        <v>4135</v>
      </c>
      <c r="G274" s="109" t="s">
        <v>16</v>
      </c>
      <c r="H274" s="202">
        <v>1.052618441E9</v>
      </c>
      <c r="I274" s="109">
        <v>43246.0</v>
      </c>
      <c r="J274" s="109"/>
      <c r="K274" s="109"/>
      <c r="L274" s="109"/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109">
        <v>43246.0</v>
      </c>
      <c r="Y274" s="109">
        <v>43429.0</v>
      </c>
      <c r="Z274" s="109"/>
      <c r="AA274" s="109"/>
      <c r="AB274" s="109"/>
      <c r="AC274" s="109" t="s">
        <v>394</v>
      </c>
      <c r="AD274" s="109">
        <v>33605.0</v>
      </c>
      <c r="AE274" s="109" t="s">
        <v>4075</v>
      </c>
      <c r="AF274" s="109" t="s">
        <v>4207</v>
      </c>
      <c r="AG274" s="109"/>
      <c r="AH274" s="109">
        <v>9.074005536E9</v>
      </c>
      <c r="AI274" s="109"/>
      <c r="AJ274" s="109" t="s">
        <v>4208</v>
      </c>
      <c r="AK274" s="109" t="s">
        <v>4209</v>
      </c>
      <c r="AL274" s="109" t="s">
        <v>4210</v>
      </c>
      <c r="AM274" s="109" t="s">
        <v>4211</v>
      </c>
      <c r="AN274" s="109" t="s">
        <v>4212</v>
      </c>
      <c r="AO274" s="109"/>
      <c r="AP274" s="109"/>
      <c r="AQ274" s="142"/>
      <c r="AR274" s="109" t="s">
        <v>1241</v>
      </c>
      <c r="AS274" s="109">
        <v>43425.0</v>
      </c>
    </row>
    <row r="275" ht="14.25" customHeight="1">
      <c r="A275" s="188">
        <v>270.0</v>
      </c>
      <c r="B275" s="158" t="s">
        <v>4213</v>
      </c>
      <c r="C275" s="158" t="s">
        <v>1842</v>
      </c>
      <c r="D275" s="158" t="s">
        <v>4214</v>
      </c>
      <c r="E275" s="109" t="s">
        <v>160</v>
      </c>
      <c r="F275" s="109" t="s">
        <v>4124</v>
      </c>
      <c r="G275" s="109" t="s">
        <v>57</v>
      </c>
      <c r="H275" s="109">
        <v>1.120104058E9</v>
      </c>
      <c r="I275" s="109">
        <v>38322.0</v>
      </c>
      <c r="J275" s="109"/>
      <c r="K275" s="109"/>
      <c r="L275" s="109">
        <v>38322.0</v>
      </c>
      <c r="M275" s="109">
        <v>38473.0</v>
      </c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109"/>
      <c r="Y275" s="109"/>
      <c r="Z275" s="109"/>
      <c r="AA275" s="109"/>
      <c r="AB275" s="109"/>
      <c r="AC275" s="109" t="s">
        <v>394</v>
      </c>
      <c r="AD275" s="109">
        <v>29789.0</v>
      </c>
      <c r="AE275" s="109" t="s">
        <v>4215</v>
      </c>
      <c r="AF275" s="109" t="s">
        <v>4216</v>
      </c>
      <c r="AG275" s="109"/>
      <c r="AH275" s="109">
        <v>9.555244576E9</v>
      </c>
      <c r="AI275" s="109"/>
      <c r="AJ275" s="109" t="s">
        <v>4217</v>
      </c>
      <c r="AK275" s="109" t="s">
        <v>4218</v>
      </c>
      <c r="AL275" s="109" t="s">
        <v>4219</v>
      </c>
      <c r="AM275" s="109" t="s">
        <v>4220</v>
      </c>
      <c r="AN275" s="109" t="s">
        <v>4221</v>
      </c>
      <c r="AO275" s="109"/>
      <c r="AP275" s="109" t="s">
        <v>4222</v>
      </c>
      <c r="AQ275" s="142"/>
      <c r="AR275" s="109" t="s">
        <v>954</v>
      </c>
      <c r="AS275" s="109">
        <v>43432.0</v>
      </c>
    </row>
    <row r="276" ht="14.25" customHeight="1">
      <c r="A276" s="188">
        <v>271.0</v>
      </c>
      <c r="B276" s="158" t="s">
        <v>86</v>
      </c>
      <c r="C276" s="158" t="s">
        <v>4223</v>
      </c>
      <c r="D276" s="158" t="s">
        <v>4224</v>
      </c>
      <c r="E276" s="109" t="s">
        <v>133</v>
      </c>
      <c r="F276" s="109" t="s">
        <v>56</v>
      </c>
      <c r="G276" s="109" t="s">
        <v>16</v>
      </c>
      <c r="H276" s="109">
        <v>1.052218435E9</v>
      </c>
      <c r="I276" s="109">
        <v>43242.0</v>
      </c>
      <c r="J276" s="109"/>
      <c r="K276" s="109"/>
      <c r="L276" s="109"/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109">
        <v>43242.0</v>
      </c>
      <c r="Y276" s="109">
        <v>43425.0</v>
      </c>
      <c r="Z276" s="109"/>
      <c r="AA276" s="109"/>
      <c r="AB276" s="109"/>
      <c r="AC276" s="109" t="s">
        <v>394</v>
      </c>
      <c r="AD276" s="109">
        <v>35361.0</v>
      </c>
      <c r="AE276" s="109" t="s">
        <v>4225</v>
      </c>
      <c r="AF276" s="109"/>
      <c r="AG276" s="109"/>
      <c r="AH276" s="109">
        <v>9.359550974E9</v>
      </c>
      <c r="AI276" s="109"/>
      <c r="AJ276" s="109" t="s">
        <v>2237</v>
      </c>
      <c r="AK276" s="109" t="s">
        <v>4226</v>
      </c>
      <c r="AL276" s="202" t="s">
        <v>4227</v>
      </c>
      <c r="AM276" s="202" t="s">
        <v>4228</v>
      </c>
      <c r="AN276" s="109" t="s">
        <v>4229</v>
      </c>
      <c r="AO276" s="109"/>
      <c r="AP276" s="109"/>
      <c r="AQ276" s="142"/>
      <c r="AR276" s="109" t="s">
        <v>1241</v>
      </c>
      <c r="AS276" s="109">
        <v>43411.0</v>
      </c>
    </row>
    <row r="277" ht="14.25" customHeight="1">
      <c r="A277" s="188">
        <v>272.0</v>
      </c>
      <c r="B277" s="158" t="s">
        <v>4230</v>
      </c>
      <c r="C277" s="158" t="s">
        <v>4231</v>
      </c>
      <c r="D277" s="158" t="s">
        <v>4232</v>
      </c>
      <c r="E277" s="109" t="s">
        <v>1881</v>
      </c>
      <c r="F277" s="109" t="s">
        <v>4135</v>
      </c>
      <c r="G277" s="109" t="s">
        <v>16</v>
      </c>
      <c r="H277" s="202">
        <v>1.052918437E9</v>
      </c>
      <c r="I277" s="109">
        <v>43249.0</v>
      </c>
      <c r="J277" s="109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109">
        <v>43249.0</v>
      </c>
      <c r="Y277" s="109">
        <v>43432.0</v>
      </c>
      <c r="Z277" s="109"/>
      <c r="AA277" s="109"/>
      <c r="AB277" s="109"/>
      <c r="AC277" s="109" t="s">
        <v>394</v>
      </c>
      <c r="AD277" s="109">
        <v>34325.0</v>
      </c>
      <c r="AE277" s="109"/>
      <c r="AF277" s="109" t="s">
        <v>4233</v>
      </c>
      <c r="AG277" s="109"/>
      <c r="AH277" s="109">
        <v>9.098442584E9</v>
      </c>
      <c r="AI277" s="109"/>
      <c r="AJ277" s="109" t="s">
        <v>4234</v>
      </c>
      <c r="AK277" s="109" t="s">
        <v>4235</v>
      </c>
      <c r="AL277" s="109" t="s">
        <v>4236</v>
      </c>
      <c r="AM277" s="109" t="s">
        <v>4237</v>
      </c>
      <c r="AN277" s="109" t="s">
        <v>4238</v>
      </c>
      <c r="AO277" s="109"/>
      <c r="AP277" s="109"/>
      <c r="AQ277" s="142"/>
      <c r="AR277" s="109" t="s">
        <v>1241</v>
      </c>
      <c r="AS277" s="109">
        <v>43440.0</v>
      </c>
    </row>
    <row r="278" ht="14.25" customHeight="1">
      <c r="A278" s="188">
        <v>273.0</v>
      </c>
      <c r="B278" s="158" t="s">
        <v>4239</v>
      </c>
      <c r="C278" s="158" t="s">
        <v>4240</v>
      </c>
      <c r="D278" s="158" t="s">
        <v>4241</v>
      </c>
      <c r="E278" s="109" t="s">
        <v>82</v>
      </c>
      <c r="F278" s="109" t="s">
        <v>4135</v>
      </c>
      <c r="G278" s="109" t="s">
        <v>16</v>
      </c>
      <c r="H278" s="109">
        <v>1.071018455E9</v>
      </c>
      <c r="I278" s="109">
        <v>43291.0</v>
      </c>
      <c r="J278" s="109">
        <v>43291.0</v>
      </c>
      <c r="K278" s="109">
        <v>43307.0</v>
      </c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109">
        <v>43291.0</v>
      </c>
      <c r="Y278" s="109">
        <v>43474.0</v>
      </c>
      <c r="Z278" s="109"/>
      <c r="AA278" s="109"/>
      <c r="AB278" s="109"/>
      <c r="AC278" s="109" t="s">
        <v>394</v>
      </c>
      <c r="AD278" s="109">
        <v>35459.0</v>
      </c>
      <c r="AE278" s="109" t="s">
        <v>4242</v>
      </c>
      <c r="AF278" s="109"/>
      <c r="AG278" s="109"/>
      <c r="AH278" s="109">
        <v>9.082020073E9</v>
      </c>
      <c r="AI278" s="109"/>
      <c r="AJ278" s="109" t="s">
        <v>4243</v>
      </c>
      <c r="AK278" s="109" t="s">
        <v>4244</v>
      </c>
      <c r="AL278" s="109" t="s">
        <v>4245</v>
      </c>
      <c r="AM278" s="109" t="s">
        <v>4246</v>
      </c>
      <c r="AN278" s="109" t="s">
        <v>4247</v>
      </c>
      <c r="AO278" s="109"/>
      <c r="AP278" s="109"/>
      <c r="AQ278" s="142"/>
      <c r="AR278" s="109" t="s">
        <v>1241</v>
      </c>
      <c r="AS278" s="109">
        <v>43414.0</v>
      </c>
    </row>
    <row r="279" ht="14.25" customHeight="1">
      <c r="A279" s="188">
        <v>274.0</v>
      </c>
      <c r="B279" s="158" t="s">
        <v>4248</v>
      </c>
      <c r="C279" s="158" t="s">
        <v>4249</v>
      </c>
      <c r="D279" s="158" t="s">
        <v>4250</v>
      </c>
      <c r="E279" s="109" t="s">
        <v>717</v>
      </c>
      <c r="F279" s="109" t="s">
        <v>493</v>
      </c>
      <c r="G279" s="109" t="s">
        <v>16</v>
      </c>
      <c r="H279" s="109">
        <v>1.060618446E9</v>
      </c>
      <c r="I279" s="109">
        <v>43258.0</v>
      </c>
      <c r="J279" s="109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109">
        <v>43258.0</v>
      </c>
      <c r="Y279" s="109">
        <v>43440.0</v>
      </c>
      <c r="Z279" s="109"/>
      <c r="AA279" s="109"/>
      <c r="AB279" s="109"/>
      <c r="AC279" s="109" t="s">
        <v>394</v>
      </c>
      <c r="AD279" s="109">
        <v>35225.0</v>
      </c>
      <c r="AE279" s="109" t="s">
        <v>4251</v>
      </c>
      <c r="AF279" s="109"/>
      <c r="AG279" s="109"/>
      <c r="AH279" s="109">
        <v>9.30434582E9</v>
      </c>
      <c r="AI279" s="109"/>
      <c r="AJ279" s="109" t="s">
        <v>4252</v>
      </c>
      <c r="AK279" s="109" t="s">
        <v>4253</v>
      </c>
      <c r="AL279" s="205" t="s">
        <v>4254</v>
      </c>
      <c r="AM279" s="109" t="s">
        <v>4255</v>
      </c>
      <c r="AN279" s="109"/>
      <c r="AO279" s="109"/>
      <c r="AP279" s="109"/>
      <c r="AQ279" s="142"/>
      <c r="AR279" s="109" t="s">
        <v>1241</v>
      </c>
      <c r="AS279" s="109">
        <v>43435.0</v>
      </c>
    </row>
    <row r="280" ht="14.25" customHeight="1">
      <c r="A280" s="188">
        <v>275.0</v>
      </c>
      <c r="B280" s="158" t="s">
        <v>4256</v>
      </c>
      <c r="C280" s="158" t="s">
        <v>4257</v>
      </c>
      <c r="D280" s="158" t="s">
        <v>4258</v>
      </c>
      <c r="E280" s="109" t="s">
        <v>1881</v>
      </c>
      <c r="F280" s="109" t="s">
        <v>4135</v>
      </c>
      <c r="G280" s="109" t="s">
        <v>16</v>
      </c>
      <c r="H280" s="109">
        <v>1.051118433E9</v>
      </c>
      <c r="I280" s="109">
        <v>43231.0</v>
      </c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>
        <v>43231.0</v>
      </c>
      <c r="Y280" s="109">
        <v>43414.0</v>
      </c>
      <c r="Z280" s="109"/>
      <c r="AA280" s="109"/>
      <c r="AB280" s="109"/>
      <c r="AC280" s="109" t="s">
        <v>394</v>
      </c>
      <c r="AD280" s="109">
        <v>33163.0</v>
      </c>
      <c r="AE280" s="109" t="s">
        <v>4259</v>
      </c>
      <c r="AF280" s="109"/>
      <c r="AG280" s="109"/>
      <c r="AH280" s="109">
        <v>9.120902021E9</v>
      </c>
      <c r="AI280" s="109"/>
      <c r="AJ280" s="109" t="s">
        <v>4260</v>
      </c>
      <c r="AK280" s="109" t="s">
        <v>4261</v>
      </c>
      <c r="AL280" s="109" t="s">
        <v>4262</v>
      </c>
      <c r="AM280" s="202" t="s">
        <v>4263</v>
      </c>
      <c r="AN280" s="109" t="s">
        <v>4264</v>
      </c>
      <c r="AO280" s="109"/>
      <c r="AP280" s="109"/>
      <c r="AQ280" s="142"/>
      <c r="AR280" s="109" t="s">
        <v>1241</v>
      </c>
      <c r="AS280" s="109">
        <v>43435.0</v>
      </c>
    </row>
    <row r="281" ht="14.25" customHeight="1">
      <c r="A281" s="188">
        <v>276.0</v>
      </c>
      <c r="B281" s="158" t="s">
        <v>1624</v>
      </c>
      <c r="C281" s="158" t="s">
        <v>4265</v>
      </c>
      <c r="D281" s="158" t="s">
        <v>4266</v>
      </c>
      <c r="E281" s="109" t="s">
        <v>1881</v>
      </c>
      <c r="F281" s="109" t="s">
        <v>4135</v>
      </c>
      <c r="G281" s="109" t="s">
        <v>16</v>
      </c>
      <c r="H281" s="202">
        <v>1.060218439E9</v>
      </c>
      <c r="I281" s="109">
        <v>43253.0</v>
      </c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>
        <v>43253.0</v>
      </c>
      <c r="Y281" s="109">
        <v>43435.0</v>
      </c>
      <c r="Z281" s="109"/>
      <c r="AA281" s="109"/>
      <c r="AB281" s="109"/>
      <c r="AC281" s="109" t="s">
        <v>394</v>
      </c>
      <c r="AD281" s="109">
        <v>33437.0</v>
      </c>
      <c r="AE281" s="109" t="s">
        <v>4267</v>
      </c>
      <c r="AF281" s="109" t="s">
        <v>4268</v>
      </c>
      <c r="AG281" s="109"/>
      <c r="AH281" s="109">
        <v>9.484995995E9</v>
      </c>
      <c r="AI281" s="109"/>
      <c r="AJ281" s="109" t="s">
        <v>4269</v>
      </c>
      <c r="AK281" s="109" t="s">
        <v>4270</v>
      </c>
      <c r="AL281" s="109" t="s">
        <v>4271</v>
      </c>
      <c r="AM281" s="109" t="s">
        <v>4272</v>
      </c>
      <c r="AN281" s="109" t="s">
        <v>4273</v>
      </c>
      <c r="AO281" s="109"/>
      <c r="AP281" s="109"/>
      <c r="AQ281" s="142"/>
      <c r="AR281" s="109" t="s">
        <v>1241</v>
      </c>
      <c r="AS281" s="109">
        <v>43425.0</v>
      </c>
    </row>
    <row r="282" ht="14.25" customHeight="1">
      <c r="A282" s="188">
        <v>277.0</v>
      </c>
      <c r="B282" s="158" t="s">
        <v>4274</v>
      </c>
      <c r="C282" s="158" t="s">
        <v>4275</v>
      </c>
      <c r="D282" s="158" t="s">
        <v>215</v>
      </c>
      <c r="E282" s="109" t="s">
        <v>1881</v>
      </c>
      <c r="F282" s="109" t="s">
        <v>4135</v>
      </c>
      <c r="G282" s="109" t="s">
        <v>16</v>
      </c>
      <c r="H282" s="202">
        <v>1.060218438E9</v>
      </c>
      <c r="I282" s="109">
        <v>43253.0</v>
      </c>
      <c r="J282" s="109"/>
      <c r="K282" s="109"/>
      <c r="L282" s="109"/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109">
        <v>43253.0</v>
      </c>
      <c r="Y282" s="109">
        <v>43435.0</v>
      </c>
      <c r="Z282" s="109"/>
      <c r="AA282" s="109"/>
      <c r="AB282" s="109"/>
      <c r="AC282" s="109" t="s">
        <v>394</v>
      </c>
      <c r="AD282" s="109">
        <v>34400.0</v>
      </c>
      <c r="AE282" s="109" t="s">
        <v>4276</v>
      </c>
      <c r="AF282" s="109" t="s">
        <v>4277</v>
      </c>
      <c r="AG282" s="109"/>
      <c r="AH282" s="109">
        <v>9.090543789E9</v>
      </c>
      <c r="AI282" s="109"/>
      <c r="AJ282" s="109" t="s">
        <v>4278</v>
      </c>
      <c r="AK282" s="109" t="s">
        <v>4279</v>
      </c>
      <c r="AL282" s="109" t="s">
        <v>4280</v>
      </c>
      <c r="AM282" s="202" t="s">
        <v>4281</v>
      </c>
      <c r="AN282" s="109" t="s">
        <v>4282</v>
      </c>
      <c r="AO282" s="109"/>
      <c r="AP282" s="109"/>
      <c r="AQ282" s="142"/>
      <c r="AR282" s="109" t="s">
        <v>1241</v>
      </c>
      <c r="AS282" s="109">
        <v>43429.0</v>
      </c>
    </row>
    <row r="283" ht="14.25" customHeight="1">
      <c r="A283" s="188">
        <v>278.0</v>
      </c>
      <c r="B283" s="158" t="s">
        <v>4283</v>
      </c>
      <c r="C283" s="158" t="s">
        <v>4284</v>
      </c>
      <c r="D283" s="158" t="s">
        <v>3079</v>
      </c>
      <c r="E283" s="109" t="s">
        <v>82</v>
      </c>
      <c r="F283" s="109" t="s">
        <v>4135</v>
      </c>
      <c r="G283" s="109" t="s">
        <v>16</v>
      </c>
      <c r="H283" s="202">
        <v>1.052218434E9</v>
      </c>
      <c r="I283" s="109">
        <v>43242.0</v>
      </c>
      <c r="J283" s="109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109">
        <v>43242.0</v>
      </c>
      <c r="Y283" s="109">
        <v>43425.0</v>
      </c>
      <c r="Z283" s="109"/>
      <c r="AA283" s="109"/>
      <c r="AB283" s="109"/>
      <c r="AC283" s="109" t="s">
        <v>394</v>
      </c>
      <c r="AD283" s="109">
        <v>34954.0</v>
      </c>
      <c r="AE283" s="109" t="s">
        <v>4285</v>
      </c>
      <c r="AF283" s="109" t="s">
        <v>4286</v>
      </c>
      <c r="AG283" s="109"/>
      <c r="AH283" s="109">
        <v>9.056859318E9</v>
      </c>
      <c r="AI283" s="109"/>
      <c r="AJ283" s="109" t="s">
        <v>4287</v>
      </c>
      <c r="AK283" s="109" t="s">
        <v>4288</v>
      </c>
      <c r="AL283" s="205" t="s">
        <v>4289</v>
      </c>
      <c r="AM283" s="109" t="s">
        <v>4290</v>
      </c>
      <c r="AN283" s="109" t="s">
        <v>4291</v>
      </c>
      <c r="AO283" s="109"/>
      <c r="AP283" s="109"/>
      <c r="AQ283" s="142"/>
      <c r="AR283" s="109" t="s">
        <v>1241</v>
      </c>
      <c r="AS283" s="109">
        <v>43433.0</v>
      </c>
    </row>
    <row r="284" ht="14.25" customHeight="1">
      <c r="A284" s="188">
        <v>279.0</v>
      </c>
      <c r="B284" s="158" t="s">
        <v>4292</v>
      </c>
      <c r="C284" s="158" t="s">
        <v>4293</v>
      </c>
      <c r="D284" s="158" t="s">
        <v>2115</v>
      </c>
      <c r="E284" s="109" t="s">
        <v>82</v>
      </c>
      <c r="F284" s="109" t="s">
        <v>4135</v>
      </c>
      <c r="G284" s="109" t="s">
        <v>16</v>
      </c>
      <c r="H284" s="202">
        <v>1.052618442E9</v>
      </c>
      <c r="I284" s="109">
        <v>43246.0</v>
      </c>
      <c r="J284" s="109"/>
      <c r="K284" s="109"/>
      <c r="L284" s="109"/>
      <c r="M284" s="109"/>
      <c r="N284" s="109"/>
      <c r="O284" s="109"/>
      <c r="P284" s="109"/>
      <c r="Q284" s="109"/>
      <c r="R284" s="109"/>
      <c r="S284" s="109"/>
      <c r="T284" s="109"/>
      <c r="U284" s="109"/>
      <c r="V284" s="109"/>
      <c r="W284" s="109"/>
      <c r="X284" s="109">
        <v>43246.0</v>
      </c>
      <c r="Y284" s="109">
        <v>43429.0</v>
      </c>
      <c r="Z284" s="109"/>
      <c r="AA284" s="109"/>
      <c r="AB284" s="109"/>
      <c r="AC284" s="109" t="s">
        <v>394</v>
      </c>
      <c r="AD284" s="109">
        <v>32298.0</v>
      </c>
      <c r="AE284" s="109" t="s">
        <v>4294</v>
      </c>
      <c r="AF284" s="109" t="s">
        <v>4295</v>
      </c>
      <c r="AG284" s="109"/>
      <c r="AH284" s="109">
        <v>9.125331519E9</v>
      </c>
      <c r="AI284" s="109"/>
      <c r="AJ284" s="109" t="s">
        <v>4296</v>
      </c>
      <c r="AK284" s="109" t="s">
        <v>4297</v>
      </c>
      <c r="AL284" s="109" t="s">
        <v>4298</v>
      </c>
      <c r="AM284" s="109" t="s">
        <v>4299</v>
      </c>
      <c r="AN284" s="109" t="s">
        <v>4300</v>
      </c>
      <c r="AO284" s="109"/>
      <c r="AP284" s="109"/>
      <c r="AQ284" s="142"/>
      <c r="AR284" s="109" t="s">
        <v>1241</v>
      </c>
      <c r="AS284" s="109">
        <v>43427.0</v>
      </c>
    </row>
    <row r="285" ht="14.25" customHeight="1">
      <c r="A285" s="188">
        <v>280.0</v>
      </c>
      <c r="B285" s="158" t="s">
        <v>405</v>
      </c>
      <c r="C285" s="158" t="s">
        <v>4301</v>
      </c>
      <c r="D285" s="158" t="s">
        <v>4302</v>
      </c>
      <c r="E285" s="109" t="s">
        <v>4303</v>
      </c>
      <c r="F285" s="109" t="s">
        <v>56</v>
      </c>
      <c r="G285" s="109" t="s">
        <v>16</v>
      </c>
      <c r="H285" s="109">
        <v>1.053018436E9</v>
      </c>
      <c r="I285" s="109">
        <v>43220.0</v>
      </c>
      <c r="J285" s="109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109">
        <v>43220.0</v>
      </c>
      <c r="Y285" s="109">
        <v>43433.0</v>
      </c>
      <c r="Z285" s="109"/>
      <c r="AA285" s="109"/>
      <c r="AB285" s="109"/>
      <c r="AC285" s="109" t="s">
        <v>107</v>
      </c>
      <c r="AD285" s="109">
        <v>30566.0</v>
      </c>
      <c r="AE285" s="109" t="s">
        <v>4304</v>
      </c>
      <c r="AF285" s="109" t="s">
        <v>4305</v>
      </c>
      <c r="AG285" s="109"/>
      <c r="AH285" s="109"/>
      <c r="AI285" s="109"/>
      <c r="AJ285" s="109" t="s">
        <v>4306</v>
      </c>
      <c r="AK285" s="109" t="s">
        <v>4307</v>
      </c>
      <c r="AL285" s="109" t="s">
        <v>4308</v>
      </c>
      <c r="AM285" s="109" t="s">
        <v>4309</v>
      </c>
      <c r="AN285" s="109"/>
      <c r="AO285" s="109"/>
      <c r="AP285" s="109" t="s">
        <v>4310</v>
      </c>
      <c r="AQ285" s="142"/>
      <c r="AR285" s="109" t="s">
        <v>1241</v>
      </c>
      <c r="AS285" s="109">
        <v>43433.0</v>
      </c>
    </row>
    <row r="286" ht="14.25" customHeight="1">
      <c r="A286" s="188">
        <v>281.0</v>
      </c>
      <c r="B286" s="158" t="s">
        <v>2874</v>
      </c>
      <c r="C286" s="158" t="s">
        <v>4311</v>
      </c>
      <c r="D286" s="158" t="s">
        <v>4312</v>
      </c>
      <c r="E286" s="109" t="s">
        <v>82</v>
      </c>
      <c r="F286" s="109" t="s">
        <v>4135</v>
      </c>
      <c r="G286" s="109" t="s">
        <v>16</v>
      </c>
      <c r="H286" s="109"/>
      <c r="I286" s="109">
        <v>43419.0</v>
      </c>
      <c r="J286" s="109">
        <v>43419.0</v>
      </c>
      <c r="K286" s="109" t="s">
        <v>4313</v>
      </c>
      <c r="L286" s="109"/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109">
        <v>43419.0</v>
      </c>
      <c r="Y286" s="109">
        <v>43792.0</v>
      </c>
      <c r="Z286" s="109"/>
      <c r="AA286" s="109"/>
      <c r="AB286" s="109"/>
      <c r="AC286" s="109" t="s">
        <v>62</v>
      </c>
      <c r="AD286" s="109">
        <v>32929.0</v>
      </c>
      <c r="AE286" s="109" t="s">
        <v>4314</v>
      </c>
      <c r="AF286" s="109" t="s">
        <v>4315</v>
      </c>
      <c r="AG286" s="109"/>
      <c r="AH286" s="109">
        <v>9.776266606E9</v>
      </c>
      <c r="AI286" s="109"/>
      <c r="AJ286" s="109" t="s">
        <v>4316</v>
      </c>
      <c r="AK286" s="109" t="s">
        <v>4317</v>
      </c>
      <c r="AL286" s="109" t="s">
        <v>4318</v>
      </c>
      <c r="AM286" s="109" t="s">
        <v>4319</v>
      </c>
      <c r="AN286" s="109" t="s">
        <v>4320</v>
      </c>
      <c r="AO286" s="109"/>
      <c r="AP286" s="109"/>
      <c r="AQ286" s="142"/>
      <c r="AR286" s="109" t="s">
        <v>3919</v>
      </c>
      <c r="AS286" s="109">
        <v>43427.0</v>
      </c>
    </row>
    <row r="287" ht="14.25" customHeight="1">
      <c r="A287" s="188">
        <v>282.0</v>
      </c>
      <c r="B287" s="158" t="s">
        <v>4321</v>
      </c>
      <c r="C287" s="158" t="s">
        <v>4322</v>
      </c>
      <c r="D287" s="158" t="s">
        <v>4323</v>
      </c>
      <c r="E287" s="109" t="s">
        <v>82</v>
      </c>
      <c r="F287" s="109" t="s">
        <v>4135</v>
      </c>
      <c r="G287" s="109" t="s">
        <v>16</v>
      </c>
      <c r="H287" s="109">
        <v>1.060618445E9</v>
      </c>
      <c r="I287" s="109">
        <v>43257.0</v>
      </c>
      <c r="J287" s="109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109">
        <v>43257.0</v>
      </c>
      <c r="Y287" s="109">
        <v>43439.0</v>
      </c>
      <c r="Z287" s="109"/>
      <c r="AA287" s="109"/>
      <c r="AB287" s="109"/>
      <c r="AC287" s="109" t="s">
        <v>62</v>
      </c>
      <c r="AD287" s="109">
        <v>34167.0</v>
      </c>
      <c r="AE287" s="109" t="s">
        <v>4324</v>
      </c>
      <c r="AF287" s="109" t="s">
        <v>4325</v>
      </c>
      <c r="AG287" s="109" t="s">
        <v>4326</v>
      </c>
      <c r="AH287" s="109">
        <v>9.771201912E9</v>
      </c>
      <c r="AI287" s="109"/>
      <c r="AJ287" s="109" t="s">
        <v>4327</v>
      </c>
      <c r="AK287" s="109" t="s">
        <v>4328</v>
      </c>
      <c r="AL287" s="109" t="s">
        <v>4329</v>
      </c>
      <c r="AM287" s="109" t="s">
        <v>4330</v>
      </c>
      <c r="AN287" s="109" t="s">
        <v>4331</v>
      </c>
      <c r="AO287" s="109"/>
      <c r="AP287" s="109"/>
      <c r="AQ287" s="142"/>
      <c r="AR287" s="109" t="s">
        <v>1241</v>
      </c>
      <c r="AS287" s="109">
        <v>43439.0</v>
      </c>
    </row>
    <row r="288" ht="14.25" customHeight="1">
      <c r="A288" s="188">
        <v>283.0</v>
      </c>
      <c r="B288" s="158" t="s">
        <v>4332</v>
      </c>
      <c r="C288" s="158" t="s">
        <v>4333</v>
      </c>
      <c r="D288" s="158" t="s">
        <v>4334</v>
      </c>
      <c r="E288" s="109" t="s">
        <v>82</v>
      </c>
      <c r="F288" s="109" t="s">
        <v>4135</v>
      </c>
      <c r="G288" s="109" t="s">
        <v>16</v>
      </c>
      <c r="H288" s="109">
        <v>1.060718443E9</v>
      </c>
      <c r="I288" s="109">
        <v>43258.0</v>
      </c>
      <c r="J288" s="109"/>
      <c r="K288" s="109"/>
      <c r="L288" s="109"/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109">
        <v>43258.0</v>
      </c>
      <c r="Y288" s="109">
        <v>43440.0</v>
      </c>
      <c r="Z288" s="109"/>
      <c r="AA288" s="109"/>
      <c r="AB288" s="109"/>
      <c r="AC288" s="109" t="s">
        <v>62</v>
      </c>
      <c r="AD288" s="109">
        <v>35014.0</v>
      </c>
      <c r="AE288" s="109" t="s">
        <v>4335</v>
      </c>
      <c r="AF288" s="109" t="s">
        <v>4336</v>
      </c>
      <c r="AG288" s="109" t="s">
        <v>4337</v>
      </c>
      <c r="AH288" s="109">
        <v>9.262512343E9</v>
      </c>
      <c r="AI288" s="109"/>
      <c r="AJ288" s="109" t="s">
        <v>4327</v>
      </c>
      <c r="AK288" s="109" t="s">
        <v>4338</v>
      </c>
      <c r="AL288" s="109" t="s">
        <v>4339</v>
      </c>
      <c r="AM288" s="109" t="s">
        <v>4340</v>
      </c>
      <c r="AN288" s="109" t="s">
        <v>4341</v>
      </c>
      <c r="AO288" s="189"/>
      <c r="AP288" s="109"/>
      <c r="AQ288" s="142"/>
      <c r="AR288" s="109" t="s">
        <v>1241</v>
      </c>
      <c r="AS288" s="109">
        <v>43440.0</v>
      </c>
    </row>
    <row r="289" ht="14.25" customHeight="1">
      <c r="A289" s="188">
        <v>284.0</v>
      </c>
      <c r="B289" s="158" t="s">
        <v>4342</v>
      </c>
      <c r="C289" s="158" t="s">
        <v>4343</v>
      </c>
      <c r="D289" s="158" t="s">
        <v>3900</v>
      </c>
      <c r="E289" s="109" t="s">
        <v>82</v>
      </c>
      <c r="F289" s="109" t="s">
        <v>4135</v>
      </c>
      <c r="G289" s="109" t="s">
        <v>16</v>
      </c>
      <c r="H289" s="109">
        <v>1.071418458E9</v>
      </c>
      <c r="I289" s="109">
        <v>43300.0</v>
      </c>
      <c r="J289" s="109">
        <v>43300.0</v>
      </c>
      <c r="K289" s="109">
        <v>43315.0</v>
      </c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109">
        <v>43300.0</v>
      </c>
      <c r="Y289" s="109">
        <v>43483.0</v>
      </c>
      <c r="Z289" s="109"/>
      <c r="AA289" s="109"/>
      <c r="AB289" s="109"/>
      <c r="AC289" s="109"/>
      <c r="AD289" s="109">
        <v>35419.0</v>
      </c>
      <c r="AE289" s="109" t="s">
        <v>4344</v>
      </c>
      <c r="AF289" s="109" t="s">
        <v>4345</v>
      </c>
      <c r="AG289" s="109"/>
      <c r="AH289" s="109">
        <v>9.387896063E9</v>
      </c>
      <c r="AI289" s="109"/>
      <c r="AJ289" s="109" t="s">
        <v>4346</v>
      </c>
      <c r="AK289" s="109" t="s">
        <v>4347</v>
      </c>
      <c r="AL289" s="109" t="s">
        <v>4348</v>
      </c>
      <c r="AM289" s="109" t="s">
        <v>4349</v>
      </c>
      <c r="AN289" s="109" t="s">
        <v>4350</v>
      </c>
      <c r="AO289" s="189"/>
      <c r="AP289" s="109" t="s">
        <v>4351</v>
      </c>
      <c r="AQ289" s="142"/>
      <c r="AR289" s="109" t="s">
        <v>1241</v>
      </c>
      <c r="AS289" s="109">
        <v>43483.0</v>
      </c>
      <c r="AT289" s="29"/>
      <c r="AU289" s="29"/>
      <c r="AV289" s="29"/>
      <c r="AW289" s="29"/>
    </row>
    <row r="290" ht="14.25" customHeight="1">
      <c r="A290" s="188">
        <v>285.0</v>
      </c>
      <c r="B290" s="158" t="s">
        <v>4352</v>
      </c>
      <c r="C290" s="158" t="s">
        <v>4353</v>
      </c>
      <c r="D290" s="158" t="s">
        <v>76</v>
      </c>
      <c r="E290" s="109" t="s">
        <v>82</v>
      </c>
      <c r="F290" s="109" t="s">
        <v>4135</v>
      </c>
      <c r="G290" s="109" t="s">
        <v>16</v>
      </c>
      <c r="H290" s="109">
        <v>1.092818147E9</v>
      </c>
      <c r="I290" s="109">
        <v>43371.0</v>
      </c>
      <c r="J290" s="207">
        <v>43371.0</v>
      </c>
      <c r="K290" s="207">
        <v>43387.0</v>
      </c>
      <c r="L290" s="188"/>
      <c r="M290" s="188"/>
      <c r="N290" s="188"/>
      <c r="O290" s="188"/>
      <c r="P290" s="188"/>
      <c r="Q290" s="188"/>
      <c r="R290" s="188"/>
      <c r="S290" s="188"/>
      <c r="T290" s="188"/>
      <c r="U290" s="188"/>
      <c r="V290" s="188"/>
      <c r="W290" s="188"/>
      <c r="X290" s="109">
        <v>43371.0</v>
      </c>
      <c r="Y290" s="109">
        <v>43551.0</v>
      </c>
      <c r="Z290" s="109"/>
      <c r="AA290" s="109"/>
      <c r="AB290" s="188"/>
      <c r="AC290" s="188"/>
      <c r="AD290" s="162">
        <v>34571.0</v>
      </c>
      <c r="AE290" s="162" t="s">
        <v>4354</v>
      </c>
      <c r="AF290" s="162" t="s">
        <v>4336</v>
      </c>
      <c r="AG290" s="162" t="s">
        <v>4355</v>
      </c>
      <c r="AH290" s="162">
        <v>9.504965183E9</v>
      </c>
      <c r="AI290" s="162"/>
      <c r="AJ290" s="162" t="s">
        <v>4356</v>
      </c>
      <c r="AK290" s="162" t="s">
        <v>4357</v>
      </c>
      <c r="AL290" s="162" t="s">
        <v>4358</v>
      </c>
      <c r="AM290" s="162" t="s">
        <v>4359</v>
      </c>
      <c r="AN290" s="109"/>
      <c r="AO290" s="208"/>
      <c r="AP290" s="162" t="s">
        <v>4360</v>
      </c>
      <c r="AQ290" s="209"/>
      <c r="AR290" s="109" t="s">
        <v>3617</v>
      </c>
      <c r="AS290" s="109">
        <v>43468.0</v>
      </c>
      <c r="AT290" s="210"/>
      <c r="AU290" s="210"/>
      <c r="AV290" s="210"/>
      <c r="AW290" s="210"/>
    </row>
    <row r="291" ht="14.25" customHeight="1">
      <c r="A291" s="188">
        <v>286.0</v>
      </c>
      <c r="B291" s="158" t="s">
        <v>4361</v>
      </c>
      <c r="C291" s="142" t="s">
        <v>4362</v>
      </c>
      <c r="D291" s="158" t="s">
        <v>4363</v>
      </c>
      <c r="E291" s="109" t="s">
        <v>82</v>
      </c>
      <c r="F291" s="109" t="s">
        <v>4135</v>
      </c>
      <c r="G291" s="109" t="s">
        <v>16</v>
      </c>
      <c r="H291" s="109">
        <v>1.111518164E9</v>
      </c>
      <c r="I291" s="109">
        <v>43419.0</v>
      </c>
      <c r="J291" s="109">
        <v>43419.0</v>
      </c>
      <c r="K291" s="109">
        <v>43434.0</v>
      </c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109">
        <v>43419.0</v>
      </c>
      <c r="Y291" s="109">
        <v>43599.0</v>
      </c>
      <c r="Z291" s="109"/>
      <c r="AA291" s="109"/>
      <c r="AB291" s="109"/>
      <c r="AC291" s="109"/>
      <c r="AD291" s="109">
        <v>35341.0</v>
      </c>
      <c r="AE291" s="109" t="s">
        <v>4364</v>
      </c>
      <c r="AF291" s="109" t="s">
        <v>4325</v>
      </c>
      <c r="AG291" s="109" t="s">
        <v>4365</v>
      </c>
      <c r="AH291" s="109">
        <v>9.650577919E9</v>
      </c>
      <c r="AI291" s="109"/>
      <c r="AJ291" s="109" t="s">
        <v>4366</v>
      </c>
      <c r="AK291" s="109" t="s">
        <v>4367</v>
      </c>
      <c r="AL291" s="109" t="s">
        <v>4368</v>
      </c>
      <c r="AM291" s="109" t="s">
        <v>4369</v>
      </c>
      <c r="AN291" s="109" t="s">
        <v>4370</v>
      </c>
      <c r="AO291" s="189"/>
      <c r="AP291" s="109"/>
      <c r="AQ291" s="142"/>
      <c r="AR291" s="109" t="s">
        <v>3617</v>
      </c>
      <c r="AS291" s="109">
        <v>43472.0</v>
      </c>
      <c r="AT291" s="29"/>
      <c r="AU291" s="29"/>
      <c r="AV291" s="29"/>
      <c r="AW291" s="29"/>
    </row>
    <row r="292" ht="14.25" customHeight="1">
      <c r="A292" s="188">
        <v>287.0</v>
      </c>
      <c r="B292" s="158" t="s">
        <v>4371</v>
      </c>
      <c r="C292" s="158" t="s">
        <v>1325</v>
      </c>
      <c r="D292" s="158" t="s">
        <v>792</v>
      </c>
      <c r="E292" s="109" t="s">
        <v>1831</v>
      </c>
      <c r="F292" s="109" t="s">
        <v>4135</v>
      </c>
      <c r="G292" s="109" t="s">
        <v>57</v>
      </c>
      <c r="H292" s="109">
        <v>1.102317401E9</v>
      </c>
      <c r="I292" s="109">
        <v>43031.0</v>
      </c>
      <c r="J292" s="109"/>
      <c r="K292" s="109"/>
      <c r="L292" s="109"/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109">
        <v>43031.0</v>
      </c>
      <c r="Y292" s="109">
        <v>43212.0</v>
      </c>
      <c r="Z292" s="109"/>
      <c r="AA292" s="109"/>
      <c r="AB292" s="109"/>
      <c r="AC292" s="109"/>
      <c r="AD292" s="109">
        <v>33791.0</v>
      </c>
      <c r="AE292" s="109" t="s">
        <v>4372</v>
      </c>
      <c r="AF292" s="109"/>
      <c r="AG292" s="109" t="s">
        <v>4373</v>
      </c>
      <c r="AH292" s="109">
        <v>9.061649517E9</v>
      </c>
      <c r="AI292" s="109"/>
      <c r="AJ292" s="109" t="s">
        <v>4374</v>
      </c>
      <c r="AK292" s="109" t="s">
        <v>4375</v>
      </c>
      <c r="AL292" s="109" t="s">
        <v>4376</v>
      </c>
      <c r="AM292" s="109" t="s">
        <v>4377</v>
      </c>
      <c r="AN292" s="109" t="s">
        <v>4378</v>
      </c>
      <c r="AO292" s="189"/>
      <c r="AP292" s="109" t="s">
        <v>4379</v>
      </c>
      <c r="AQ292" s="142"/>
      <c r="AR292" s="109" t="s">
        <v>3617</v>
      </c>
      <c r="AS292" s="109">
        <v>43461.0</v>
      </c>
      <c r="AT292" s="29"/>
      <c r="AU292" s="29"/>
      <c r="AV292" s="29"/>
      <c r="AW292" s="29"/>
    </row>
    <row r="293" ht="14.25" customHeight="1">
      <c r="A293" s="188">
        <v>288.0</v>
      </c>
      <c r="B293" s="158" t="s">
        <v>4380</v>
      </c>
      <c r="C293" s="158" t="s">
        <v>4381</v>
      </c>
      <c r="D293" s="158" t="s">
        <v>4382</v>
      </c>
      <c r="E293" s="109" t="s">
        <v>4383</v>
      </c>
      <c r="F293" s="109" t="s">
        <v>177</v>
      </c>
      <c r="G293" s="109" t="s">
        <v>16</v>
      </c>
      <c r="H293" s="109">
        <v>1.070518452E9</v>
      </c>
      <c r="I293" s="109">
        <v>43286.0</v>
      </c>
      <c r="J293" s="109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109">
        <v>43286.0</v>
      </c>
      <c r="Y293" s="109">
        <v>43469.0</v>
      </c>
      <c r="Z293" s="109"/>
      <c r="AA293" s="109"/>
      <c r="AB293" s="109"/>
      <c r="AC293" s="109"/>
      <c r="AD293" s="109">
        <v>31374.0</v>
      </c>
      <c r="AE293" s="109" t="s">
        <v>4384</v>
      </c>
      <c r="AF293" s="109" t="s">
        <v>4385</v>
      </c>
      <c r="AG293" s="109" t="s">
        <v>4386</v>
      </c>
      <c r="AH293" s="109">
        <v>9.277032462E9</v>
      </c>
      <c r="AI293" s="109"/>
      <c r="AJ293" s="109" t="s">
        <v>4387</v>
      </c>
      <c r="AK293" s="109" t="s">
        <v>4388</v>
      </c>
      <c r="AL293" s="204" t="s">
        <v>4389</v>
      </c>
      <c r="AM293" s="202" t="s">
        <v>4390</v>
      </c>
      <c r="AN293" s="109" t="s">
        <v>4391</v>
      </c>
      <c r="AO293" s="109"/>
      <c r="AP293" s="109" t="s">
        <v>4392</v>
      </c>
      <c r="AQ293" s="142" t="s">
        <v>4393</v>
      </c>
      <c r="AR293" s="109" t="s">
        <v>1241</v>
      </c>
      <c r="AS293" s="109">
        <v>43469.0</v>
      </c>
      <c r="AT293" s="29"/>
      <c r="AU293" s="29"/>
      <c r="AV293" s="29"/>
      <c r="AW293" s="29"/>
    </row>
    <row r="294" ht="14.25" customHeight="1">
      <c r="A294" s="188">
        <v>289.0</v>
      </c>
      <c r="B294" s="158" t="s">
        <v>4394</v>
      </c>
      <c r="C294" s="158" t="s">
        <v>4395</v>
      </c>
      <c r="D294" s="158" t="s">
        <v>4396</v>
      </c>
      <c r="E294" s="109" t="s">
        <v>2047</v>
      </c>
      <c r="F294" s="109" t="s">
        <v>4124</v>
      </c>
      <c r="G294" s="109" t="s">
        <v>16</v>
      </c>
      <c r="H294" s="109">
        <v>1.071118457E9</v>
      </c>
      <c r="I294" s="109">
        <v>43292.0</v>
      </c>
      <c r="J294" s="109"/>
      <c r="K294" s="109"/>
      <c r="L294" s="109"/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109">
        <v>43292.0</v>
      </c>
      <c r="Y294" s="109">
        <v>43475.0</v>
      </c>
      <c r="Z294" s="109"/>
      <c r="AA294" s="109"/>
      <c r="AB294" s="109"/>
      <c r="AC294" s="109"/>
      <c r="AD294" s="109">
        <v>34360.0</v>
      </c>
      <c r="AE294" s="109" t="s">
        <v>4397</v>
      </c>
      <c r="AF294" s="109"/>
      <c r="AG294" s="109" t="s">
        <v>4398</v>
      </c>
      <c r="AH294" s="109">
        <v>9.485927971E9</v>
      </c>
      <c r="AI294" s="109"/>
      <c r="AJ294" s="109" t="s">
        <v>3274</v>
      </c>
      <c r="AK294" s="109" t="s">
        <v>4399</v>
      </c>
      <c r="AL294" s="109" t="s">
        <v>4400</v>
      </c>
      <c r="AM294" s="109" t="s">
        <v>4401</v>
      </c>
      <c r="AN294" s="109" t="s">
        <v>4402</v>
      </c>
      <c r="AO294" s="109"/>
      <c r="AP294" s="109"/>
      <c r="AQ294" s="142" t="s">
        <v>4403</v>
      </c>
      <c r="AR294" s="109" t="s">
        <v>1241</v>
      </c>
      <c r="AS294" s="109">
        <v>43475.0</v>
      </c>
      <c r="AT294" s="29"/>
      <c r="AU294" s="29"/>
      <c r="AV294" s="29"/>
      <c r="AW294" s="29"/>
    </row>
    <row r="295" ht="14.25" customHeight="1">
      <c r="A295" s="188">
        <v>290.0</v>
      </c>
      <c r="B295" s="158" t="s">
        <v>4404</v>
      </c>
      <c r="C295" s="158" t="s">
        <v>4405</v>
      </c>
      <c r="D295" s="158" t="s">
        <v>4406</v>
      </c>
      <c r="E295" s="109" t="s">
        <v>536</v>
      </c>
      <c r="F295" s="109" t="s">
        <v>537</v>
      </c>
      <c r="G295" s="109" t="s">
        <v>57</v>
      </c>
      <c r="H295" s="109">
        <v>1.020814195E9</v>
      </c>
      <c r="I295" s="109">
        <v>41678.0</v>
      </c>
      <c r="J295" s="109"/>
      <c r="K295" s="109"/>
      <c r="L295" s="109">
        <v>41678.0</v>
      </c>
      <c r="M295" s="109">
        <v>41828.0</v>
      </c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109">
        <v>41829.0</v>
      </c>
      <c r="Y295" s="109">
        <v>42012.0</v>
      </c>
      <c r="Z295" s="109"/>
      <c r="AA295" s="109"/>
      <c r="AB295" s="137">
        <v>42005.0</v>
      </c>
      <c r="AC295" s="109" t="s">
        <v>62</v>
      </c>
      <c r="AD295" s="109">
        <v>32912.0</v>
      </c>
      <c r="AE295" s="206" t="s">
        <v>4407</v>
      </c>
      <c r="AF295" s="206" t="s">
        <v>4408</v>
      </c>
      <c r="AG295" s="109" t="s">
        <v>4409</v>
      </c>
      <c r="AH295" s="211" t="s">
        <v>4410</v>
      </c>
      <c r="AI295" s="211"/>
      <c r="AJ295" s="109" t="s">
        <v>1431</v>
      </c>
      <c r="AK295" s="109" t="s">
        <v>4411</v>
      </c>
      <c r="AL295" s="109" t="s">
        <v>4412</v>
      </c>
      <c r="AM295" s="109" t="s">
        <v>4413</v>
      </c>
      <c r="AN295" s="109" t="s">
        <v>4414</v>
      </c>
      <c r="AO295" s="109"/>
      <c r="AP295" s="109"/>
      <c r="AQ295" s="142" t="s">
        <v>4415</v>
      </c>
      <c r="AR295" s="109" t="s">
        <v>3617</v>
      </c>
      <c r="AS295" s="109">
        <v>43490.0</v>
      </c>
      <c r="AT295" s="29"/>
      <c r="AU295" s="29"/>
      <c r="AV295" s="29"/>
      <c r="AW295" s="29"/>
    </row>
    <row r="296" ht="14.25" customHeight="1">
      <c r="A296" s="188">
        <v>291.0</v>
      </c>
      <c r="B296" s="158" t="s">
        <v>4416</v>
      </c>
      <c r="C296" s="158" t="s">
        <v>4417</v>
      </c>
      <c r="D296" s="158" t="s">
        <v>902</v>
      </c>
      <c r="E296" s="109" t="s">
        <v>4162</v>
      </c>
      <c r="F296" s="109" t="s">
        <v>4135</v>
      </c>
      <c r="G296" s="109" t="s">
        <v>16</v>
      </c>
      <c r="H296" s="109">
        <v>1.080418461E9</v>
      </c>
      <c r="I296" s="109">
        <v>43316.0</v>
      </c>
      <c r="J296" s="109">
        <v>43316.0</v>
      </c>
      <c r="K296" s="109">
        <v>43331.0</v>
      </c>
      <c r="L296" s="109"/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109">
        <v>43316.0</v>
      </c>
      <c r="Y296" s="109">
        <v>43499.0</v>
      </c>
      <c r="Z296" s="109"/>
      <c r="AA296" s="109"/>
      <c r="AB296" s="109"/>
      <c r="AC296" s="162" t="s">
        <v>62</v>
      </c>
      <c r="AD296" s="109">
        <v>34300.0</v>
      </c>
      <c r="AE296" s="109" t="s">
        <v>4418</v>
      </c>
      <c r="AF296" s="109"/>
      <c r="AG296" s="109"/>
      <c r="AH296" s="109">
        <v>9.456208563E9</v>
      </c>
      <c r="AI296" s="109"/>
      <c r="AJ296" s="109" t="s">
        <v>4419</v>
      </c>
      <c r="AK296" s="109" t="s">
        <v>4420</v>
      </c>
      <c r="AL296" s="109" t="s">
        <v>4421</v>
      </c>
      <c r="AM296" s="162" t="s">
        <v>4422</v>
      </c>
      <c r="AN296" s="109" t="s">
        <v>4423</v>
      </c>
      <c r="AO296" s="109"/>
      <c r="AP296" s="109"/>
      <c r="AQ296" s="142" t="s">
        <v>4424</v>
      </c>
      <c r="AR296" s="109" t="s">
        <v>1241</v>
      </c>
      <c r="AS296" s="109">
        <v>43499.0</v>
      </c>
      <c r="AT296" s="29"/>
      <c r="AU296" s="29"/>
      <c r="AV296" s="29"/>
      <c r="AW296" s="29"/>
    </row>
    <row r="297" ht="14.25" customHeight="1">
      <c r="A297" s="188">
        <v>292.0</v>
      </c>
      <c r="B297" s="158" t="s">
        <v>4404</v>
      </c>
      <c r="C297" s="158" t="s">
        <v>4405</v>
      </c>
      <c r="D297" s="158" t="s">
        <v>4406</v>
      </c>
      <c r="E297" s="109" t="s">
        <v>536</v>
      </c>
      <c r="F297" s="109" t="s">
        <v>537</v>
      </c>
      <c r="G297" s="109" t="s">
        <v>57</v>
      </c>
      <c r="H297" s="109">
        <v>1.020814195E9</v>
      </c>
      <c r="I297" s="109">
        <v>41678.0</v>
      </c>
      <c r="J297" s="109"/>
      <c r="K297" s="109"/>
      <c r="L297" s="109">
        <v>41678.0</v>
      </c>
      <c r="M297" s="109">
        <v>41828.0</v>
      </c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109">
        <v>41829.0</v>
      </c>
      <c r="Y297" s="109">
        <v>42012.0</v>
      </c>
      <c r="Z297" s="109"/>
      <c r="AA297" s="109"/>
      <c r="AB297" s="137">
        <v>42005.0</v>
      </c>
      <c r="AC297" s="109" t="s">
        <v>62</v>
      </c>
      <c r="AD297" s="109">
        <v>32912.0</v>
      </c>
      <c r="AE297" s="206" t="s">
        <v>4407</v>
      </c>
      <c r="AF297" s="206" t="s">
        <v>4408</v>
      </c>
      <c r="AG297" s="109" t="s">
        <v>4409</v>
      </c>
      <c r="AH297" s="211" t="s">
        <v>4425</v>
      </c>
      <c r="AI297" s="211"/>
      <c r="AJ297" s="109" t="s">
        <v>1431</v>
      </c>
      <c r="AK297" s="109" t="s">
        <v>4411</v>
      </c>
      <c r="AL297" s="109" t="s">
        <v>4412</v>
      </c>
      <c r="AM297" s="109" t="s">
        <v>4413</v>
      </c>
      <c r="AN297" s="109" t="s">
        <v>4414</v>
      </c>
      <c r="AO297" s="109"/>
      <c r="AP297" s="109"/>
      <c r="AQ297" s="142" t="s">
        <v>4415</v>
      </c>
      <c r="AR297" s="109" t="s">
        <v>3617</v>
      </c>
      <c r="AS297" s="109">
        <v>43490.0</v>
      </c>
      <c r="AT297" s="212"/>
      <c r="AU297" s="212"/>
      <c r="AV297" s="212"/>
      <c r="AW297" s="212"/>
      <c r="AX297" s="212"/>
      <c r="AY297" s="212"/>
      <c r="AZ297" s="212"/>
      <c r="BA297" s="212"/>
      <c r="BB297" s="212"/>
      <c r="BC297" s="212"/>
      <c r="BD297" s="212"/>
      <c r="BE297" s="212"/>
      <c r="BF297" s="212"/>
      <c r="BG297" s="212"/>
      <c r="BH297" s="212"/>
      <c r="BI297" s="212"/>
      <c r="BJ297" s="212"/>
      <c r="BK297" s="212"/>
      <c r="BL297" s="212"/>
      <c r="BM297" s="212"/>
    </row>
    <row r="298" ht="14.25" customHeight="1">
      <c r="A298" s="188">
        <v>293.0</v>
      </c>
      <c r="B298" s="158" t="s">
        <v>4404</v>
      </c>
      <c r="C298" s="158" t="s">
        <v>4405</v>
      </c>
      <c r="D298" s="158" t="s">
        <v>4406</v>
      </c>
      <c r="E298" s="109" t="s">
        <v>536</v>
      </c>
      <c r="F298" s="109" t="s">
        <v>537</v>
      </c>
      <c r="G298" s="109" t="s">
        <v>424</v>
      </c>
      <c r="H298" s="109">
        <v>1.020814195E9</v>
      </c>
      <c r="I298" s="109">
        <v>43498.0</v>
      </c>
      <c r="J298" s="109"/>
      <c r="K298" s="109"/>
      <c r="L298" s="109"/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109">
        <v>43498.0</v>
      </c>
      <c r="Y298" s="109">
        <v>43585.0</v>
      </c>
      <c r="Z298" s="109"/>
      <c r="AA298" s="109"/>
      <c r="AB298" s="137"/>
      <c r="AC298" s="109" t="s">
        <v>62</v>
      </c>
      <c r="AD298" s="109">
        <v>32912.0</v>
      </c>
      <c r="AE298" s="206" t="s">
        <v>4407</v>
      </c>
      <c r="AF298" s="206" t="s">
        <v>4408</v>
      </c>
      <c r="AG298" s="109" t="s">
        <v>4409</v>
      </c>
      <c r="AH298" s="211" t="s">
        <v>4426</v>
      </c>
      <c r="AI298" s="211"/>
      <c r="AJ298" s="109" t="s">
        <v>1431</v>
      </c>
      <c r="AK298" s="109" t="s">
        <v>4411</v>
      </c>
      <c r="AL298" s="109" t="s">
        <v>4412</v>
      </c>
      <c r="AM298" s="109" t="s">
        <v>4413</v>
      </c>
      <c r="AN298" s="109" t="s">
        <v>4414</v>
      </c>
      <c r="AO298" s="109"/>
      <c r="AP298" s="109"/>
      <c r="AQ298" s="142" t="s">
        <v>4415</v>
      </c>
      <c r="AR298" s="109" t="s">
        <v>1241</v>
      </c>
      <c r="AS298" s="109">
        <v>43505.0</v>
      </c>
    </row>
    <row r="299" ht="14.25" customHeight="1">
      <c r="A299" s="188">
        <v>294.0</v>
      </c>
      <c r="B299" s="158" t="s">
        <v>4427</v>
      </c>
      <c r="C299" s="158" t="s">
        <v>4428</v>
      </c>
      <c r="D299" s="158" t="s">
        <v>2233</v>
      </c>
      <c r="E299" s="109" t="s">
        <v>4429</v>
      </c>
      <c r="F299" s="109" t="s">
        <v>4135</v>
      </c>
      <c r="G299" s="109" t="s">
        <v>16</v>
      </c>
      <c r="H299" s="109">
        <v>1.010519166E9</v>
      </c>
      <c r="I299" s="109">
        <v>43470.0</v>
      </c>
      <c r="J299" s="109">
        <v>43470.0</v>
      </c>
      <c r="K299" s="109">
        <v>43485.0</v>
      </c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109">
        <v>43470.0</v>
      </c>
      <c r="Y299" s="109">
        <v>43650.0</v>
      </c>
      <c r="Z299" s="109"/>
      <c r="AA299" s="109"/>
      <c r="AB299" s="137"/>
      <c r="AC299" s="109" t="s">
        <v>62</v>
      </c>
      <c r="AD299" s="109">
        <v>35260.0</v>
      </c>
      <c r="AE299" s="109" t="s">
        <v>4430</v>
      </c>
      <c r="AF299" s="109" t="s">
        <v>4431</v>
      </c>
      <c r="AG299" s="109"/>
      <c r="AH299" s="109">
        <v>9.052614357E9</v>
      </c>
      <c r="AI299" s="109"/>
      <c r="AJ299" s="109" t="s">
        <v>4432</v>
      </c>
      <c r="AK299" s="109" t="s">
        <v>4433</v>
      </c>
      <c r="AL299" s="109" t="s">
        <v>4434</v>
      </c>
      <c r="AM299" s="109" t="s">
        <v>4435</v>
      </c>
      <c r="AN299" s="109" t="s">
        <v>4436</v>
      </c>
      <c r="AO299" s="109"/>
      <c r="AP299" s="109"/>
      <c r="AQ299" s="142" t="s">
        <v>4437</v>
      </c>
      <c r="AR299" s="109" t="s">
        <v>3617</v>
      </c>
      <c r="AS299" s="109">
        <v>43507.0</v>
      </c>
    </row>
    <row r="300" ht="14.25" customHeight="1">
      <c r="A300" s="188">
        <v>295.0</v>
      </c>
      <c r="B300" s="158" t="s">
        <v>4438</v>
      </c>
      <c r="C300" s="158" t="s">
        <v>4439</v>
      </c>
      <c r="D300" s="158" t="s">
        <v>4440</v>
      </c>
      <c r="E300" s="109" t="s">
        <v>82</v>
      </c>
      <c r="F300" s="109" t="s">
        <v>4135</v>
      </c>
      <c r="G300" s="109" t="s">
        <v>16</v>
      </c>
      <c r="H300" s="109">
        <v>1.092118148E9</v>
      </c>
      <c r="I300" s="109">
        <v>43364.0</v>
      </c>
      <c r="J300" s="109">
        <v>43364.0</v>
      </c>
      <c r="K300" s="109">
        <v>43380.0</v>
      </c>
      <c r="L300" s="109"/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109">
        <v>43364.0</v>
      </c>
      <c r="Y300" s="109">
        <v>43544.0</v>
      </c>
      <c r="Z300" s="109"/>
      <c r="AA300" s="109"/>
      <c r="AB300" s="109"/>
      <c r="AC300" s="162" t="s">
        <v>62</v>
      </c>
      <c r="AD300" s="109">
        <v>32938.0</v>
      </c>
      <c r="AE300" s="109" t="s">
        <v>4441</v>
      </c>
      <c r="AF300" s="109" t="s">
        <v>4325</v>
      </c>
      <c r="AG300" s="109" t="s">
        <v>4442</v>
      </c>
      <c r="AH300" s="109">
        <v>9.755029476E9</v>
      </c>
      <c r="AI300" s="109"/>
      <c r="AJ300" s="162" t="s">
        <v>4443</v>
      </c>
      <c r="AK300" s="109" t="s">
        <v>4444</v>
      </c>
      <c r="AL300" s="109" t="s">
        <v>4445</v>
      </c>
      <c r="AM300" s="109" t="s">
        <v>4446</v>
      </c>
      <c r="AN300" s="109" t="s">
        <v>4447</v>
      </c>
      <c r="AO300" s="109"/>
      <c r="AP300" s="109"/>
      <c r="AQ300" s="142"/>
      <c r="AR300" s="109" t="s">
        <v>983</v>
      </c>
      <c r="AS300" s="109">
        <v>43507.0</v>
      </c>
      <c r="AT300" s="212"/>
      <c r="AU300" s="212"/>
      <c r="AV300" s="212"/>
      <c r="AW300" s="212"/>
      <c r="AX300" s="212"/>
      <c r="AY300" s="212"/>
      <c r="AZ300" s="212"/>
      <c r="BA300" s="212"/>
    </row>
    <row r="301" ht="14.25" customHeight="1">
      <c r="A301" s="188">
        <v>296.0</v>
      </c>
      <c r="B301" s="158" t="s">
        <v>4448</v>
      </c>
      <c r="C301" s="158" t="s">
        <v>4449</v>
      </c>
      <c r="D301" s="158" t="s">
        <v>4450</v>
      </c>
      <c r="E301" s="109" t="s">
        <v>82</v>
      </c>
      <c r="F301" s="109" t="s">
        <v>4135</v>
      </c>
      <c r="G301" s="109" t="s">
        <v>16</v>
      </c>
      <c r="H301" s="213">
        <v>1.01101917E9</v>
      </c>
      <c r="I301" s="109">
        <v>43475.0</v>
      </c>
      <c r="J301" s="109">
        <v>43475.0</v>
      </c>
      <c r="K301" s="109">
        <v>43490.0</v>
      </c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109">
        <v>43475.0</v>
      </c>
      <c r="Y301" s="109">
        <v>43655.0</v>
      </c>
      <c r="Z301" s="109"/>
      <c r="AA301" s="109"/>
      <c r="AB301" s="137"/>
      <c r="AC301" s="109" t="s">
        <v>62</v>
      </c>
      <c r="AD301" s="109">
        <v>34919.0</v>
      </c>
      <c r="AE301" s="109" t="s">
        <v>4451</v>
      </c>
      <c r="AF301" s="109" t="s">
        <v>4325</v>
      </c>
      <c r="AG301" s="109" t="s">
        <v>4452</v>
      </c>
      <c r="AH301" s="109">
        <v>9.56465511E9</v>
      </c>
      <c r="AI301" s="109"/>
      <c r="AJ301" s="109" t="s">
        <v>4453</v>
      </c>
      <c r="AK301" s="109" t="s">
        <v>4454</v>
      </c>
      <c r="AL301" s="109" t="s">
        <v>4455</v>
      </c>
      <c r="AM301" s="109" t="s">
        <v>4456</v>
      </c>
      <c r="AN301" s="109" t="s">
        <v>4457</v>
      </c>
      <c r="AO301" s="109"/>
      <c r="AP301" s="109"/>
      <c r="AQ301" s="142" t="s">
        <v>4458</v>
      </c>
      <c r="AR301" s="109" t="s">
        <v>3617</v>
      </c>
      <c r="AS301" s="109">
        <v>43526.0</v>
      </c>
    </row>
    <row r="302" ht="14.25" customHeight="1">
      <c r="A302" s="188">
        <v>297.0</v>
      </c>
      <c r="B302" s="158" t="s">
        <v>1662</v>
      </c>
      <c r="C302" s="158" t="s">
        <v>4459</v>
      </c>
      <c r="D302" s="158" t="s">
        <v>807</v>
      </c>
      <c r="E302" s="109" t="s">
        <v>717</v>
      </c>
      <c r="F302" s="109" t="s">
        <v>4135</v>
      </c>
      <c r="G302" s="109" t="s">
        <v>16</v>
      </c>
      <c r="H302" s="109">
        <v>1.09011814E9</v>
      </c>
      <c r="I302" s="109">
        <v>43344.0</v>
      </c>
      <c r="J302" s="109">
        <v>43344.0</v>
      </c>
      <c r="K302" s="109">
        <v>43359.0</v>
      </c>
      <c r="L302" s="109"/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109">
        <v>43344.0</v>
      </c>
      <c r="Y302" s="109">
        <v>43524.0</v>
      </c>
      <c r="Z302" s="109"/>
      <c r="AA302" s="109"/>
      <c r="AB302" s="137"/>
      <c r="AC302" s="109" t="s">
        <v>62</v>
      </c>
      <c r="AD302" s="109">
        <v>34654.0</v>
      </c>
      <c r="AE302" s="109" t="s">
        <v>4460</v>
      </c>
      <c r="AF302" s="109" t="s">
        <v>4461</v>
      </c>
      <c r="AG302" s="109" t="s">
        <v>4462</v>
      </c>
      <c r="AH302" s="109"/>
      <c r="AI302" s="109"/>
      <c r="AJ302" s="109" t="s">
        <v>4463</v>
      </c>
      <c r="AK302" s="109" t="s">
        <v>4464</v>
      </c>
      <c r="AL302" s="109" t="s">
        <v>4465</v>
      </c>
      <c r="AM302" s="206" t="s">
        <v>4466</v>
      </c>
      <c r="AN302" s="109" t="s">
        <v>4467</v>
      </c>
      <c r="AO302" s="109"/>
      <c r="AP302" s="109"/>
      <c r="AQ302" s="142" t="s">
        <v>4468</v>
      </c>
      <c r="AR302" s="109" t="s">
        <v>3617</v>
      </c>
      <c r="AS302" s="109">
        <v>43534.0</v>
      </c>
    </row>
    <row r="303" ht="14.25" customHeight="1">
      <c r="A303" s="188">
        <v>298.0</v>
      </c>
      <c r="B303" s="158" t="s">
        <v>4469</v>
      </c>
      <c r="C303" s="158" t="s">
        <v>4470</v>
      </c>
      <c r="D303" s="158" t="s">
        <v>4471</v>
      </c>
      <c r="E303" s="109" t="s">
        <v>4472</v>
      </c>
      <c r="F303" s="109" t="s">
        <v>451</v>
      </c>
      <c r="G303" s="109" t="s">
        <v>57</v>
      </c>
      <c r="H303" s="109">
        <v>1.052616308E9</v>
      </c>
      <c r="I303" s="109">
        <v>42516.0</v>
      </c>
      <c r="J303" s="109"/>
      <c r="K303" s="109"/>
      <c r="L303" s="109">
        <v>42516.0</v>
      </c>
      <c r="M303" s="109">
        <v>42669.0</v>
      </c>
      <c r="N303" s="109"/>
      <c r="O303" s="109"/>
      <c r="P303" s="109"/>
      <c r="Q303" s="109"/>
      <c r="R303" s="109">
        <v>42670.0</v>
      </c>
      <c r="S303" s="109">
        <v>43034.0</v>
      </c>
      <c r="T303" s="109"/>
      <c r="U303" s="109"/>
      <c r="V303" s="109"/>
      <c r="W303" s="109"/>
      <c r="X303" s="109"/>
      <c r="Y303" s="109"/>
      <c r="Z303" s="109"/>
      <c r="AA303" s="109"/>
      <c r="AB303" s="137">
        <v>42828.0</v>
      </c>
      <c r="AC303" s="109" t="s">
        <v>62</v>
      </c>
      <c r="AD303" s="109">
        <v>34948.0</v>
      </c>
      <c r="AE303" s="109" t="s">
        <v>4473</v>
      </c>
      <c r="AF303" s="109" t="s">
        <v>4461</v>
      </c>
      <c r="AG303" s="109" t="s">
        <v>4474</v>
      </c>
      <c r="AH303" s="109">
        <v>9.056731852E9</v>
      </c>
      <c r="AI303" s="109"/>
      <c r="AJ303" s="109" t="s">
        <v>4475</v>
      </c>
      <c r="AK303" s="109" t="s">
        <v>4476</v>
      </c>
      <c r="AL303" s="109" t="s">
        <v>4477</v>
      </c>
      <c r="AM303" s="109" t="s">
        <v>4478</v>
      </c>
      <c r="AN303" s="109" t="s">
        <v>4479</v>
      </c>
      <c r="AO303" s="109"/>
      <c r="AP303" s="109"/>
      <c r="AQ303" s="142" t="s">
        <v>4480</v>
      </c>
      <c r="AR303" s="109" t="s">
        <v>3617</v>
      </c>
      <c r="AS303" s="109">
        <v>43524.0</v>
      </c>
    </row>
    <row r="304" ht="14.25" customHeight="1">
      <c r="A304" s="188">
        <v>299.0</v>
      </c>
      <c r="B304" s="158" t="s">
        <v>2225</v>
      </c>
      <c r="C304" s="158" t="s">
        <v>3107</v>
      </c>
      <c r="D304" s="158" t="s">
        <v>78</v>
      </c>
      <c r="E304" s="109" t="s">
        <v>550</v>
      </c>
      <c r="F304" s="109" t="s">
        <v>451</v>
      </c>
      <c r="G304" s="109" t="s">
        <v>57</v>
      </c>
      <c r="H304" s="109">
        <v>1.110716338E9</v>
      </c>
      <c r="I304" s="109">
        <v>42681.0</v>
      </c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>
        <v>42681.0</v>
      </c>
      <c r="Y304" s="109">
        <v>42862.0</v>
      </c>
      <c r="Z304" s="109"/>
      <c r="AA304" s="109"/>
      <c r="AB304" s="109">
        <v>42863.0</v>
      </c>
      <c r="AC304" s="162" t="s">
        <v>62</v>
      </c>
      <c r="AD304" s="109">
        <v>34636.0</v>
      </c>
      <c r="AE304" s="109" t="s">
        <v>4481</v>
      </c>
      <c r="AF304" s="109" t="s">
        <v>1168</v>
      </c>
      <c r="AG304" s="109"/>
      <c r="AH304" s="109">
        <v>9.350044105E9</v>
      </c>
      <c r="AI304" s="109"/>
      <c r="AJ304" s="109" t="s">
        <v>526</v>
      </c>
      <c r="AK304" s="109" t="s">
        <v>4482</v>
      </c>
      <c r="AL304" s="109" t="s">
        <v>4483</v>
      </c>
      <c r="AM304" s="109" t="s">
        <v>4484</v>
      </c>
      <c r="AN304" s="109" t="s">
        <v>4485</v>
      </c>
      <c r="AO304" s="109"/>
      <c r="AP304" s="109"/>
      <c r="AQ304" s="142" t="s">
        <v>4486</v>
      </c>
      <c r="AR304" s="109" t="s">
        <v>3617</v>
      </c>
      <c r="AS304" s="109">
        <v>43524.0</v>
      </c>
      <c r="AT304" s="29"/>
      <c r="AU304" s="29"/>
      <c r="AV304" s="29"/>
      <c r="AW304" s="29"/>
      <c r="AX304" s="29"/>
      <c r="AY304" s="29"/>
      <c r="AZ304" s="29"/>
      <c r="BA304" s="29"/>
      <c r="BB304" s="29"/>
    </row>
    <row r="305" ht="14.25" customHeight="1">
      <c r="A305" s="188">
        <v>300.0</v>
      </c>
      <c r="B305" s="158" t="s">
        <v>4487</v>
      </c>
      <c r="C305" s="158" t="s">
        <v>4488</v>
      </c>
      <c r="D305" s="158" t="s">
        <v>4489</v>
      </c>
      <c r="E305" s="109" t="s">
        <v>82</v>
      </c>
      <c r="F305" s="109" t="s">
        <v>4135</v>
      </c>
      <c r="G305" s="109" t="s">
        <v>16</v>
      </c>
      <c r="H305" s="213">
        <v>1.030519182E9</v>
      </c>
      <c r="I305" s="109">
        <v>43529.0</v>
      </c>
      <c r="J305" s="109">
        <f>I305</f>
        <v>43529</v>
      </c>
      <c r="K305" s="109">
        <f>J305+15</f>
        <v>43544</v>
      </c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109">
        <f>J305</f>
        <v>43529</v>
      </c>
      <c r="Y305" s="109">
        <f>X305+183</f>
        <v>43712</v>
      </c>
      <c r="Z305" s="109"/>
      <c r="AA305" s="109"/>
      <c r="AB305" s="137"/>
      <c r="AC305" s="109" t="s">
        <v>62</v>
      </c>
      <c r="AD305" s="109">
        <v>43822.0</v>
      </c>
      <c r="AE305" s="109" t="s">
        <v>4490</v>
      </c>
      <c r="AF305" s="109" t="s">
        <v>4325</v>
      </c>
      <c r="AG305" s="109" t="s">
        <v>4491</v>
      </c>
      <c r="AH305" s="109">
        <v>9.306011743E9</v>
      </c>
      <c r="AI305" s="109"/>
      <c r="AJ305" s="109" t="s">
        <v>4492</v>
      </c>
      <c r="AK305" s="109" t="s">
        <v>4493</v>
      </c>
      <c r="AL305" s="109" t="s">
        <v>4494</v>
      </c>
      <c r="AM305" s="109" t="s">
        <v>4495</v>
      </c>
      <c r="AN305" s="109" t="s">
        <v>4496</v>
      </c>
      <c r="AO305" s="109"/>
      <c r="AP305" s="109"/>
      <c r="AQ305" s="142"/>
      <c r="AR305" s="214" t="s">
        <v>3919</v>
      </c>
      <c r="AS305" s="214">
        <v>43532.0</v>
      </c>
    </row>
    <row r="306" ht="14.25" customHeight="1">
      <c r="A306" s="188">
        <v>301.0</v>
      </c>
      <c r="B306" s="158" t="s">
        <v>4497</v>
      </c>
      <c r="C306" s="158" t="s">
        <v>3037</v>
      </c>
      <c r="D306" s="158" t="s">
        <v>902</v>
      </c>
      <c r="E306" s="109" t="s">
        <v>4498</v>
      </c>
      <c r="F306" s="109" t="s">
        <v>83</v>
      </c>
      <c r="G306" s="109" t="s">
        <v>424</v>
      </c>
      <c r="H306" s="109">
        <v>1.010819168E9</v>
      </c>
      <c r="I306" s="109">
        <v>43473.0</v>
      </c>
      <c r="J306" s="109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109">
        <v>43473.0</v>
      </c>
      <c r="Y306" s="109"/>
      <c r="Z306" s="109"/>
      <c r="AA306" s="109"/>
      <c r="AB306" s="137"/>
      <c r="AC306" s="109" t="s">
        <v>62</v>
      </c>
      <c r="AD306" s="109">
        <v>32237.0</v>
      </c>
      <c r="AE306" s="109" t="s">
        <v>4499</v>
      </c>
      <c r="AF306" s="109" t="s">
        <v>4336</v>
      </c>
      <c r="AG306" s="109"/>
      <c r="AH306" s="109">
        <v>9.771925937E9</v>
      </c>
      <c r="AI306" s="109"/>
      <c r="AJ306" s="109" t="s">
        <v>4500</v>
      </c>
      <c r="AK306" s="109"/>
      <c r="AL306" s="109"/>
      <c r="AM306" s="109"/>
      <c r="AN306" s="109"/>
      <c r="AO306" s="109"/>
      <c r="AP306" s="109"/>
      <c r="AQ306" s="215"/>
      <c r="AR306" s="109" t="s">
        <v>900</v>
      </c>
      <c r="AS306" s="109">
        <v>43539.0</v>
      </c>
    </row>
    <row r="307" ht="18.0" customHeight="1">
      <c r="A307" s="188">
        <v>302.0</v>
      </c>
      <c r="B307" s="158" t="s">
        <v>2319</v>
      </c>
      <c r="C307" s="158" t="s">
        <v>4501</v>
      </c>
      <c r="D307" s="158" t="s">
        <v>4502</v>
      </c>
      <c r="E307" s="109" t="s">
        <v>2047</v>
      </c>
      <c r="F307" s="109" t="s">
        <v>161</v>
      </c>
      <c r="G307" s="109" t="s">
        <v>16</v>
      </c>
      <c r="H307" s="216">
        <v>1.011519173E9</v>
      </c>
      <c r="I307" s="109">
        <v>43480.0</v>
      </c>
      <c r="J307" s="109">
        <v>43480.0</v>
      </c>
      <c r="K307" s="109">
        <v>43495.0</v>
      </c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109">
        <v>43480.0</v>
      </c>
      <c r="Y307" s="109">
        <v>43660.0</v>
      </c>
      <c r="Z307" s="109"/>
      <c r="AA307" s="109"/>
      <c r="AB307" s="109"/>
      <c r="AC307" s="162" t="s">
        <v>4503</v>
      </c>
      <c r="AD307" s="109">
        <v>32221.0</v>
      </c>
      <c r="AE307" s="109" t="s">
        <v>4504</v>
      </c>
      <c r="AF307" s="109" t="s">
        <v>4325</v>
      </c>
      <c r="AG307" s="109"/>
      <c r="AH307" s="109">
        <v>9.974282779E9</v>
      </c>
      <c r="AI307" s="109"/>
      <c r="AJ307" s="109" t="s">
        <v>4505</v>
      </c>
      <c r="AK307" s="109" t="s">
        <v>4506</v>
      </c>
      <c r="AL307" s="109" t="s">
        <v>4507</v>
      </c>
      <c r="AM307" s="109" t="s">
        <v>4508</v>
      </c>
      <c r="AN307" s="109" t="s">
        <v>4509</v>
      </c>
      <c r="AO307" s="109">
        <v>1.0</v>
      </c>
      <c r="AP307" s="217"/>
      <c r="AQ307" s="215" t="s">
        <v>4510</v>
      </c>
      <c r="AR307" s="109" t="s">
        <v>983</v>
      </c>
      <c r="AS307" s="109">
        <v>43539.0</v>
      </c>
    </row>
    <row r="308" ht="18.0" customHeight="1">
      <c r="A308" s="188">
        <v>303.0</v>
      </c>
      <c r="B308" s="158" t="s">
        <v>4511</v>
      </c>
      <c r="C308" s="158" t="s">
        <v>4512</v>
      </c>
      <c r="D308" s="158" t="s">
        <v>4513</v>
      </c>
      <c r="E308" s="109" t="s">
        <v>4514</v>
      </c>
      <c r="F308" s="109" t="s">
        <v>56</v>
      </c>
      <c r="G308" s="109" t="s">
        <v>57</v>
      </c>
      <c r="H308" s="109">
        <v>1.052316311E9</v>
      </c>
      <c r="I308" s="109">
        <v>42527.0</v>
      </c>
      <c r="J308" s="109">
        <v>42513.0</v>
      </c>
      <c r="K308" s="109">
        <v>42526.0</v>
      </c>
      <c r="L308" s="109">
        <v>42527.0</v>
      </c>
      <c r="M308" s="109">
        <v>42680.0</v>
      </c>
      <c r="N308" s="109"/>
      <c r="O308" s="109"/>
      <c r="P308" s="109"/>
      <c r="Q308" s="109"/>
      <c r="R308" s="109">
        <v>42681.0</v>
      </c>
      <c r="S308" s="109">
        <v>43410.0</v>
      </c>
      <c r="T308" s="109"/>
      <c r="U308" s="109"/>
      <c r="V308" s="109"/>
      <c r="W308" s="109"/>
      <c r="X308" s="109"/>
      <c r="Y308" s="109"/>
      <c r="Z308" s="109"/>
      <c r="AA308" s="109"/>
      <c r="AB308" s="109">
        <v>42828.0</v>
      </c>
      <c r="AC308" s="162" t="s">
        <v>62</v>
      </c>
      <c r="AD308" s="109">
        <v>33965.0</v>
      </c>
      <c r="AE308" s="109" t="s">
        <v>4515</v>
      </c>
      <c r="AF308" s="109"/>
      <c r="AG308" s="109" t="s">
        <v>4516</v>
      </c>
      <c r="AH308" s="109" t="s">
        <v>4517</v>
      </c>
      <c r="AI308" s="109"/>
      <c r="AJ308" s="109" t="s">
        <v>1847</v>
      </c>
      <c r="AK308" s="109" t="s">
        <v>4518</v>
      </c>
      <c r="AL308" s="109" t="s">
        <v>4519</v>
      </c>
      <c r="AM308" s="109" t="s">
        <v>4520</v>
      </c>
      <c r="AN308" s="109" t="s">
        <v>4521</v>
      </c>
      <c r="AO308" s="109"/>
      <c r="AP308" s="109"/>
      <c r="AQ308" s="215" t="s">
        <v>4522</v>
      </c>
      <c r="AR308" s="109" t="s">
        <v>3617</v>
      </c>
      <c r="AS308" s="214">
        <v>43554.0</v>
      </c>
    </row>
    <row r="309" ht="14.25" customHeight="1">
      <c r="A309" s="188">
        <v>304.0</v>
      </c>
      <c r="B309" s="158" t="s">
        <v>4523</v>
      </c>
      <c r="C309" s="158" t="s">
        <v>1842</v>
      </c>
      <c r="D309" s="158" t="s">
        <v>4524</v>
      </c>
      <c r="E309" s="109" t="s">
        <v>2047</v>
      </c>
      <c r="F309" s="109" t="s">
        <v>161</v>
      </c>
      <c r="G309" s="109" t="s">
        <v>16</v>
      </c>
      <c r="H309" s="109">
        <v>1.100618149E9</v>
      </c>
      <c r="I309" s="109">
        <v>43376.0</v>
      </c>
      <c r="J309" s="109">
        <v>43376.0</v>
      </c>
      <c r="K309" s="109">
        <v>43391.0</v>
      </c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109">
        <v>43376.0</v>
      </c>
      <c r="Y309" s="109">
        <v>43557.0</v>
      </c>
      <c r="Z309" s="109"/>
      <c r="AA309" s="109"/>
      <c r="AB309" s="137"/>
      <c r="AC309" s="109" t="s">
        <v>62</v>
      </c>
      <c r="AD309" s="109">
        <v>33161.0</v>
      </c>
      <c r="AE309" s="109" t="s">
        <v>4525</v>
      </c>
      <c r="AF309" s="109" t="s">
        <v>4526</v>
      </c>
      <c r="AG309" s="109"/>
      <c r="AH309" s="109">
        <v>9.352497787E9</v>
      </c>
      <c r="AI309" s="109"/>
      <c r="AJ309" s="109" t="s">
        <v>4527</v>
      </c>
      <c r="AK309" s="109" t="s">
        <v>4528</v>
      </c>
      <c r="AL309" s="109" t="s">
        <v>4529</v>
      </c>
      <c r="AM309" s="109" t="s">
        <v>4530</v>
      </c>
      <c r="AN309" s="109" t="s">
        <v>4531</v>
      </c>
      <c r="AO309" s="109"/>
      <c r="AP309" s="109"/>
      <c r="AQ309" s="142" t="s">
        <v>4532</v>
      </c>
      <c r="AR309" s="218" t="s">
        <v>1241</v>
      </c>
      <c r="AS309" s="109">
        <v>43549.0</v>
      </c>
    </row>
    <row r="310" ht="14.25" customHeight="1">
      <c r="A310" s="188">
        <v>305.0</v>
      </c>
      <c r="B310" s="158" t="s">
        <v>560</v>
      </c>
      <c r="C310" s="158" t="s">
        <v>4533</v>
      </c>
      <c r="D310" s="158" t="s">
        <v>4497</v>
      </c>
      <c r="E310" s="109" t="s">
        <v>944</v>
      </c>
      <c r="F310" s="109" t="s">
        <v>508</v>
      </c>
      <c r="G310" s="109" t="s">
        <v>57</v>
      </c>
      <c r="H310" s="109">
        <v>1.031518421E9</v>
      </c>
      <c r="I310" s="109">
        <v>43174.0</v>
      </c>
      <c r="J310" s="109"/>
      <c r="K310" s="109"/>
      <c r="L310" s="109"/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109">
        <v>43174.0</v>
      </c>
      <c r="Y310" s="109">
        <v>43357.0</v>
      </c>
      <c r="Z310" s="109"/>
      <c r="AA310" s="109"/>
      <c r="AB310" s="137">
        <v>43358.0</v>
      </c>
      <c r="AC310" s="109" t="s">
        <v>62</v>
      </c>
      <c r="AD310" s="109">
        <v>34058.0</v>
      </c>
      <c r="AE310" s="109" t="s">
        <v>4534</v>
      </c>
      <c r="AF310" s="109" t="s">
        <v>4336</v>
      </c>
      <c r="AG310" s="109"/>
      <c r="AH310" s="109">
        <v>9.124754912E9</v>
      </c>
      <c r="AI310" s="109"/>
      <c r="AJ310" s="109" t="s">
        <v>4535</v>
      </c>
      <c r="AK310" s="109" t="s">
        <v>4536</v>
      </c>
      <c r="AL310" s="109" t="s">
        <v>4537</v>
      </c>
      <c r="AM310" s="109" t="s">
        <v>4538</v>
      </c>
      <c r="AN310" s="109" t="s">
        <v>4539</v>
      </c>
      <c r="AO310" s="109"/>
      <c r="AP310" s="109"/>
      <c r="AQ310" s="142" t="s">
        <v>4540</v>
      </c>
      <c r="AR310" s="218" t="s">
        <v>3617</v>
      </c>
      <c r="AS310" s="109">
        <v>43553.0</v>
      </c>
    </row>
    <row r="311" ht="18.0" customHeight="1">
      <c r="A311" s="188">
        <v>306.0</v>
      </c>
      <c r="B311" s="158" t="s">
        <v>4541</v>
      </c>
      <c r="C311" s="158" t="s">
        <v>4542</v>
      </c>
      <c r="D311" s="158" t="s">
        <v>4543</v>
      </c>
      <c r="E311" s="109" t="s">
        <v>82</v>
      </c>
      <c r="F311" s="109" t="s">
        <v>4135</v>
      </c>
      <c r="G311" s="109" t="s">
        <v>16</v>
      </c>
      <c r="H311" s="109">
        <v>1.120118163E9</v>
      </c>
      <c r="I311" s="109">
        <v>43435.0</v>
      </c>
      <c r="J311" s="109">
        <v>43435.0</v>
      </c>
      <c r="K311" s="109">
        <v>43450.0</v>
      </c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109">
        <v>43435.0</v>
      </c>
      <c r="Y311" s="109">
        <v>43615.0</v>
      </c>
      <c r="Z311" s="109"/>
      <c r="AA311" s="109"/>
      <c r="AB311" s="137"/>
      <c r="AC311" s="109" t="s">
        <v>107</v>
      </c>
      <c r="AD311" s="109">
        <v>34759.0</v>
      </c>
      <c r="AE311" s="109" t="s">
        <v>4544</v>
      </c>
      <c r="AF311" s="109" t="s">
        <v>4325</v>
      </c>
      <c r="AG311" s="109"/>
      <c r="AH311" s="109">
        <v>9.275115809E9</v>
      </c>
      <c r="AI311" s="109"/>
      <c r="AJ311" s="109" t="s">
        <v>4545</v>
      </c>
      <c r="AK311" s="109" t="s">
        <v>4546</v>
      </c>
      <c r="AL311" s="109" t="s">
        <v>4547</v>
      </c>
      <c r="AM311" s="109" t="s">
        <v>4548</v>
      </c>
      <c r="AN311" s="109" t="s">
        <v>4549</v>
      </c>
      <c r="AO311" s="109"/>
      <c r="AP311" s="109"/>
      <c r="AQ311" s="142" t="s">
        <v>4550</v>
      </c>
      <c r="AR311" s="218" t="s">
        <v>3617</v>
      </c>
      <c r="AS311" s="109">
        <v>43554.0</v>
      </c>
    </row>
    <row r="312" ht="14.25" customHeight="1">
      <c r="A312" s="188">
        <v>307.0</v>
      </c>
      <c r="B312" s="158" t="s">
        <v>2999</v>
      </c>
      <c r="C312" s="158" t="s">
        <v>188</v>
      </c>
      <c r="D312" s="158" t="s">
        <v>1148</v>
      </c>
      <c r="E312" s="109" t="s">
        <v>82</v>
      </c>
      <c r="F312" s="109" t="s">
        <v>4135</v>
      </c>
      <c r="G312" s="109" t="s">
        <v>16</v>
      </c>
      <c r="H312" s="109">
        <v>1.111518159E9</v>
      </c>
      <c r="I312" s="109">
        <v>43419.0</v>
      </c>
      <c r="J312" s="109">
        <v>43419.0</v>
      </c>
      <c r="K312" s="109">
        <v>43434.0</v>
      </c>
      <c r="L312" s="109"/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109">
        <v>43419.0</v>
      </c>
      <c r="Y312" s="109">
        <v>43599.0</v>
      </c>
      <c r="Z312" s="109"/>
      <c r="AA312" s="109"/>
      <c r="AB312" s="137"/>
      <c r="AC312" s="109" t="s">
        <v>62</v>
      </c>
      <c r="AD312" s="109">
        <v>34899.0</v>
      </c>
      <c r="AE312" s="109" t="s">
        <v>4551</v>
      </c>
      <c r="AF312" s="109" t="s">
        <v>4552</v>
      </c>
      <c r="AG312" s="109" t="s">
        <v>4553</v>
      </c>
      <c r="AH312" s="109">
        <v>9.560419748E9</v>
      </c>
      <c r="AI312" s="109"/>
      <c r="AJ312" s="109" t="s">
        <v>4554</v>
      </c>
      <c r="AK312" s="109" t="s">
        <v>4555</v>
      </c>
      <c r="AL312" s="109" t="s">
        <v>4556</v>
      </c>
      <c r="AM312" s="109" t="s">
        <v>4557</v>
      </c>
      <c r="AN312" s="109" t="s">
        <v>4558</v>
      </c>
      <c r="AO312" s="109"/>
      <c r="AP312" s="109"/>
      <c r="AQ312" s="142"/>
      <c r="AR312" s="109" t="s">
        <v>900</v>
      </c>
      <c r="AS312" s="109">
        <v>43551.0</v>
      </c>
    </row>
    <row r="313" ht="18.0" customHeight="1">
      <c r="A313" s="188">
        <v>308.0</v>
      </c>
      <c r="B313" s="158" t="s">
        <v>4559</v>
      </c>
      <c r="C313" s="142" t="s">
        <v>4560</v>
      </c>
      <c r="D313" s="158" t="s">
        <v>690</v>
      </c>
      <c r="E313" s="109" t="s">
        <v>82</v>
      </c>
      <c r="F313" s="109" t="s">
        <v>4135</v>
      </c>
      <c r="G313" s="109" t="s">
        <v>16</v>
      </c>
      <c r="H313" s="109">
        <v>1.110718157E9</v>
      </c>
      <c r="I313" s="109">
        <v>43411.0</v>
      </c>
      <c r="J313" s="109">
        <v>43411.0</v>
      </c>
      <c r="K313" s="109">
        <v>43425.0</v>
      </c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109">
        <v>43411.0</v>
      </c>
      <c r="Y313" s="109">
        <v>43591.0</v>
      </c>
      <c r="Z313" s="109"/>
      <c r="AA313" s="109"/>
      <c r="AB313" s="109"/>
      <c r="AC313" s="162" t="s">
        <v>62</v>
      </c>
      <c r="AD313" s="162">
        <v>34356.0</v>
      </c>
      <c r="AE313" s="162" t="s">
        <v>4561</v>
      </c>
      <c r="AF313" s="162" t="s">
        <v>4562</v>
      </c>
      <c r="AG313" s="162" t="s">
        <v>4563</v>
      </c>
      <c r="AH313" s="162">
        <v>9.45621667E9</v>
      </c>
      <c r="AI313" s="162"/>
      <c r="AJ313" s="162" t="s">
        <v>4564</v>
      </c>
      <c r="AK313" s="162" t="s">
        <v>4565</v>
      </c>
      <c r="AL313" s="162" t="s">
        <v>4566</v>
      </c>
      <c r="AM313" s="162" t="s">
        <v>4567</v>
      </c>
      <c r="AN313" s="162" t="s">
        <v>4568</v>
      </c>
      <c r="AO313" s="162"/>
      <c r="AP313" s="162"/>
      <c r="AQ313" s="199" t="s">
        <v>4569</v>
      </c>
      <c r="AR313" s="109" t="s">
        <v>900</v>
      </c>
      <c r="AS313" s="133">
        <v>43570.0</v>
      </c>
    </row>
    <row r="314" ht="14.25" customHeight="1">
      <c r="A314" s="188">
        <v>309.0</v>
      </c>
      <c r="B314" s="158" t="s">
        <v>857</v>
      </c>
      <c r="C314" s="158" t="s">
        <v>858</v>
      </c>
      <c r="D314" s="158" t="s">
        <v>859</v>
      </c>
      <c r="E314" s="109" t="s">
        <v>1881</v>
      </c>
      <c r="F314" s="109" t="s">
        <v>4135</v>
      </c>
      <c r="G314" s="109" t="s">
        <v>57</v>
      </c>
      <c r="H314" s="109">
        <v>1.040718427E9</v>
      </c>
      <c r="I314" s="109">
        <v>43197.0</v>
      </c>
      <c r="J314" s="109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109">
        <v>43197.0</v>
      </c>
      <c r="Y314" s="109">
        <v>43379.0</v>
      </c>
      <c r="Z314" s="109"/>
      <c r="AA314" s="109"/>
      <c r="AB314" s="137">
        <v>43380.0</v>
      </c>
      <c r="AC314" s="109" t="s">
        <v>62</v>
      </c>
      <c r="AD314" s="109">
        <v>35483.0</v>
      </c>
      <c r="AE314" s="109" t="s">
        <v>4570</v>
      </c>
      <c r="AF314" s="109" t="s">
        <v>4571</v>
      </c>
      <c r="AG314" s="109" t="s">
        <v>4572</v>
      </c>
      <c r="AH314" s="109">
        <v>9.265407472E9</v>
      </c>
      <c r="AI314" s="109"/>
      <c r="AJ314" s="109" t="s">
        <v>4573</v>
      </c>
      <c r="AK314" s="109" t="s">
        <v>864</v>
      </c>
      <c r="AL314" s="204" t="s">
        <v>865</v>
      </c>
      <c r="AM314" s="109" t="s">
        <v>866</v>
      </c>
      <c r="AN314" s="109" t="s">
        <v>867</v>
      </c>
      <c r="AO314" s="109"/>
      <c r="AP314" s="109"/>
      <c r="AQ314" s="142" t="s">
        <v>4574</v>
      </c>
      <c r="AR314" s="109" t="s">
        <v>4575</v>
      </c>
      <c r="AS314" s="109">
        <v>43579.0</v>
      </c>
    </row>
    <row r="315" ht="18.0" customHeight="1">
      <c r="A315" s="188">
        <v>310.0</v>
      </c>
      <c r="B315" s="158" t="s">
        <v>4511</v>
      </c>
      <c r="C315" s="158" t="s">
        <v>4576</v>
      </c>
      <c r="D315" s="158" t="s">
        <v>4577</v>
      </c>
      <c r="E315" s="109" t="s">
        <v>82</v>
      </c>
      <c r="F315" s="109" t="s">
        <v>4135</v>
      </c>
      <c r="G315" s="109" t="s">
        <v>16</v>
      </c>
      <c r="H315" s="213">
        <v>1.011119174E9</v>
      </c>
      <c r="I315" s="109">
        <v>43476.0</v>
      </c>
      <c r="J315" s="109">
        <v>43476.0</v>
      </c>
      <c r="K315" s="109">
        <v>43491.0</v>
      </c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109">
        <v>43476.0</v>
      </c>
      <c r="Y315" s="109">
        <v>43656.0</v>
      </c>
      <c r="Z315" s="109"/>
      <c r="AA315" s="109"/>
      <c r="AB315" s="109"/>
      <c r="AC315" s="162" t="s">
        <v>62</v>
      </c>
      <c r="AD315" s="162">
        <v>33068.0</v>
      </c>
      <c r="AE315" s="162" t="s">
        <v>4578</v>
      </c>
      <c r="AF315" s="162" t="s">
        <v>4325</v>
      </c>
      <c r="AG315" s="162" t="s">
        <v>4579</v>
      </c>
      <c r="AH315" s="162">
        <v>9.09550245E9</v>
      </c>
      <c r="AI315" s="162"/>
      <c r="AJ315" s="162" t="s">
        <v>4580</v>
      </c>
      <c r="AK315" s="162" t="s">
        <v>4581</v>
      </c>
      <c r="AL315" s="162" t="s">
        <v>4582</v>
      </c>
      <c r="AM315" s="162" t="s">
        <v>4583</v>
      </c>
      <c r="AN315" s="162" t="s">
        <v>4584</v>
      </c>
      <c r="AO315" s="162"/>
      <c r="AP315" s="162"/>
      <c r="AQ315" s="199" t="s">
        <v>4585</v>
      </c>
      <c r="AR315" s="133" t="s">
        <v>4586</v>
      </c>
      <c r="AS315" s="133">
        <v>43565.0</v>
      </c>
    </row>
    <row r="316" ht="18.0" customHeight="1">
      <c r="A316" s="188">
        <v>311.0</v>
      </c>
      <c r="B316" s="158" t="s">
        <v>3735</v>
      </c>
      <c r="C316" s="142" t="s">
        <v>4587</v>
      </c>
      <c r="D316" s="158" t="s">
        <v>1863</v>
      </c>
      <c r="E316" s="109" t="s">
        <v>82</v>
      </c>
      <c r="F316" s="109" t="s">
        <v>4135</v>
      </c>
      <c r="G316" s="109" t="s">
        <v>16</v>
      </c>
      <c r="H316" s="109">
        <v>1.111018158E9</v>
      </c>
      <c r="I316" s="109">
        <v>43414.0</v>
      </c>
      <c r="J316" s="109">
        <v>43414.0</v>
      </c>
      <c r="K316" s="109">
        <v>43429.0</v>
      </c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109">
        <v>43414.0</v>
      </c>
      <c r="Y316" s="109">
        <v>43594.0</v>
      </c>
      <c r="Z316" s="109"/>
      <c r="AA316" s="109"/>
      <c r="AB316" s="109"/>
      <c r="AC316" s="162" t="s">
        <v>107</v>
      </c>
      <c r="AD316" s="162">
        <v>33315.0</v>
      </c>
      <c r="AE316" s="162" t="s">
        <v>4588</v>
      </c>
      <c r="AF316" s="162" t="s">
        <v>4589</v>
      </c>
      <c r="AG316" s="162" t="s">
        <v>4590</v>
      </c>
      <c r="AH316" s="162">
        <v>9.666542287E9</v>
      </c>
      <c r="AI316" s="162"/>
      <c r="AJ316" s="162" t="s">
        <v>3914</v>
      </c>
      <c r="AK316" s="162" t="s">
        <v>4591</v>
      </c>
      <c r="AL316" s="162" t="s">
        <v>4592</v>
      </c>
      <c r="AM316" s="162" t="s">
        <v>4593</v>
      </c>
      <c r="AN316" s="162" t="s">
        <v>4594</v>
      </c>
      <c r="AO316" s="162">
        <v>2.0</v>
      </c>
      <c r="AP316" s="162" t="s">
        <v>4595</v>
      </c>
      <c r="AQ316" s="219" t="s">
        <v>4596</v>
      </c>
      <c r="AR316" s="133" t="s">
        <v>4597</v>
      </c>
      <c r="AS316" s="133">
        <v>43594.0</v>
      </c>
    </row>
    <row r="317" ht="18.0" customHeight="1">
      <c r="A317" s="188">
        <v>312.0</v>
      </c>
      <c r="B317" s="158" t="s">
        <v>4598</v>
      </c>
      <c r="C317" s="142" t="s">
        <v>4599</v>
      </c>
      <c r="D317" s="158" t="s">
        <v>2144</v>
      </c>
      <c r="E317" s="109" t="s">
        <v>133</v>
      </c>
      <c r="F317" s="109" t="s">
        <v>56</v>
      </c>
      <c r="G317" s="109" t="s">
        <v>4600</v>
      </c>
      <c r="H317" s="109">
        <v>1.110818154E9</v>
      </c>
      <c r="I317" s="109">
        <v>43412.0</v>
      </c>
      <c r="J317" s="109">
        <v>43412.0</v>
      </c>
      <c r="K317" s="109">
        <v>43426.0</v>
      </c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109">
        <v>43412.0</v>
      </c>
      <c r="Y317" s="109">
        <v>43592.0</v>
      </c>
      <c r="Z317" s="109"/>
      <c r="AA317" s="109"/>
      <c r="AB317" s="109"/>
      <c r="AC317" s="109" t="s">
        <v>62</v>
      </c>
      <c r="AD317" s="109">
        <v>32509.0</v>
      </c>
      <c r="AE317" s="109" t="s">
        <v>4601</v>
      </c>
      <c r="AF317" s="109" t="s">
        <v>4325</v>
      </c>
      <c r="AG317" s="109" t="s">
        <v>4602</v>
      </c>
      <c r="AH317" s="109">
        <v>9.062410772E9</v>
      </c>
      <c r="AI317" s="109"/>
      <c r="AJ317" s="109" t="s">
        <v>4603</v>
      </c>
      <c r="AK317" s="109" t="s">
        <v>4604</v>
      </c>
      <c r="AL317" s="202" t="s">
        <v>4605</v>
      </c>
      <c r="AM317" s="202" t="s">
        <v>4606</v>
      </c>
      <c r="AN317" s="109" t="s">
        <v>4607</v>
      </c>
      <c r="AO317" s="109"/>
      <c r="AP317" s="109"/>
      <c r="AQ317" s="142" t="s">
        <v>4608</v>
      </c>
      <c r="AR317" s="109" t="s">
        <v>4597</v>
      </c>
      <c r="AS317" s="109">
        <v>43593.0</v>
      </c>
    </row>
    <row r="318" ht="14.25" customHeight="1">
      <c r="A318" s="188">
        <v>313.0</v>
      </c>
      <c r="B318" s="158" t="s">
        <v>4609</v>
      </c>
      <c r="C318" s="158" t="s">
        <v>4610</v>
      </c>
      <c r="D318" s="158" t="s">
        <v>4611</v>
      </c>
      <c r="E318" s="109" t="s">
        <v>1059</v>
      </c>
      <c r="F318" s="109" t="s">
        <v>177</v>
      </c>
      <c r="G318" s="109" t="s">
        <v>16</v>
      </c>
      <c r="H318" s="213">
        <v>1.02111918E9</v>
      </c>
      <c r="I318" s="109">
        <v>43507.0</v>
      </c>
      <c r="J318" s="109">
        <f>I318</f>
        <v>43507</v>
      </c>
      <c r="K318" s="109">
        <f>J318+15</f>
        <v>43522</v>
      </c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109">
        <f>I318</f>
        <v>43507</v>
      </c>
      <c r="Y318" s="109">
        <f>X318+180</f>
        <v>43687</v>
      </c>
      <c r="Z318" s="109"/>
      <c r="AA318" s="109"/>
      <c r="AB318" s="137"/>
      <c r="AC318" s="109" t="s">
        <v>62</v>
      </c>
      <c r="AD318" s="109">
        <v>33803.0</v>
      </c>
      <c r="AE318" s="109" t="s">
        <v>4612</v>
      </c>
      <c r="AF318" s="109" t="s">
        <v>4613</v>
      </c>
      <c r="AG318" s="109"/>
      <c r="AH318" s="109">
        <v>9.754841406E9</v>
      </c>
      <c r="AI318" s="109"/>
      <c r="AJ318" s="109" t="s">
        <v>4614</v>
      </c>
      <c r="AK318" s="109" t="s">
        <v>4615</v>
      </c>
      <c r="AL318" s="202" t="s">
        <v>4616</v>
      </c>
      <c r="AM318" s="202" t="s">
        <v>4617</v>
      </c>
      <c r="AN318" s="109" t="s">
        <v>4618</v>
      </c>
      <c r="AO318" s="109"/>
      <c r="AP318" s="109"/>
      <c r="AQ318" s="142" t="s">
        <v>4619</v>
      </c>
      <c r="AR318" s="133" t="s">
        <v>4620</v>
      </c>
      <c r="AS318" s="109">
        <v>43587.0</v>
      </c>
    </row>
    <row r="319" ht="14.25" customHeight="1">
      <c r="A319" s="188">
        <v>314.0</v>
      </c>
      <c r="B319" s="158" t="s">
        <v>4621</v>
      </c>
      <c r="C319" s="158" t="s">
        <v>4622</v>
      </c>
      <c r="D319" s="158" t="s">
        <v>4623</v>
      </c>
      <c r="E319" s="109" t="s">
        <v>1881</v>
      </c>
      <c r="F319" s="109" t="s">
        <v>4135</v>
      </c>
      <c r="G319" s="109" t="s">
        <v>16</v>
      </c>
      <c r="H319" s="202">
        <v>1.120118165E9</v>
      </c>
      <c r="I319" s="109">
        <v>43435.0</v>
      </c>
      <c r="J319" s="109">
        <v>43435.0</v>
      </c>
      <c r="K319" s="109">
        <v>43450.0</v>
      </c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109">
        <v>43435.0</v>
      </c>
      <c r="Y319" s="109">
        <v>43615.0</v>
      </c>
      <c r="Z319" s="109"/>
      <c r="AA319" s="109"/>
      <c r="AB319" s="137"/>
      <c r="AC319" s="109" t="s">
        <v>62</v>
      </c>
      <c r="AD319" s="109">
        <v>35350.0</v>
      </c>
      <c r="AE319" s="109" t="s">
        <v>4624</v>
      </c>
      <c r="AF319" s="109" t="s">
        <v>4461</v>
      </c>
      <c r="AG319" s="109" t="s">
        <v>1328</v>
      </c>
      <c r="AH319" s="109">
        <v>9.28921178E9</v>
      </c>
      <c r="AI319" s="109"/>
      <c r="AJ319" s="109" t="s">
        <v>4625</v>
      </c>
      <c r="AK319" s="109" t="s">
        <v>4626</v>
      </c>
      <c r="AL319" s="109" t="s">
        <v>4627</v>
      </c>
      <c r="AM319" s="202" t="s">
        <v>4628</v>
      </c>
      <c r="AN319" s="109" t="s">
        <v>4629</v>
      </c>
      <c r="AO319" s="109"/>
      <c r="AP319" s="109"/>
      <c r="AQ319" s="142" t="s">
        <v>4630</v>
      </c>
      <c r="AR319" s="133" t="s">
        <v>4631</v>
      </c>
      <c r="AS319" s="109">
        <v>43586.0</v>
      </c>
    </row>
    <row r="320" ht="14.25" customHeight="1">
      <c r="A320" s="188">
        <v>315.0</v>
      </c>
      <c r="B320" s="158" t="s">
        <v>626</v>
      </c>
      <c r="C320" s="158" t="s">
        <v>1106</v>
      </c>
      <c r="D320" s="158" t="s">
        <v>4632</v>
      </c>
      <c r="E320" s="109" t="s">
        <v>1881</v>
      </c>
      <c r="F320" s="109" t="s">
        <v>4135</v>
      </c>
      <c r="G320" s="109" t="s">
        <v>16</v>
      </c>
      <c r="H320" s="202">
        <v>1.111718162E9</v>
      </c>
      <c r="I320" s="109">
        <v>43421.0</v>
      </c>
      <c r="J320" s="109">
        <v>43421.0</v>
      </c>
      <c r="K320" s="109">
        <v>43436.0</v>
      </c>
      <c r="L320" s="109"/>
      <c r="M320" s="109"/>
      <c r="N320" s="109"/>
      <c r="O320" s="109"/>
      <c r="P320" s="109"/>
      <c r="Q320" s="109"/>
      <c r="R320" s="109"/>
      <c r="S320" s="109"/>
      <c r="T320" s="109"/>
      <c r="U320" s="109"/>
      <c r="V320" s="109"/>
      <c r="W320" s="109"/>
      <c r="X320" s="109">
        <v>43421.0</v>
      </c>
      <c r="Y320" s="109">
        <v>43601.0</v>
      </c>
      <c r="Z320" s="109"/>
      <c r="AA320" s="109"/>
      <c r="AB320" s="137"/>
      <c r="AC320" s="109" t="s">
        <v>62</v>
      </c>
      <c r="AD320" s="109">
        <v>35442.0</v>
      </c>
      <c r="AE320" s="109" t="s">
        <v>4633</v>
      </c>
      <c r="AF320" s="109" t="s">
        <v>4325</v>
      </c>
      <c r="AG320" s="109" t="s">
        <v>4634</v>
      </c>
      <c r="AH320" s="109">
        <v>9.476079493E9</v>
      </c>
      <c r="AI320" s="109"/>
      <c r="AJ320" s="109" t="s">
        <v>4635</v>
      </c>
      <c r="AK320" s="109" t="s">
        <v>4636</v>
      </c>
      <c r="AL320" s="109" t="s">
        <v>4637</v>
      </c>
      <c r="AM320" s="109" t="s">
        <v>4638</v>
      </c>
      <c r="AN320" s="109" t="s">
        <v>4639</v>
      </c>
      <c r="AO320" s="109"/>
      <c r="AP320" s="109"/>
      <c r="AQ320" s="142" t="s">
        <v>4640</v>
      </c>
      <c r="AR320" s="109" t="s">
        <v>4597</v>
      </c>
      <c r="AS320" s="109">
        <v>43601.0</v>
      </c>
    </row>
    <row r="321" ht="14.25" customHeight="1">
      <c r="A321" s="188">
        <v>316.0</v>
      </c>
      <c r="B321" s="158" t="s">
        <v>4641</v>
      </c>
      <c r="C321" s="158" t="s">
        <v>4642</v>
      </c>
      <c r="D321" s="158" t="s">
        <v>4643</v>
      </c>
      <c r="E321" s="109" t="s">
        <v>82</v>
      </c>
      <c r="F321" s="109" t="s">
        <v>4135</v>
      </c>
      <c r="G321" s="109" t="s">
        <v>16</v>
      </c>
      <c r="H321" s="220">
        <v>1.022719181E9</v>
      </c>
      <c r="I321" s="109">
        <v>43523.0</v>
      </c>
      <c r="J321" s="109">
        <f>I321</f>
        <v>43523</v>
      </c>
      <c r="K321" s="109">
        <f>J321+15</f>
        <v>43538</v>
      </c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109">
        <f>I321</f>
        <v>43523</v>
      </c>
      <c r="Y321" s="109">
        <f>X321+180</f>
        <v>43703</v>
      </c>
      <c r="Z321" s="109"/>
      <c r="AA321" s="109"/>
      <c r="AB321" s="137"/>
      <c r="AC321" s="109" t="s">
        <v>62</v>
      </c>
      <c r="AD321" s="109">
        <v>34930.0</v>
      </c>
      <c r="AE321" s="109" t="s">
        <v>4644</v>
      </c>
      <c r="AF321" s="109" t="s">
        <v>4645</v>
      </c>
      <c r="AG321" s="109"/>
      <c r="AH321" s="109">
        <v>9.456032666E9</v>
      </c>
      <c r="AI321" s="109"/>
      <c r="AJ321" s="109" t="s">
        <v>4646</v>
      </c>
      <c r="AK321" s="109" t="s">
        <v>4647</v>
      </c>
      <c r="AL321" s="109" t="s">
        <v>4648</v>
      </c>
      <c r="AM321" s="109" t="s">
        <v>4649</v>
      </c>
      <c r="AN321" s="109" t="s">
        <v>4650</v>
      </c>
      <c r="AO321" s="109"/>
      <c r="AP321" s="109"/>
      <c r="AQ321" s="109" t="s">
        <v>4651</v>
      </c>
      <c r="AR321" s="109" t="s">
        <v>4652</v>
      </c>
      <c r="AS321" s="109">
        <v>43610.0</v>
      </c>
    </row>
    <row r="322" ht="14.25" customHeight="1">
      <c r="A322" s="188">
        <v>317.0</v>
      </c>
      <c r="B322" s="158" t="s">
        <v>3814</v>
      </c>
      <c r="C322" s="158" t="s">
        <v>4653</v>
      </c>
      <c r="D322" s="158" t="s">
        <v>3910</v>
      </c>
      <c r="E322" s="109" t="s">
        <v>103</v>
      </c>
      <c r="F322" s="109" t="s">
        <v>56</v>
      </c>
      <c r="G322" s="109" t="s">
        <v>57</v>
      </c>
      <c r="H322" s="109">
        <v>1.041918428E9</v>
      </c>
      <c r="I322" s="109">
        <v>43209.0</v>
      </c>
      <c r="J322" s="109"/>
      <c r="K322" s="109"/>
      <c r="L322" s="109"/>
      <c r="M322" s="109"/>
      <c r="N322" s="109"/>
      <c r="O322" s="109"/>
      <c r="P322" s="109"/>
      <c r="Q322" s="109"/>
      <c r="R322" s="109"/>
      <c r="S322" s="109"/>
      <c r="T322" s="109"/>
      <c r="U322" s="109"/>
      <c r="V322" s="109"/>
      <c r="W322" s="109"/>
      <c r="X322" s="109">
        <v>43209.0</v>
      </c>
      <c r="Y322" s="109">
        <v>43391.0</v>
      </c>
      <c r="Z322" s="109"/>
      <c r="AA322" s="109"/>
      <c r="AB322" s="137">
        <v>43392.0</v>
      </c>
      <c r="AC322" s="109" t="s">
        <v>62</v>
      </c>
      <c r="AD322" s="109">
        <v>33653.0</v>
      </c>
      <c r="AE322" s="109" t="s">
        <v>4654</v>
      </c>
      <c r="AF322" s="109" t="s">
        <v>4325</v>
      </c>
      <c r="AG322" s="109" t="s">
        <v>4655</v>
      </c>
      <c r="AH322" s="109">
        <v>9.950250523E9</v>
      </c>
      <c r="AI322" s="109"/>
      <c r="AJ322" s="109" t="s">
        <v>4656</v>
      </c>
      <c r="AK322" s="109" t="s">
        <v>4657</v>
      </c>
      <c r="AL322" s="109" t="s">
        <v>4658</v>
      </c>
      <c r="AM322" s="109" t="s">
        <v>4659</v>
      </c>
      <c r="AN322" s="109" t="s">
        <v>4660</v>
      </c>
      <c r="AO322" s="109"/>
      <c r="AP322" s="109"/>
      <c r="AQ322" s="142" t="s">
        <v>4661</v>
      </c>
      <c r="AR322" s="109" t="s">
        <v>4662</v>
      </c>
      <c r="AS322" s="221">
        <v>43616.0</v>
      </c>
    </row>
    <row r="323" ht="14.25" customHeight="1">
      <c r="A323" s="188">
        <v>318.0</v>
      </c>
      <c r="B323" s="158" t="s">
        <v>4663</v>
      </c>
      <c r="C323" s="158" t="s">
        <v>4664</v>
      </c>
      <c r="D323" s="158" t="s">
        <v>4665</v>
      </c>
      <c r="E323" s="109" t="s">
        <v>4666</v>
      </c>
      <c r="F323" s="109" t="s">
        <v>161</v>
      </c>
      <c r="G323" s="109" t="s">
        <v>57</v>
      </c>
      <c r="H323" s="109">
        <v>1.082518144E9</v>
      </c>
      <c r="I323" s="109">
        <v>43337.0</v>
      </c>
      <c r="J323" s="109">
        <v>43337.0</v>
      </c>
      <c r="K323" s="109">
        <v>43352.0</v>
      </c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109">
        <v>43337.0</v>
      </c>
      <c r="Y323" s="109">
        <v>43520.0</v>
      </c>
      <c r="Z323" s="109"/>
      <c r="AA323" s="109"/>
      <c r="AB323" s="137"/>
      <c r="AC323" s="109" t="s">
        <v>107</v>
      </c>
      <c r="AD323" s="109">
        <v>31646.0</v>
      </c>
      <c r="AE323" s="109" t="s">
        <v>4667</v>
      </c>
      <c r="AF323" s="109" t="s">
        <v>4325</v>
      </c>
      <c r="AG323" s="109" t="s">
        <v>4668</v>
      </c>
      <c r="AH323" s="109">
        <v>9.295340278E9</v>
      </c>
      <c r="AI323" s="109"/>
      <c r="AJ323" s="109" t="s">
        <v>4669</v>
      </c>
      <c r="AK323" s="109" t="s">
        <v>4670</v>
      </c>
      <c r="AL323" s="109" t="s">
        <v>4671</v>
      </c>
      <c r="AM323" s="109" t="s">
        <v>4672</v>
      </c>
      <c r="AN323" s="109" t="s">
        <v>4673</v>
      </c>
      <c r="AO323" s="109">
        <v>5.0</v>
      </c>
      <c r="AP323" s="109" t="s">
        <v>4674</v>
      </c>
      <c r="AQ323" s="142" t="s">
        <v>4675</v>
      </c>
      <c r="AR323" s="109" t="s">
        <v>4676</v>
      </c>
      <c r="AS323" s="109" t="s">
        <v>4677</v>
      </c>
    </row>
    <row r="324" ht="14.25" customHeight="1">
      <c r="A324" s="188">
        <v>319.0</v>
      </c>
      <c r="B324" s="158" t="s">
        <v>4678</v>
      </c>
      <c r="C324" s="158" t="s">
        <v>1106</v>
      </c>
      <c r="D324" s="158" t="s">
        <v>4679</v>
      </c>
      <c r="E324" s="109" t="s">
        <v>1881</v>
      </c>
      <c r="F324" s="109" t="s">
        <v>4135</v>
      </c>
      <c r="G324" s="109" t="s">
        <v>16</v>
      </c>
      <c r="H324" s="109">
        <v>1.051019191E9</v>
      </c>
      <c r="I324" s="109">
        <v>43595.0</v>
      </c>
      <c r="J324" s="109">
        <v>43595.0</v>
      </c>
      <c r="K324" s="109">
        <v>43610.0</v>
      </c>
      <c r="L324" s="109"/>
      <c r="M324" s="109"/>
      <c r="N324" s="109"/>
      <c r="O324" s="109"/>
      <c r="P324" s="109"/>
      <c r="Q324" s="109"/>
      <c r="R324" s="109"/>
      <c r="S324" s="109"/>
      <c r="T324" s="109"/>
      <c r="U324" s="109"/>
      <c r="V324" s="109"/>
      <c r="W324" s="109"/>
      <c r="X324" s="109">
        <v>43595.0</v>
      </c>
      <c r="Y324" s="109">
        <v>43778.0</v>
      </c>
      <c r="Z324" s="109"/>
      <c r="AA324" s="109"/>
      <c r="AB324" s="137"/>
      <c r="AC324" s="109" t="s">
        <v>62</v>
      </c>
      <c r="AD324" s="109">
        <v>36287.0</v>
      </c>
      <c r="AE324" s="109" t="s">
        <v>4680</v>
      </c>
      <c r="AF324" s="109" t="s">
        <v>4325</v>
      </c>
      <c r="AG324" s="109" t="s">
        <v>4681</v>
      </c>
      <c r="AH324" s="109">
        <v>9.388125363E9</v>
      </c>
      <c r="AI324" s="109"/>
      <c r="AJ324" s="109" t="s">
        <v>4682</v>
      </c>
      <c r="AK324" s="109" t="s">
        <v>4683</v>
      </c>
      <c r="AL324" s="109" t="s">
        <v>4684</v>
      </c>
      <c r="AM324" s="109" t="s">
        <v>4685</v>
      </c>
      <c r="AN324" s="109"/>
      <c r="AO324" s="109"/>
      <c r="AP324" s="109"/>
      <c r="AQ324" s="142" t="s">
        <v>4686</v>
      </c>
      <c r="AR324" s="109" t="s">
        <v>900</v>
      </c>
      <c r="AS324" s="109">
        <v>43635.0</v>
      </c>
    </row>
    <row r="325" ht="14.25" customHeight="1">
      <c r="A325" s="188">
        <v>320.0</v>
      </c>
      <c r="B325" s="142" t="s">
        <v>4687</v>
      </c>
      <c r="C325" s="142" t="s">
        <v>4688</v>
      </c>
      <c r="D325" s="142" t="s">
        <v>4689</v>
      </c>
      <c r="E325" s="109" t="s">
        <v>82</v>
      </c>
      <c r="F325" s="109" t="s">
        <v>4135</v>
      </c>
      <c r="G325" s="109" t="s">
        <v>16</v>
      </c>
      <c r="H325" s="109">
        <v>1.040619187E9</v>
      </c>
      <c r="I325" s="109">
        <v>43561.0</v>
      </c>
      <c r="J325" s="109">
        <v>43561.0</v>
      </c>
      <c r="K325" s="109" t="s">
        <v>4690</v>
      </c>
      <c r="L325" s="109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109">
        <v>43561.0</v>
      </c>
      <c r="Y325" s="109">
        <v>43743.0</v>
      </c>
      <c r="Z325" s="109"/>
      <c r="AA325" s="109"/>
      <c r="AB325" s="137"/>
      <c r="AC325" s="222" t="s">
        <v>62</v>
      </c>
      <c r="AD325" s="109">
        <v>34759.0</v>
      </c>
      <c r="AE325" s="223" t="s">
        <v>4691</v>
      </c>
      <c r="AF325" s="109" t="s">
        <v>4325</v>
      </c>
      <c r="AG325" s="109" t="s">
        <v>4692</v>
      </c>
      <c r="AH325" s="109">
        <v>9.096905917E9</v>
      </c>
      <c r="AI325" s="109"/>
      <c r="AJ325" s="109" t="s">
        <v>4693</v>
      </c>
      <c r="AK325" s="109" t="s">
        <v>4694</v>
      </c>
      <c r="AL325" s="109" t="s">
        <v>4695</v>
      </c>
      <c r="AM325" s="109" t="s">
        <v>4696</v>
      </c>
      <c r="AN325" s="109" t="s">
        <v>4697</v>
      </c>
      <c r="AO325" s="109"/>
      <c r="AP325" s="109"/>
      <c r="AQ325" s="86" t="s">
        <v>4698</v>
      </c>
      <c r="AR325" s="109" t="s">
        <v>900</v>
      </c>
      <c r="AS325" s="109">
        <v>43644.0</v>
      </c>
    </row>
    <row r="326" ht="14.25" customHeight="1">
      <c r="A326" s="188">
        <v>321.0</v>
      </c>
      <c r="B326" s="158" t="s">
        <v>4699</v>
      </c>
      <c r="C326" s="158" t="s">
        <v>4700</v>
      </c>
      <c r="D326" s="158"/>
      <c r="E326" s="109" t="s">
        <v>1881</v>
      </c>
      <c r="F326" s="109" t="s">
        <v>4135</v>
      </c>
      <c r="G326" s="109" t="s">
        <v>16</v>
      </c>
      <c r="H326" s="213">
        <v>1.011019171E9</v>
      </c>
      <c r="I326" s="109">
        <v>43475.0</v>
      </c>
      <c r="J326" s="109">
        <v>0.0</v>
      </c>
      <c r="K326" s="109">
        <v>43490.0</v>
      </c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>
        <v>43475.0</v>
      </c>
      <c r="Y326" s="109">
        <v>43655.0</v>
      </c>
      <c r="Z326" s="109"/>
      <c r="AA326" s="109"/>
      <c r="AB326" s="137"/>
      <c r="AC326" s="109" t="s">
        <v>62</v>
      </c>
      <c r="AD326" s="109">
        <v>35772.0</v>
      </c>
      <c r="AE326" s="109" t="s">
        <v>4701</v>
      </c>
      <c r="AF326" s="109" t="s">
        <v>4461</v>
      </c>
      <c r="AG326" s="109"/>
      <c r="AH326" s="109">
        <v>9.568323252E9</v>
      </c>
      <c r="AI326" s="109"/>
      <c r="AJ326" s="109"/>
      <c r="AK326" s="109" t="s">
        <v>4702</v>
      </c>
      <c r="AL326" s="109" t="s">
        <v>4703</v>
      </c>
      <c r="AM326" s="202" t="s">
        <v>4704</v>
      </c>
      <c r="AN326" s="109" t="s">
        <v>115</v>
      </c>
      <c r="AO326" s="109"/>
      <c r="AP326" s="109"/>
      <c r="AQ326" s="142" t="s">
        <v>4705</v>
      </c>
      <c r="AR326" s="109" t="s">
        <v>4597</v>
      </c>
      <c r="AS326" s="109">
        <v>43655.0</v>
      </c>
    </row>
    <row r="327" ht="14.25" customHeight="1">
      <c r="A327" s="188">
        <v>322.0</v>
      </c>
      <c r="B327" s="158" t="s">
        <v>4706</v>
      </c>
      <c r="C327" s="142" t="s">
        <v>2961</v>
      </c>
      <c r="D327" s="158" t="s">
        <v>4707</v>
      </c>
      <c r="E327" s="109" t="s">
        <v>2047</v>
      </c>
      <c r="F327" s="109" t="s">
        <v>161</v>
      </c>
      <c r="G327" s="109" t="s">
        <v>16</v>
      </c>
      <c r="H327" s="213">
        <v>1.011919172E9</v>
      </c>
      <c r="I327" s="109">
        <v>43484.0</v>
      </c>
      <c r="J327" s="109">
        <v>43484.0</v>
      </c>
      <c r="K327" s="109">
        <v>43500.0</v>
      </c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>
        <v>43484.0</v>
      </c>
      <c r="Y327" s="109">
        <v>43664.0</v>
      </c>
      <c r="Z327" s="109"/>
      <c r="AA327" s="109"/>
      <c r="AB327" s="137"/>
      <c r="AC327" s="109" t="s">
        <v>62</v>
      </c>
      <c r="AD327" s="109">
        <v>34462.0</v>
      </c>
      <c r="AE327" s="109" t="s">
        <v>4708</v>
      </c>
      <c r="AF327" s="109" t="s">
        <v>4345</v>
      </c>
      <c r="AG327" s="109"/>
      <c r="AH327" s="109">
        <v>9.360467546E9</v>
      </c>
      <c r="AI327" s="109"/>
      <c r="AJ327" s="109" t="s">
        <v>4709</v>
      </c>
      <c r="AK327" s="109" t="s">
        <v>4710</v>
      </c>
      <c r="AL327" s="109" t="s">
        <v>4711</v>
      </c>
      <c r="AM327" s="109" t="s">
        <v>4712</v>
      </c>
      <c r="AN327" s="109" t="s">
        <v>4713</v>
      </c>
      <c r="AO327" s="109"/>
      <c r="AP327" s="109"/>
      <c r="AQ327" s="142" t="s">
        <v>4714</v>
      </c>
      <c r="AR327" s="109" t="s">
        <v>4597</v>
      </c>
      <c r="AS327" s="109">
        <v>43664.0</v>
      </c>
    </row>
    <row r="328" ht="14.25" customHeight="1">
      <c r="A328" s="188">
        <v>323.0</v>
      </c>
      <c r="B328" s="158" t="s">
        <v>4715</v>
      </c>
      <c r="C328" s="158" t="s">
        <v>4716</v>
      </c>
      <c r="D328" s="158" t="s">
        <v>4717</v>
      </c>
      <c r="E328" s="109" t="s">
        <v>82</v>
      </c>
      <c r="F328" s="109" t="s">
        <v>4135</v>
      </c>
      <c r="G328" s="109" t="s">
        <v>16</v>
      </c>
      <c r="H328" s="213">
        <v>1.010919169E9</v>
      </c>
      <c r="I328" s="109">
        <v>43474.0</v>
      </c>
      <c r="J328" s="109">
        <v>43474.0</v>
      </c>
      <c r="K328" s="109">
        <v>43489.0</v>
      </c>
      <c r="L328" s="109"/>
      <c r="M328" s="109"/>
      <c r="N328" s="109"/>
      <c r="O328" s="109"/>
      <c r="P328" s="109"/>
      <c r="Q328" s="109"/>
      <c r="R328" s="109"/>
      <c r="S328" s="109"/>
      <c r="T328" s="109"/>
      <c r="U328" s="109"/>
      <c r="V328" s="109"/>
      <c r="W328" s="109"/>
      <c r="X328" s="109">
        <v>43474.0</v>
      </c>
      <c r="Y328" s="109">
        <v>43654.0</v>
      </c>
      <c r="Z328" s="109"/>
      <c r="AA328" s="109"/>
      <c r="AB328" s="137"/>
      <c r="AC328" s="109" t="s">
        <v>62</v>
      </c>
      <c r="AD328" s="109">
        <v>34559.0</v>
      </c>
      <c r="AE328" s="109" t="s">
        <v>4718</v>
      </c>
      <c r="AF328" s="109" t="s">
        <v>4325</v>
      </c>
      <c r="AG328" s="109" t="s">
        <v>4719</v>
      </c>
      <c r="AH328" s="109">
        <v>9.073757254E9</v>
      </c>
      <c r="AI328" s="109"/>
      <c r="AJ328" s="109" t="s">
        <v>4720</v>
      </c>
      <c r="AK328" s="109" t="s">
        <v>4721</v>
      </c>
      <c r="AL328" s="109" t="s">
        <v>4722</v>
      </c>
      <c r="AM328" s="109" t="s">
        <v>4723</v>
      </c>
      <c r="AN328" s="109" t="s">
        <v>4724</v>
      </c>
      <c r="AO328" s="109"/>
      <c r="AP328" s="109"/>
      <c r="AQ328" s="142" t="s">
        <v>4725</v>
      </c>
      <c r="AR328" s="109" t="s">
        <v>4597</v>
      </c>
      <c r="AS328" s="109">
        <v>43654.0</v>
      </c>
    </row>
    <row r="329" ht="16.5" customHeight="1">
      <c r="A329" s="188">
        <v>324.0</v>
      </c>
      <c r="B329" s="158" t="s">
        <v>4726</v>
      </c>
      <c r="C329" s="158" t="s">
        <v>4727</v>
      </c>
      <c r="D329" s="158" t="s">
        <v>4394</v>
      </c>
      <c r="E329" s="109" t="s">
        <v>82</v>
      </c>
      <c r="F329" s="109" t="s">
        <v>4135</v>
      </c>
      <c r="G329" s="109" t="s">
        <v>57</v>
      </c>
      <c r="H329" s="109">
        <v>1.021317357E9</v>
      </c>
      <c r="I329" s="109">
        <v>42794.0</v>
      </c>
      <c r="J329" s="109">
        <v>42779.0</v>
      </c>
      <c r="K329" s="109">
        <v>42793.0</v>
      </c>
      <c r="L329" s="109">
        <v>42794.0</v>
      </c>
      <c r="M329" s="109">
        <v>42943.0</v>
      </c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109">
        <v>42794.0</v>
      </c>
      <c r="Y329" s="109">
        <v>42974.0</v>
      </c>
      <c r="Z329" s="109"/>
      <c r="AA329" s="109"/>
      <c r="AB329" s="109">
        <v>42975.0</v>
      </c>
      <c r="AC329" s="109" t="s">
        <v>107</v>
      </c>
      <c r="AD329" s="109">
        <v>32941.0</v>
      </c>
      <c r="AE329" s="109" t="s">
        <v>4728</v>
      </c>
      <c r="AF329" s="109"/>
      <c r="AG329" s="109"/>
      <c r="AH329" s="109" t="s">
        <v>4729</v>
      </c>
      <c r="AI329" s="109"/>
      <c r="AJ329" s="109" t="s">
        <v>4077</v>
      </c>
      <c r="AK329" s="109" t="s">
        <v>4730</v>
      </c>
      <c r="AL329" s="109" t="s">
        <v>4731</v>
      </c>
      <c r="AM329" s="109" t="s">
        <v>4732</v>
      </c>
      <c r="AN329" s="109" t="s">
        <v>4733</v>
      </c>
      <c r="AO329" s="109"/>
      <c r="AP329" s="109"/>
      <c r="AQ329" s="142" t="s">
        <v>4734</v>
      </c>
      <c r="AR329" s="133" t="s">
        <v>900</v>
      </c>
      <c r="AS329" s="133">
        <v>43648.0</v>
      </c>
      <c r="AT329" s="29"/>
      <c r="AU329" s="29"/>
      <c r="AV329" s="29"/>
      <c r="AW329" s="29"/>
      <c r="AX329" s="29"/>
      <c r="AY329" s="29"/>
      <c r="AZ329" s="29"/>
      <c r="BA329" s="29"/>
      <c r="BB329" s="29"/>
    </row>
    <row r="330" ht="14.25" customHeight="1">
      <c r="A330" s="188">
        <v>325.0</v>
      </c>
      <c r="B330" s="142" t="s">
        <v>4735</v>
      </c>
      <c r="C330" s="142" t="s">
        <v>4736</v>
      </c>
      <c r="D330" s="142" t="s">
        <v>4266</v>
      </c>
      <c r="E330" s="109" t="s">
        <v>82</v>
      </c>
      <c r="F330" s="109" t="s">
        <v>4135</v>
      </c>
      <c r="G330" s="109" t="s">
        <v>16</v>
      </c>
      <c r="H330" s="109"/>
      <c r="I330" s="109">
        <v>43645.0</v>
      </c>
      <c r="J330" s="109">
        <v>43645.0</v>
      </c>
      <c r="K330" s="109">
        <v>43660.0</v>
      </c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109">
        <v>43645.0</v>
      </c>
      <c r="Y330" s="109">
        <v>43827.0</v>
      </c>
      <c r="Z330" s="109"/>
      <c r="AA330" s="109"/>
      <c r="AB330" s="137"/>
      <c r="AC330" s="109" t="s">
        <v>62</v>
      </c>
      <c r="AD330" s="109">
        <v>35457.0</v>
      </c>
      <c r="AE330" s="224" t="s">
        <v>4737</v>
      </c>
      <c r="AF330" s="109" t="s">
        <v>4385</v>
      </c>
      <c r="AG330" s="109" t="s">
        <v>4738</v>
      </c>
      <c r="AH330" s="109">
        <v>9.560693019E9</v>
      </c>
      <c r="AI330" s="109"/>
      <c r="AJ330" s="109" t="s">
        <v>4739</v>
      </c>
      <c r="AK330" s="109" t="s">
        <v>4740</v>
      </c>
      <c r="AL330" s="109" t="s">
        <v>4741</v>
      </c>
      <c r="AM330" s="109"/>
      <c r="AN330" s="109"/>
      <c r="AO330" s="109"/>
      <c r="AP330" s="109"/>
      <c r="AQ330" s="225" t="s">
        <v>4742</v>
      </c>
      <c r="AR330" s="133" t="s">
        <v>4743</v>
      </c>
      <c r="AS330" s="109" t="s">
        <v>4744</v>
      </c>
    </row>
    <row r="331" ht="18.0" customHeight="1">
      <c r="A331" s="188">
        <v>326.0</v>
      </c>
      <c r="B331" s="158" t="s">
        <v>4745</v>
      </c>
      <c r="C331" s="158" t="s">
        <v>4746</v>
      </c>
      <c r="D331" s="158" t="s">
        <v>4747</v>
      </c>
      <c r="E331" s="109" t="s">
        <v>4748</v>
      </c>
      <c r="F331" s="109" t="s">
        <v>4749</v>
      </c>
      <c r="G331" s="109" t="s">
        <v>57</v>
      </c>
      <c r="H331" s="109">
        <v>1.082318141E9</v>
      </c>
      <c r="I331" s="109">
        <v>43335.0</v>
      </c>
      <c r="J331" s="109">
        <v>43335.0</v>
      </c>
      <c r="K331" s="109">
        <v>43350.0</v>
      </c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109">
        <v>43335.0</v>
      </c>
      <c r="Y331" s="109">
        <v>43518.0</v>
      </c>
      <c r="Z331" s="109"/>
      <c r="AA331" s="109"/>
      <c r="AB331" s="109">
        <v>43518.0</v>
      </c>
      <c r="AC331" s="162" t="s">
        <v>62</v>
      </c>
      <c r="AD331" s="109">
        <v>32882.0</v>
      </c>
      <c r="AE331" s="109" t="s">
        <v>4750</v>
      </c>
      <c r="AF331" s="109" t="s">
        <v>4325</v>
      </c>
      <c r="AG331" s="109" t="s">
        <v>4751</v>
      </c>
      <c r="AH331" s="109">
        <v>9.265867922E9</v>
      </c>
      <c r="AI331" s="109"/>
      <c r="AJ331" s="109" t="s">
        <v>4752</v>
      </c>
      <c r="AK331" s="109" t="s">
        <v>4753</v>
      </c>
      <c r="AL331" s="109" t="s">
        <v>4754</v>
      </c>
      <c r="AM331" s="205" t="s">
        <v>4755</v>
      </c>
      <c r="AN331" s="109" t="s">
        <v>4756</v>
      </c>
      <c r="AO331" s="109"/>
      <c r="AP331" s="109"/>
      <c r="AQ331" s="142" t="s">
        <v>4757</v>
      </c>
      <c r="AR331" s="109" t="s">
        <v>4758</v>
      </c>
      <c r="AS331" s="212">
        <v>43651.0</v>
      </c>
      <c r="AT331" s="212"/>
      <c r="AU331" s="212"/>
      <c r="AV331" s="212"/>
      <c r="AW331" s="212"/>
      <c r="AX331" s="212"/>
      <c r="AY331" s="212"/>
      <c r="AZ331" s="212"/>
      <c r="BA331" s="212"/>
      <c r="BB331" s="212"/>
    </row>
    <row r="332" ht="14.25" customHeight="1">
      <c r="A332" s="188">
        <v>327.0</v>
      </c>
      <c r="B332" s="158" t="s">
        <v>4759</v>
      </c>
      <c r="C332" s="158" t="s">
        <v>4760</v>
      </c>
      <c r="D332" s="158" t="s">
        <v>4761</v>
      </c>
      <c r="E332" s="109" t="s">
        <v>4762</v>
      </c>
      <c r="F332" s="109" t="s">
        <v>56</v>
      </c>
      <c r="G332" s="109" t="s">
        <v>16</v>
      </c>
      <c r="H332" s="109"/>
      <c r="I332" s="109">
        <v>43661.0</v>
      </c>
      <c r="J332" s="109"/>
      <c r="K332" s="109"/>
      <c r="L332" s="109"/>
      <c r="M332" s="109"/>
      <c r="N332" s="109"/>
      <c r="O332" s="109"/>
      <c r="P332" s="109"/>
      <c r="Q332" s="109"/>
      <c r="R332" s="109"/>
      <c r="S332" s="109"/>
      <c r="T332" s="109"/>
      <c r="U332" s="109"/>
      <c r="V332" s="109"/>
      <c r="W332" s="109"/>
      <c r="X332" s="109">
        <v>43661.0</v>
      </c>
      <c r="Y332" s="109">
        <v>43844.0</v>
      </c>
      <c r="Z332" s="109"/>
      <c r="AA332" s="109"/>
      <c r="AB332" s="137"/>
      <c r="AC332" s="109" t="s">
        <v>62</v>
      </c>
      <c r="AD332" s="109">
        <v>30947.0</v>
      </c>
      <c r="AE332" s="109" t="s">
        <v>4763</v>
      </c>
      <c r="AF332" s="109" t="s">
        <v>4764</v>
      </c>
      <c r="AG332" s="109" t="s">
        <v>1328</v>
      </c>
      <c r="AH332" s="109">
        <v>9.66468941E9</v>
      </c>
      <c r="AI332" s="109"/>
      <c r="AJ332" s="109" t="s">
        <v>4765</v>
      </c>
      <c r="AK332" s="109" t="s">
        <v>4766</v>
      </c>
      <c r="AL332" s="109" t="s">
        <v>4767</v>
      </c>
      <c r="AM332" s="109" t="s">
        <v>4768</v>
      </c>
      <c r="AN332" s="109" t="s">
        <v>4769</v>
      </c>
      <c r="AO332" s="109"/>
      <c r="AP332" s="109"/>
      <c r="AQ332" s="142" t="s">
        <v>4770</v>
      </c>
      <c r="AR332" s="133" t="s">
        <v>900</v>
      </c>
      <c r="AS332" s="226">
        <v>43664.0</v>
      </c>
    </row>
    <row r="333" ht="14.25" customHeight="1">
      <c r="A333" s="188">
        <v>328.0</v>
      </c>
      <c r="B333" s="158" t="s">
        <v>4771</v>
      </c>
      <c r="C333" s="142" t="s">
        <v>4772</v>
      </c>
      <c r="D333" s="158" t="s">
        <v>4773</v>
      </c>
      <c r="E333" s="109" t="s">
        <v>717</v>
      </c>
      <c r="F333" s="109" t="s">
        <v>493</v>
      </c>
      <c r="G333" s="109" t="s">
        <v>16</v>
      </c>
      <c r="H333" s="109">
        <v>1.11141816E9</v>
      </c>
      <c r="I333" s="109">
        <v>43418.0</v>
      </c>
      <c r="J333" s="109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109">
        <v>43418.0</v>
      </c>
      <c r="Y333" s="109">
        <v>43598.0</v>
      </c>
      <c r="Z333" s="109"/>
      <c r="AA333" s="109"/>
      <c r="AB333" s="137"/>
      <c r="AC333" s="109" t="s">
        <v>62</v>
      </c>
      <c r="AD333" s="109">
        <v>34035.0</v>
      </c>
      <c r="AE333" s="109" t="s">
        <v>4774</v>
      </c>
      <c r="AF333" s="109" t="s">
        <v>4325</v>
      </c>
      <c r="AG333" s="109" t="s">
        <v>4775</v>
      </c>
      <c r="AH333" s="109">
        <v>9.124834426E9</v>
      </c>
      <c r="AI333" s="109"/>
      <c r="AJ333" s="109" t="s">
        <v>4776</v>
      </c>
      <c r="AK333" s="109" t="s">
        <v>4777</v>
      </c>
      <c r="AL333" s="109" t="s">
        <v>4778</v>
      </c>
      <c r="AM333" s="109" t="s">
        <v>4779</v>
      </c>
      <c r="AN333" s="109" t="s">
        <v>4780</v>
      </c>
      <c r="AO333" s="109"/>
      <c r="AP333" s="109"/>
      <c r="AQ333" s="142" t="s">
        <v>4781</v>
      </c>
      <c r="AR333" s="109" t="s">
        <v>4782</v>
      </c>
      <c r="AS333" s="109">
        <v>43668.0</v>
      </c>
    </row>
    <row r="334" ht="14.25" customHeight="1">
      <c r="A334" s="188">
        <v>329.0</v>
      </c>
      <c r="B334" s="158" t="s">
        <v>4783</v>
      </c>
      <c r="C334" s="158" t="s">
        <v>4784</v>
      </c>
      <c r="D334" s="158" t="s">
        <v>4785</v>
      </c>
      <c r="E334" s="109" t="s">
        <v>1881</v>
      </c>
      <c r="F334" s="109" t="s">
        <v>4135</v>
      </c>
      <c r="G334" s="109" t="s">
        <v>16</v>
      </c>
      <c r="H334" s="213">
        <v>1.0705192E9</v>
      </c>
      <c r="I334" s="109">
        <v>43651.0</v>
      </c>
      <c r="J334" s="109">
        <v>43651.0</v>
      </c>
      <c r="K334" s="109">
        <v>43666.0</v>
      </c>
      <c r="L334" s="109"/>
      <c r="M334" s="109"/>
      <c r="N334" s="109"/>
      <c r="O334" s="109"/>
      <c r="P334" s="109"/>
      <c r="Q334" s="109"/>
      <c r="R334" s="109"/>
      <c r="S334" s="109"/>
      <c r="T334" s="109"/>
      <c r="U334" s="109"/>
      <c r="V334" s="109"/>
      <c r="W334" s="109"/>
      <c r="X334" s="109">
        <v>43651.0</v>
      </c>
      <c r="Y334" s="109">
        <v>43834.0</v>
      </c>
      <c r="Z334" s="109"/>
      <c r="AA334" s="109"/>
      <c r="AB334" s="137"/>
      <c r="AC334" s="109" t="s">
        <v>62</v>
      </c>
      <c r="AD334" s="109">
        <v>35263.0</v>
      </c>
      <c r="AE334" s="109" t="s">
        <v>4680</v>
      </c>
      <c r="AF334" s="109" t="s">
        <v>4786</v>
      </c>
      <c r="AG334" s="109" t="s">
        <v>4787</v>
      </c>
      <c r="AH334" s="109">
        <v>9.463731192E9</v>
      </c>
      <c r="AI334" s="109"/>
      <c r="AJ334" s="109" t="s">
        <v>4682</v>
      </c>
      <c r="AK334" s="109" t="s">
        <v>4788</v>
      </c>
      <c r="AL334" s="109" t="s">
        <v>4789</v>
      </c>
      <c r="AM334" s="202" t="s">
        <v>4790</v>
      </c>
      <c r="AN334" s="217"/>
      <c r="AO334" s="109"/>
      <c r="AP334" s="109"/>
      <c r="AQ334" s="142"/>
      <c r="AR334" s="109" t="s">
        <v>4791</v>
      </c>
      <c r="AS334" s="109">
        <v>43692.0</v>
      </c>
    </row>
    <row r="335" ht="18.0" customHeight="1">
      <c r="A335" s="188">
        <v>330.0</v>
      </c>
      <c r="B335" s="158" t="s">
        <v>4792</v>
      </c>
      <c r="C335" s="158" t="s">
        <v>4793</v>
      </c>
      <c r="D335" s="158" t="s">
        <v>807</v>
      </c>
      <c r="E335" s="109" t="s">
        <v>82</v>
      </c>
      <c r="F335" s="109" t="s">
        <v>4135</v>
      </c>
      <c r="G335" s="109" t="s">
        <v>16</v>
      </c>
      <c r="H335" s="109">
        <v>1.102018152E9</v>
      </c>
      <c r="I335" s="109">
        <v>43393.0</v>
      </c>
      <c r="J335" s="109">
        <v>43393.0</v>
      </c>
      <c r="K335" s="109">
        <v>43393.0</v>
      </c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109">
        <v>43393.0</v>
      </c>
      <c r="Y335" s="109">
        <v>43574.0</v>
      </c>
      <c r="Z335" s="109"/>
      <c r="AA335" s="109"/>
      <c r="AB335" s="109">
        <v>43575.0</v>
      </c>
      <c r="AC335" s="162" t="s">
        <v>62</v>
      </c>
      <c r="AD335" s="162">
        <v>34488.0</v>
      </c>
      <c r="AE335" s="162" t="s">
        <v>4794</v>
      </c>
      <c r="AF335" s="162" t="s">
        <v>4385</v>
      </c>
      <c r="AG335" s="162" t="s">
        <v>784</v>
      </c>
      <c r="AH335" s="162">
        <v>9.975226139E9</v>
      </c>
      <c r="AI335" s="162"/>
      <c r="AJ335" s="162" t="s">
        <v>4795</v>
      </c>
      <c r="AK335" s="162" t="s">
        <v>4796</v>
      </c>
      <c r="AL335" s="162" t="s">
        <v>4797</v>
      </c>
      <c r="AM335" s="162" t="s">
        <v>4798</v>
      </c>
      <c r="AN335" s="109" t="s">
        <v>4799</v>
      </c>
      <c r="AO335" s="162"/>
      <c r="AP335" s="162"/>
      <c r="AQ335" s="199" t="s">
        <v>4800</v>
      </c>
      <c r="AR335" s="227" t="s">
        <v>4801</v>
      </c>
      <c r="AS335" s="54">
        <v>43700.0</v>
      </c>
    </row>
    <row r="336" ht="14.25" customHeight="1">
      <c r="A336" s="188">
        <v>331.0</v>
      </c>
      <c r="B336" s="16" t="s">
        <v>4802</v>
      </c>
      <c r="C336" s="16" t="s">
        <v>4803</v>
      </c>
      <c r="D336" s="16" t="s">
        <v>4804</v>
      </c>
      <c r="E336" s="109" t="s">
        <v>82</v>
      </c>
      <c r="F336" s="109" t="s">
        <v>4135</v>
      </c>
      <c r="G336" s="109" t="s">
        <v>16</v>
      </c>
      <c r="H336" s="42">
        <v>1.030919182E9</v>
      </c>
      <c r="I336" s="109">
        <v>43533.0</v>
      </c>
      <c r="J336" s="212">
        <v>43533.0</v>
      </c>
      <c r="K336" s="222">
        <v>43548.0</v>
      </c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109">
        <v>43533.0</v>
      </c>
      <c r="Y336" s="109">
        <v>43716.0</v>
      </c>
      <c r="Z336" s="86"/>
      <c r="AA336" s="86"/>
      <c r="AC336" s="109" t="s">
        <v>62</v>
      </c>
      <c r="AD336" s="109">
        <v>35806.0</v>
      </c>
      <c r="AE336" s="109" t="s">
        <v>4805</v>
      </c>
      <c r="AF336" s="222" t="s">
        <v>4806</v>
      </c>
      <c r="AH336" s="222">
        <v>9.569708089E9</v>
      </c>
      <c r="AI336" s="222"/>
      <c r="AJ336" s="109" t="s">
        <v>4807</v>
      </c>
      <c r="AK336" s="222" t="s">
        <v>4808</v>
      </c>
      <c r="AL336" s="222" t="s">
        <v>4809</v>
      </c>
      <c r="AM336" s="212" t="s">
        <v>4810</v>
      </c>
      <c r="AN336" s="86" t="s">
        <v>4811</v>
      </c>
      <c r="AO336" s="86"/>
      <c r="AP336" s="86"/>
      <c r="AQ336" s="86" t="s">
        <v>4812</v>
      </c>
      <c r="AR336" s="109" t="s">
        <v>4813</v>
      </c>
      <c r="AS336" s="19">
        <v>43708.0</v>
      </c>
    </row>
    <row r="337" ht="18.0" customHeight="1">
      <c r="A337" s="188">
        <v>332.0</v>
      </c>
      <c r="B337" s="26" t="s">
        <v>1453</v>
      </c>
      <c r="C337" s="26" t="s">
        <v>4814</v>
      </c>
      <c r="D337" s="26" t="s">
        <v>902</v>
      </c>
      <c r="E337" s="109" t="s">
        <v>4815</v>
      </c>
      <c r="F337" s="109" t="s">
        <v>161</v>
      </c>
      <c r="G337" s="109" t="s">
        <v>16</v>
      </c>
      <c r="H337" s="19">
        <v>1.032219185E9</v>
      </c>
      <c r="I337" s="19">
        <v>43546.0</v>
      </c>
      <c r="J337" s="19">
        <v>43546.0</v>
      </c>
      <c r="K337" s="19">
        <v>43561.0</v>
      </c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 t="s">
        <v>62</v>
      </c>
      <c r="AD337" s="19">
        <v>36112.0</v>
      </c>
      <c r="AE337" s="19" t="s">
        <v>4816</v>
      </c>
      <c r="AF337" s="19" t="s">
        <v>4325</v>
      </c>
      <c r="AG337" s="19" t="s">
        <v>4817</v>
      </c>
      <c r="AH337" s="19">
        <v>9.261706603E9</v>
      </c>
      <c r="AI337" s="19"/>
      <c r="AJ337" s="19" t="s">
        <v>4818</v>
      </c>
      <c r="AK337" s="19" t="s">
        <v>1460</v>
      </c>
      <c r="AL337" s="19" t="s">
        <v>1461</v>
      </c>
      <c r="AM337" s="19" t="s">
        <v>1462</v>
      </c>
      <c r="AN337" s="19" t="s">
        <v>1463</v>
      </c>
      <c r="AO337" s="19"/>
      <c r="AP337" s="19"/>
      <c r="AQ337" s="228" t="s">
        <v>4819</v>
      </c>
      <c r="AR337" s="19" t="s">
        <v>4820</v>
      </c>
      <c r="AS337" s="19">
        <v>43706.0</v>
      </c>
      <c r="AT337" s="42"/>
      <c r="AU337" s="42"/>
      <c r="AV337" s="42"/>
      <c r="AW337" s="42"/>
      <c r="AX337" s="42"/>
      <c r="AY337" s="42"/>
      <c r="AZ337" s="42"/>
      <c r="BA337" s="42"/>
      <c r="BB337" s="42"/>
      <c r="BC337" s="42"/>
      <c r="BD337" s="42"/>
      <c r="BE337" s="42"/>
      <c r="BF337" s="42"/>
      <c r="BG337" s="42"/>
      <c r="BH337" s="42"/>
      <c r="BI337" s="42"/>
      <c r="BJ337" s="42"/>
      <c r="BK337" s="42"/>
      <c r="BL337" s="42"/>
      <c r="BM337" s="42"/>
    </row>
    <row r="338" ht="14.25" customHeight="1">
      <c r="A338" s="188">
        <v>333.0</v>
      </c>
      <c r="B338" s="158" t="s">
        <v>4821</v>
      </c>
      <c r="C338" s="158" t="s">
        <v>4822</v>
      </c>
      <c r="D338" s="158" t="s">
        <v>4823</v>
      </c>
      <c r="E338" s="109" t="s">
        <v>82</v>
      </c>
      <c r="F338" s="109" t="s">
        <v>4135</v>
      </c>
      <c r="G338" s="109" t="s">
        <v>16</v>
      </c>
      <c r="H338" s="109"/>
      <c r="I338" s="109">
        <v>43697.0</v>
      </c>
      <c r="J338" s="109">
        <v>43697.0</v>
      </c>
      <c r="K338" s="109">
        <v>43712.0</v>
      </c>
      <c r="L338" s="109"/>
      <c r="M338" s="109"/>
      <c r="N338" s="109"/>
      <c r="O338" s="109"/>
      <c r="P338" s="109"/>
      <c r="Q338" s="109"/>
      <c r="R338" s="109"/>
      <c r="S338" s="109"/>
      <c r="T338" s="109"/>
      <c r="U338" s="109"/>
      <c r="V338" s="109"/>
      <c r="W338" s="109"/>
      <c r="X338" s="109">
        <v>43697.0</v>
      </c>
      <c r="Y338" s="109">
        <v>43880.0</v>
      </c>
      <c r="Z338" s="109"/>
      <c r="AA338" s="109"/>
      <c r="AB338" s="137"/>
      <c r="AC338" s="109" t="s">
        <v>62</v>
      </c>
      <c r="AD338" s="109">
        <v>35467.0</v>
      </c>
      <c r="AE338" s="109" t="s">
        <v>4824</v>
      </c>
      <c r="AF338" s="109" t="s">
        <v>4589</v>
      </c>
      <c r="AG338" s="109" t="s">
        <v>4825</v>
      </c>
      <c r="AH338" s="109">
        <v>9.957401561E9</v>
      </c>
      <c r="AI338" s="109"/>
      <c r="AJ338" s="109" t="s">
        <v>4826</v>
      </c>
      <c r="AK338" s="109" t="s">
        <v>4827</v>
      </c>
      <c r="AL338" s="109" t="s">
        <v>4828</v>
      </c>
      <c r="AM338" s="217"/>
      <c r="AN338" s="217"/>
      <c r="AO338" s="109"/>
      <c r="AP338" s="109"/>
      <c r="AQ338" s="215" t="s">
        <v>4829</v>
      </c>
      <c r="AR338" s="133" t="s">
        <v>4830</v>
      </c>
      <c r="AS338" s="109"/>
    </row>
    <row r="339" ht="14.25" customHeight="1">
      <c r="A339" s="188">
        <v>334.0</v>
      </c>
      <c r="B339" s="158" t="s">
        <v>4831</v>
      </c>
      <c r="C339" s="158" t="s">
        <v>4832</v>
      </c>
      <c r="D339" s="158" t="s">
        <v>4833</v>
      </c>
      <c r="E339" s="109" t="s">
        <v>82</v>
      </c>
      <c r="F339" s="109" t="s">
        <v>4135</v>
      </c>
      <c r="G339" s="109" t="s">
        <v>16</v>
      </c>
      <c r="H339" s="109">
        <v>1.071819203E9</v>
      </c>
      <c r="I339" s="109">
        <v>43664.0</v>
      </c>
      <c r="J339" s="109">
        <v>43664.0</v>
      </c>
      <c r="K339" s="109">
        <v>43679.0</v>
      </c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109">
        <v>43664.0</v>
      </c>
      <c r="Y339" s="109">
        <v>43847.0</v>
      </c>
      <c r="Z339" s="109"/>
      <c r="AA339" s="109"/>
      <c r="AB339" s="137"/>
      <c r="AC339" s="109" t="s">
        <v>62</v>
      </c>
      <c r="AD339" s="109">
        <v>36058.0</v>
      </c>
      <c r="AE339" s="109" t="s">
        <v>4834</v>
      </c>
      <c r="AF339" s="109" t="s">
        <v>4589</v>
      </c>
      <c r="AG339" s="109" t="s">
        <v>4835</v>
      </c>
      <c r="AH339" s="109">
        <v>9.676854635E9</v>
      </c>
      <c r="AI339" s="109"/>
      <c r="AJ339" s="109" t="s">
        <v>4826</v>
      </c>
      <c r="AK339" s="109" t="s">
        <v>4836</v>
      </c>
      <c r="AL339" s="109" t="s">
        <v>4837</v>
      </c>
      <c r="AM339" s="109" t="s">
        <v>4838</v>
      </c>
      <c r="AN339" s="109" t="s">
        <v>4839</v>
      </c>
      <c r="AO339" s="109"/>
      <c r="AP339" s="109"/>
      <c r="AQ339" s="142" t="s">
        <v>4840</v>
      </c>
      <c r="AR339" s="109" t="s">
        <v>983</v>
      </c>
      <c r="AS339" s="109">
        <v>43720.0</v>
      </c>
    </row>
    <row r="340" ht="18.0" customHeight="1">
      <c r="A340" s="188">
        <v>335.0</v>
      </c>
      <c r="B340" s="158" t="s">
        <v>4841</v>
      </c>
      <c r="C340" s="158" t="s">
        <v>4842</v>
      </c>
      <c r="D340" s="158" t="s">
        <v>4843</v>
      </c>
      <c r="E340" s="109" t="s">
        <v>82</v>
      </c>
      <c r="F340" s="109" t="s">
        <v>4135</v>
      </c>
      <c r="G340" s="109" t="s">
        <v>16</v>
      </c>
      <c r="H340" s="213">
        <v>1.031919183E9</v>
      </c>
      <c r="I340" s="109">
        <v>43543.0</v>
      </c>
      <c r="J340" s="109">
        <v>43543.0</v>
      </c>
      <c r="K340" s="109" t="s">
        <v>4844</v>
      </c>
      <c r="L340" s="109"/>
      <c r="M340" s="109"/>
      <c r="N340" s="109"/>
      <c r="O340" s="109"/>
      <c r="P340" s="109"/>
      <c r="Q340" s="109"/>
      <c r="R340" s="109"/>
      <c r="S340" s="109"/>
      <c r="T340" s="109"/>
      <c r="U340" s="109"/>
      <c r="V340" s="109"/>
      <c r="W340" s="109"/>
      <c r="X340" s="109">
        <v>43543.0</v>
      </c>
      <c r="Y340" s="109">
        <v>43726.0</v>
      </c>
      <c r="Z340" s="109"/>
      <c r="AA340" s="109"/>
      <c r="AB340" s="137"/>
      <c r="AC340" s="109" t="s">
        <v>62</v>
      </c>
      <c r="AD340" s="109">
        <v>35413.0</v>
      </c>
      <c r="AE340" s="109" t="s">
        <v>4845</v>
      </c>
      <c r="AF340" s="109" t="s">
        <v>4589</v>
      </c>
      <c r="AG340" s="109" t="s">
        <v>4846</v>
      </c>
      <c r="AH340" s="109">
        <v>9.177559879E9</v>
      </c>
      <c r="AI340" s="109"/>
      <c r="AJ340" s="109" t="s">
        <v>3914</v>
      </c>
      <c r="AK340" s="109" t="s">
        <v>4847</v>
      </c>
      <c r="AL340" s="109" t="s">
        <v>4848</v>
      </c>
      <c r="AM340" s="109" t="s">
        <v>4849</v>
      </c>
      <c r="AN340" s="109" t="s">
        <v>4850</v>
      </c>
      <c r="AO340" s="109"/>
      <c r="AP340" s="109"/>
      <c r="AQ340" s="142"/>
      <c r="AR340" s="133" t="s">
        <v>4813</v>
      </c>
      <c r="AS340" s="133">
        <v>43720.0</v>
      </c>
    </row>
    <row r="341" ht="14.25" customHeight="1">
      <c r="A341" s="188">
        <v>336.0</v>
      </c>
      <c r="B341" s="158" t="s">
        <v>4851</v>
      </c>
      <c r="C341" s="158" t="s">
        <v>2298</v>
      </c>
      <c r="D341" s="158" t="s">
        <v>4852</v>
      </c>
      <c r="E341" s="109" t="s">
        <v>82</v>
      </c>
      <c r="F341" s="109" t="s">
        <v>4135</v>
      </c>
      <c r="G341" s="109" t="s">
        <v>57</v>
      </c>
      <c r="H341" s="109">
        <v>1.082316327E9</v>
      </c>
      <c r="I341" s="109">
        <v>42618.0</v>
      </c>
      <c r="J341" s="109">
        <v>42604.0</v>
      </c>
      <c r="K341" s="109">
        <v>42617.0</v>
      </c>
      <c r="L341" s="109">
        <v>42618.0</v>
      </c>
      <c r="M341" s="109">
        <v>42771.0</v>
      </c>
      <c r="N341" s="109"/>
      <c r="O341" s="109"/>
      <c r="P341" s="109"/>
      <c r="Q341" s="109"/>
      <c r="R341" s="109">
        <v>42772.0</v>
      </c>
      <c r="S341" s="109">
        <v>43502.0</v>
      </c>
      <c r="T341" s="109"/>
      <c r="U341" s="109"/>
      <c r="V341" s="109"/>
      <c r="W341" s="109"/>
      <c r="X341" s="109"/>
      <c r="Y341" s="109"/>
      <c r="Z341" s="109"/>
      <c r="AA341" s="109"/>
      <c r="AB341" s="137">
        <v>42828.0</v>
      </c>
      <c r="AC341" s="109" t="s">
        <v>62</v>
      </c>
      <c r="AD341" s="109">
        <v>34225.0</v>
      </c>
      <c r="AE341" s="109" t="s">
        <v>4853</v>
      </c>
      <c r="AF341" s="109" t="s">
        <v>4325</v>
      </c>
      <c r="AG341" s="109"/>
      <c r="AH341" s="109">
        <v>9.059144962E9</v>
      </c>
      <c r="AI341" s="109"/>
      <c r="AJ341" s="109" t="s">
        <v>4854</v>
      </c>
      <c r="AK341" s="109" t="s">
        <v>4855</v>
      </c>
      <c r="AL341" s="109" t="s">
        <v>4856</v>
      </c>
      <c r="AM341" s="109" t="s">
        <v>4857</v>
      </c>
      <c r="AN341" s="109" t="s">
        <v>4858</v>
      </c>
      <c r="AO341" s="109"/>
      <c r="AP341" s="109"/>
      <c r="AQ341" s="142" t="s">
        <v>4859</v>
      </c>
      <c r="AR341" s="109" t="s">
        <v>4860</v>
      </c>
      <c r="AS341" s="109">
        <v>43713.0</v>
      </c>
    </row>
    <row r="342" ht="14.25" customHeight="1">
      <c r="A342" s="188">
        <v>337.0</v>
      </c>
      <c r="B342" s="158" t="s">
        <v>4861</v>
      </c>
      <c r="C342" s="158" t="s">
        <v>4862</v>
      </c>
      <c r="D342" s="158" t="s">
        <v>4863</v>
      </c>
      <c r="E342" s="109" t="s">
        <v>1881</v>
      </c>
      <c r="F342" s="109" t="s">
        <v>4135</v>
      </c>
      <c r="G342" s="109" t="s">
        <v>16</v>
      </c>
      <c r="H342" s="109">
        <v>1.062619196E9</v>
      </c>
      <c r="I342" s="109">
        <v>43642.0</v>
      </c>
      <c r="J342" s="109">
        <v>43642.0</v>
      </c>
      <c r="K342" s="109">
        <v>43657.0</v>
      </c>
      <c r="L342" s="109"/>
      <c r="M342" s="109"/>
      <c r="N342" s="109"/>
      <c r="O342" s="109"/>
      <c r="P342" s="109"/>
      <c r="Q342" s="109"/>
      <c r="R342" s="109"/>
      <c r="S342" s="109"/>
      <c r="T342" s="109"/>
      <c r="U342" s="109"/>
      <c r="V342" s="109"/>
      <c r="W342" s="109"/>
      <c r="X342" s="109">
        <v>43642.0</v>
      </c>
      <c r="Y342" s="109">
        <v>43824.0</v>
      </c>
      <c r="Z342" s="109"/>
      <c r="AA342" s="109"/>
      <c r="AB342" s="137"/>
      <c r="AC342" s="109" t="s">
        <v>62</v>
      </c>
      <c r="AD342" s="109">
        <v>35554.0</v>
      </c>
      <c r="AE342" s="109" t="s">
        <v>4864</v>
      </c>
      <c r="AF342" s="109" t="s">
        <v>1168</v>
      </c>
      <c r="AG342" s="109"/>
      <c r="AH342" s="109">
        <v>9.655764491E9</v>
      </c>
      <c r="AI342" s="109"/>
      <c r="AJ342" s="109" t="s">
        <v>4682</v>
      </c>
      <c r="AK342" s="109" t="s">
        <v>4865</v>
      </c>
      <c r="AL342" s="109" t="s">
        <v>4866</v>
      </c>
      <c r="AM342" s="109" t="s">
        <v>4867</v>
      </c>
      <c r="AN342" s="109" t="s">
        <v>4868</v>
      </c>
      <c r="AO342" s="109"/>
      <c r="AP342" s="109"/>
      <c r="AQ342" s="142" t="s">
        <v>4869</v>
      </c>
      <c r="AR342" s="109" t="s">
        <v>4870</v>
      </c>
      <c r="AS342" s="109">
        <v>43741.0</v>
      </c>
    </row>
    <row r="343" ht="14.25" customHeight="1">
      <c r="A343" s="188">
        <v>338.0</v>
      </c>
      <c r="B343" s="158" t="s">
        <v>1819</v>
      </c>
      <c r="C343" s="158" t="s">
        <v>4871</v>
      </c>
      <c r="D343" s="158" t="s">
        <v>4872</v>
      </c>
      <c r="E343" s="109" t="s">
        <v>1881</v>
      </c>
      <c r="F343" s="109" t="s">
        <v>4135</v>
      </c>
      <c r="G343" s="109" t="s">
        <v>16</v>
      </c>
      <c r="H343" s="109">
        <v>1.050319189E9</v>
      </c>
      <c r="I343" s="109">
        <v>43588.0</v>
      </c>
      <c r="J343" s="109">
        <v>43588.0</v>
      </c>
      <c r="K343" s="109">
        <v>43603.0</v>
      </c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109">
        <v>43588.0</v>
      </c>
      <c r="Y343" s="109">
        <v>43771.0</v>
      </c>
      <c r="Z343" s="109"/>
      <c r="AA343" s="109"/>
      <c r="AB343" s="137"/>
      <c r="AC343" s="109" t="s">
        <v>62</v>
      </c>
      <c r="AD343" s="109">
        <v>34972.0</v>
      </c>
      <c r="AE343" s="109" t="s">
        <v>4680</v>
      </c>
      <c r="AF343" s="109" t="s">
        <v>4325</v>
      </c>
      <c r="AG343" s="109" t="s">
        <v>4873</v>
      </c>
      <c r="AH343" s="109">
        <v>9.501435846E9</v>
      </c>
      <c r="AI343" s="109"/>
      <c r="AJ343" s="109" t="s">
        <v>4682</v>
      </c>
      <c r="AK343" s="109" t="s">
        <v>4874</v>
      </c>
      <c r="AL343" s="109" t="s">
        <v>4875</v>
      </c>
      <c r="AM343" s="109" t="s">
        <v>4876</v>
      </c>
      <c r="AN343" s="109" t="s">
        <v>4877</v>
      </c>
      <c r="AO343" s="109"/>
      <c r="AP343" s="109"/>
      <c r="AQ343" s="142" t="s">
        <v>4878</v>
      </c>
      <c r="AR343" s="109" t="s">
        <v>4879</v>
      </c>
      <c r="AS343" s="109">
        <v>43741.0</v>
      </c>
    </row>
    <row r="344" ht="18.0" customHeight="1">
      <c r="A344" s="188">
        <v>339.0</v>
      </c>
      <c r="B344" s="158" t="s">
        <v>4880</v>
      </c>
      <c r="C344" s="158" t="s">
        <v>4881</v>
      </c>
      <c r="D344" s="158" t="s">
        <v>3648</v>
      </c>
      <c r="E344" s="109" t="s">
        <v>82</v>
      </c>
      <c r="F344" s="109" t="s">
        <v>4135</v>
      </c>
      <c r="G344" s="109" t="s">
        <v>16</v>
      </c>
      <c r="H344" s="213">
        <v>1.041219188E9</v>
      </c>
      <c r="I344" s="109">
        <v>43567.0</v>
      </c>
      <c r="J344" s="109">
        <v>43567.0</v>
      </c>
      <c r="K344" s="109">
        <v>43582.0</v>
      </c>
      <c r="L344" s="109"/>
      <c r="M344" s="109"/>
      <c r="N344" s="109"/>
      <c r="O344" s="109"/>
      <c r="P344" s="109"/>
      <c r="Q344" s="109"/>
      <c r="R344" s="109"/>
      <c r="S344" s="109"/>
      <c r="T344" s="109"/>
      <c r="U344" s="109"/>
      <c r="V344" s="109"/>
      <c r="W344" s="109"/>
      <c r="X344" s="109">
        <v>43567.0</v>
      </c>
      <c r="Y344" s="109">
        <v>43749.0</v>
      </c>
      <c r="Z344" s="109"/>
      <c r="AA344" s="109"/>
      <c r="AB344" s="137"/>
      <c r="AC344" s="109" t="s">
        <v>62</v>
      </c>
      <c r="AD344" s="109">
        <v>35920.0</v>
      </c>
      <c r="AE344" s="109" t="s">
        <v>4882</v>
      </c>
      <c r="AF344" s="109" t="s">
        <v>4883</v>
      </c>
      <c r="AG344" s="109"/>
      <c r="AH344" s="109">
        <v>9.366371404E9</v>
      </c>
      <c r="AI344" s="109"/>
      <c r="AJ344" s="109" t="s">
        <v>4884</v>
      </c>
      <c r="AK344" s="109" t="s">
        <v>4885</v>
      </c>
      <c r="AL344" s="109" t="s">
        <v>4886</v>
      </c>
      <c r="AM344" s="109" t="s">
        <v>4887</v>
      </c>
      <c r="AN344" s="109" t="s">
        <v>4888</v>
      </c>
      <c r="AO344" s="109"/>
      <c r="AP344" s="109"/>
      <c r="AQ344" s="142" t="s">
        <v>4889</v>
      </c>
      <c r="AR344" s="222" t="s">
        <v>914</v>
      </c>
      <c r="AS344" s="212">
        <v>43749.0</v>
      </c>
    </row>
    <row r="345" ht="14.25" customHeight="1">
      <c r="A345" s="188">
        <v>340.0</v>
      </c>
      <c r="B345" s="158" t="s">
        <v>4890</v>
      </c>
      <c r="C345" s="158" t="s">
        <v>665</v>
      </c>
      <c r="D345" s="158" t="s">
        <v>4891</v>
      </c>
      <c r="E345" s="109" t="s">
        <v>717</v>
      </c>
      <c r="F345" s="109" t="s">
        <v>493</v>
      </c>
      <c r="G345" s="109" t="s">
        <v>57</v>
      </c>
      <c r="H345" s="109">
        <v>1.042118429E9</v>
      </c>
      <c r="I345" s="109">
        <v>43211.0</v>
      </c>
      <c r="J345" s="109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109">
        <v>43211.0</v>
      </c>
      <c r="Y345" s="109">
        <v>43393.0</v>
      </c>
      <c r="Z345" s="109"/>
      <c r="AA345" s="109"/>
      <c r="AB345" s="137">
        <v>43394.0</v>
      </c>
      <c r="AC345" s="109" t="s">
        <v>62</v>
      </c>
      <c r="AD345" s="109">
        <v>33647.0</v>
      </c>
      <c r="AE345" s="109" t="s">
        <v>4892</v>
      </c>
      <c r="AF345" s="109" t="s">
        <v>4336</v>
      </c>
      <c r="AG345" s="109"/>
      <c r="AH345" s="109">
        <v>9.569148025E9</v>
      </c>
      <c r="AI345" s="109"/>
      <c r="AJ345" s="109" t="s">
        <v>4893</v>
      </c>
      <c r="AK345" s="109" t="s">
        <v>4894</v>
      </c>
      <c r="AL345" s="109" t="s">
        <v>4895</v>
      </c>
      <c r="AM345" s="109" t="s">
        <v>4896</v>
      </c>
      <c r="AN345" s="109" t="s">
        <v>4897</v>
      </c>
      <c r="AO345" s="109"/>
      <c r="AP345" s="109"/>
      <c r="AQ345" s="142" t="s">
        <v>4898</v>
      </c>
      <c r="AR345" s="109" t="s">
        <v>900</v>
      </c>
      <c r="AS345" s="109">
        <v>43733.0</v>
      </c>
    </row>
    <row r="346" ht="14.25" customHeight="1">
      <c r="A346" s="188">
        <v>341.0</v>
      </c>
      <c r="B346" s="158" t="s">
        <v>2500</v>
      </c>
      <c r="C346" s="158" t="s">
        <v>4899</v>
      </c>
      <c r="D346" s="158" t="s">
        <v>807</v>
      </c>
      <c r="E346" s="109" t="s">
        <v>4900</v>
      </c>
      <c r="F346" s="109" t="s">
        <v>959</v>
      </c>
      <c r="G346" s="109" t="s">
        <v>424</v>
      </c>
      <c r="H346" s="109">
        <v>1.110613174E9</v>
      </c>
      <c r="I346" s="109">
        <v>41584.0</v>
      </c>
      <c r="J346" s="109">
        <v>41584.0</v>
      </c>
      <c r="K346" s="109">
        <v>41676.0</v>
      </c>
      <c r="L346" s="109">
        <v>41891.0</v>
      </c>
      <c r="M346" s="109">
        <v>41973.0</v>
      </c>
      <c r="N346" s="109"/>
      <c r="O346" s="109"/>
      <c r="P346" s="109"/>
      <c r="Q346" s="109"/>
      <c r="R346" s="109"/>
      <c r="S346" s="109"/>
      <c r="T346" s="109"/>
      <c r="U346" s="109"/>
      <c r="V346" s="109"/>
      <c r="W346" s="109"/>
      <c r="X346" s="109">
        <v>43283.0</v>
      </c>
      <c r="Y346" s="109">
        <v>43467.0</v>
      </c>
      <c r="Z346" s="109"/>
      <c r="AA346" s="109"/>
      <c r="AB346" s="137"/>
      <c r="AC346" s="109" t="s">
        <v>62</v>
      </c>
      <c r="AD346" s="109">
        <v>33397.0</v>
      </c>
      <c r="AE346" s="109" t="s">
        <v>4901</v>
      </c>
      <c r="AF346" s="109" t="s">
        <v>4385</v>
      </c>
      <c r="AG346" s="109" t="s">
        <v>4902</v>
      </c>
      <c r="AH346" s="109">
        <v>9.156682084E9</v>
      </c>
      <c r="AI346" s="109"/>
      <c r="AJ346" s="109" t="s">
        <v>2505</v>
      </c>
      <c r="AK346" s="109" t="s">
        <v>4903</v>
      </c>
      <c r="AL346" s="109" t="s">
        <v>4904</v>
      </c>
      <c r="AM346" s="109"/>
      <c r="AN346" s="109" t="s">
        <v>4905</v>
      </c>
      <c r="AO346" s="109"/>
      <c r="AP346" s="109"/>
      <c r="AQ346" s="142" t="s">
        <v>4906</v>
      </c>
      <c r="AR346" s="109" t="s">
        <v>900</v>
      </c>
      <c r="AS346" s="109">
        <v>43677.0</v>
      </c>
    </row>
    <row r="347" ht="14.25" customHeight="1">
      <c r="A347" s="188">
        <v>342.0</v>
      </c>
      <c r="B347" s="158" t="s">
        <v>4907</v>
      </c>
      <c r="C347" s="158" t="s">
        <v>1907</v>
      </c>
      <c r="D347" s="158" t="s">
        <v>4908</v>
      </c>
      <c r="E347" s="109" t="s">
        <v>1881</v>
      </c>
      <c r="F347" s="109" t="s">
        <v>4135</v>
      </c>
      <c r="G347" s="109" t="s">
        <v>57</v>
      </c>
      <c r="H347" s="109">
        <v>1.041016294E9</v>
      </c>
      <c r="I347" s="109">
        <v>42485.0</v>
      </c>
      <c r="J347" s="109">
        <v>42470.0</v>
      </c>
      <c r="K347" s="109">
        <v>42484.0</v>
      </c>
      <c r="L347" s="109">
        <v>42485.0</v>
      </c>
      <c r="M347" s="109">
        <v>42638.0</v>
      </c>
      <c r="N347" s="109"/>
      <c r="O347" s="109"/>
      <c r="P347" s="109"/>
      <c r="Q347" s="109"/>
      <c r="R347" s="109">
        <v>42639.0</v>
      </c>
      <c r="S347" s="109">
        <v>43368.0</v>
      </c>
      <c r="T347" s="109"/>
      <c r="U347" s="109"/>
      <c r="V347" s="109"/>
      <c r="W347" s="109"/>
      <c r="X347" s="109"/>
      <c r="Y347" s="109"/>
      <c r="Z347" s="109"/>
      <c r="AA347" s="109"/>
      <c r="AB347" s="137">
        <v>42828.0</v>
      </c>
      <c r="AC347" s="109" t="s">
        <v>62</v>
      </c>
      <c r="AD347" s="109">
        <v>35259.0</v>
      </c>
      <c r="AE347" s="109" t="s">
        <v>4909</v>
      </c>
      <c r="AF347" s="109" t="s">
        <v>4910</v>
      </c>
      <c r="AG347" s="109" t="s">
        <v>1366</v>
      </c>
      <c r="AH347" s="109" t="s">
        <v>4911</v>
      </c>
      <c r="AI347" s="109"/>
      <c r="AJ347" s="109" t="s">
        <v>975</v>
      </c>
      <c r="AK347" s="109" t="s">
        <v>4912</v>
      </c>
      <c r="AL347" s="109" t="s">
        <v>4913</v>
      </c>
      <c r="AM347" s="109" t="s">
        <v>4914</v>
      </c>
      <c r="AN347" s="109" t="s">
        <v>4915</v>
      </c>
      <c r="AO347" s="109"/>
      <c r="AP347" s="109"/>
      <c r="AQ347" s="142" t="s">
        <v>4916</v>
      </c>
      <c r="AR347" s="109" t="s">
        <v>4917</v>
      </c>
      <c r="AS347" s="109">
        <v>43748.0</v>
      </c>
    </row>
    <row r="348" ht="14.25" customHeight="1">
      <c r="A348" s="188">
        <v>343.0</v>
      </c>
      <c r="B348" s="158" t="s">
        <v>1176</v>
      </c>
      <c r="C348" s="158" t="s">
        <v>1177</v>
      </c>
      <c r="D348" s="158" t="s">
        <v>1178</v>
      </c>
      <c r="E348" s="109" t="s">
        <v>1881</v>
      </c>
      <c r="F348" s="109" t="s">
        <v>4135</v>
      </c>
      <c r="G348" s="109" t="s">
        <v>57</v>
      </c>
      <c r="H348" s="109">
        <v>1.111218161E9</v>
      </c>
      <c r="I348" s="109">
        <v>43416.0</v>
      </c>
      <c r="J348" s="109">
        <v>43416.0</v>
      </c>
      <c r="K348" s="109">
        <v>43431.0</v>
      </c>
      <c r="L348" s="109"/>
      <c r="M348" s="109"/>
      <c r="N348" s="109"/>
      <c r="O348" s="109"/>
      <c r="P348" s="109"/>
      <c r="Q348" s="109"/>
      <c r="R348" s="109"/>
      <c r="S348" s="109"/>
      <c r="T348" s="109"/>
      <c r="U348" s="109"/>
      <c r="V348" s="109"/>
      <c r="W348" s="109"/>
      <c r="X348" s="109">
        <v>43416.0</v>
      </c>
      <c r="Y348" s="109">
        <v>43596.0</v>
      </c>
      <c r="Z348" s="109"/>
      <c r="AA348" s="109"/>
      <c r="AB348" s="137">
        <v>43597.0</v>
      </c>
      <c r="AC348" s="109" t="s">
        <v>62</v>
      </c>
      <c r="AD348" s="109">
        <v>34660.0</v>
      </c>
      <c r="AE348" s="109" t="s">
        <v>4918</v>
      </c>
      <c r="AF348" s="109" t="s">
        <v>4552</v>
      </c>
      <c r="AG348" s="109" t="s">
        <v>4919</v>
      </c>
      <c r="AH348" s="109">
        <v>9.461169758E9</v>
      </c>
      <c r="AI348" s="109"/>
      <c r="AJ348" s="109" t="s">
        <v>4682</v>
      </c>
      <c r="AK348" s="109" t="s">
        <v>1183</v>
      </c>
      <c r="AL348" s="109" t="s">
        <v>1184</v>
      </c>
      <c r="AM348" s="202" t="s">
        <v>1185</v>
      </c>
      <c r="AN348" s="109" t="s">
        <v>4920</v>
      </c>
      <c r="AO348" s="109"/>
      <c r="AP348" s="109"/>
      <c r="AQ348" s="142" t="s">
        <v>4921</v>
      </c>
      <c r="AR348" s="109" t="s">
        <v>4782</v>
      </c>
      <c r="AS348" s="109">
        <v>43748.0</v>
      </c>
    </row>
    <row r="349" ht="14.25" customHeight="1">
      <c r="A349" s="188">
        <v>344.0</v>
      </c>
      <c r="B349" s="158" t="s">
        <v>4922</v>
      </c>
      <c r="C349" s="158" t="s">
        <v>4923</v>
      </c>
      <c r="D349" s="158" t="s">
        <v>4924</v>
      </c>
      <c r="E349" s="109" t="s">
        <v>4925</v>
      </c>
      <c r="F349" s="109" t="s">
        <v>4135</v>
      </c>
      <c r="G349" s="109" t="s">
        <v>57</v>
      </c>
      <c r="H349" s="109">
        <v>1.06161845E9</v>
      </c>
      <c r="I349" s="109">
        <v>43267.0</v>
      </c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>
        <v>43267.0</v>
      </c>
      <c r="Y349" s="109">
        <v>43449.0</v>
      </c>
      <c r="Z349" s="109"/>
      <c r="AA349" s="109"/>
      <c r="AB349" s="137">
        <v>43450.0</v>
      </c>
      <c r="AC349" s="109" t="s">
        <v>62</v>
      </c>
      <c r="AD349" s="109">
        <v>34922.0</v>
      </c>
      <c r="AE349" s="109" t="s">
        <v>4926</v>
      </c>
      <c r="AF349" s="109" t="s">
        <v>4385</v>
      </c>
      <c r="AG349" s="109" t="s">
        <v>4927</v>
      </c>
      <c r="AH349" s="109"/>
      <c r="AI349" s="109"/>
      <c r="AJ349" s="109" t="s">
        <v>4067</v>
      </c>
      <c r="AK349" s="109" t="s">
        <v>4928</v>
      </c>
      <c r="AL349" s="109" t="s">
        <v>4929</v>
      </c>
      <c r="AM349" s="109" t="s">
        <v>4930</v>
      </c>
      <c r="AN349" s="109" t="s">
        <v>4931</v>
      </c>
      <c r="AO349" s="109"/>
      <c r="AP349" s="109"/>
      <c r="AQ349" s="142" t="s">
        <v>4932</v>
      </c>
      <c r="AR349" s="109" t="s">
        <v>4933</v>
      </c>
      <c r="AS349" s="109">
        <v>43744.0</v>
      </c>
    </row>
    <row r="350" ht="14.25" customHeight="1">
      <c r="A350" s="188">
        <v>345.0</v>
      </c>
      <c r="B350" s="158" t="s">
        <v>4934</v>
      </c>
      <c r="C350" s="158" t="s">
        <v>4935</v>
      </c>
      <c r="D350" s="158" t="s">
        <v>4936</v>
      </c>
      <c r="E350" s="109" t="s">
        <v>577</v>
      </c>
      <c r="F350" s="109" t="s">
        <v>537</v>
      </c>
      <c r="G350" s="109" t="s">
        <v>57</v>
      </c>
      <c r="H350" s="109">
        <v>1.011713159E9</v>
      </c>
      <c r="I350" s="109">
        <v>41410.0</v>
      </c>
      <c r="J350" s="109">
        <v>41291.0</v>
      </c>
      <c r="K350" s="109">
        <v>41381.0</v>
      </c>
      <c r="L350" s="109">
        <v>41410.0</v>
      </c>
      <c r="M350" s="109">
        <v>41563.0</v>
      </c>
      <c r="N350" s="109"/>
      <c r="O350" s="109"/>
      <c r="P350" s="109"/>
      <c r="Q350" s="109"/>
      <c r="R350" s="109">
        <v>41579.0</v>
      </c>
      <c r="S350" s="109">
        <v>42309.0</v>
      </c>
      <c r="T350" s="109">
        <v>42310.0</v>
      </c>
      <c r="U350" s="109">
        <v>42676.0</v>
      </c>
      <c r="V350" s="109"/>
      <c r="W350" s="109"/>
      <c r="X350" s="109"/>
      <c r="Y350" s="109"/>
      <c r="Z350" s="109"/>
      <c r="AA350" s="109"/>
      <c r="AB350" s="137">
        <v>42677.0</v>
      </c>
      <c r="AC350" s="109" t="s">
        <v>62</v>
      </c>
      <c r="AD350" s="109">
        <v>34396.0</v>
      </c>
      <c r="AE350" s="109" t="s">
        <v>4937</v>
      </c>
      <c r="AF350" s="109" t="s">
        <v>4938</v>
      </c>
      <c r="AG350" s="109" t="s">
        <v>4939</v>
      </c>
      <c r="AH350" s="109">
        <v>9.301331059E9</v>
      </c>
      <c r="AI350" s="109"/>
      <c r="AJ350" s="109" t="s">
        <v>2195</v>
      </c>
      <c r="AK350" s="109" t="s">
        <v>4940</v>
      </c>
      <c r="AL350" s="109" t="s">
        <v>4941</v>
      </c>
      <c r="AM350" s="109" t="s">
        <v>4942</v>
      </c>
      <c r="AN350" s="109" t="s">
        <v>4943</v>
      </c>
      <c r="AO350" s="109"/>
      <c r="AP350" s="109"/>
      <c r="AQ350" s="142" t="s">
        <v>4944</v>
      </c>
      <c r="AR350" s="109" t="s">
        <v>4860</v>
      </c>
      <c r="AS350" s="109">
        <v>43763.0</v>
      </c>
    </row>
    <row r="351" ht="18.0" customHeight="1">
      <c r="A351" s="188">
        <v>346.0</v>
      </c>
      <c r="B351" s="158" t="s">
        <v>4945</v>
      </c>
      <c r="C351" s="158" t="s">
        <v>4946</v>
      </c>
      <c r="D351" s="158" t="s">
        <v>4947</v>
      </c>
      <c r="E351" s="109" t="s">
        <v>82</v>
      </c>
      <c r="F351" s="109" t="s">
        <v>4135</v>
      </c>
      <c r="G351" s="109" t="s">
        <v>16</v>
      </c>
      <c r="H351" s="213">
        <v>1.100319218E9</v>
      </c>
      <c r="I351" s="109">
        <v>43741.0</v>
      </c>
      <c r="J351" s="109">
        <v>43741.0</v>
      </c>
      <c r="K351" s="109">
        <v>43756.0</v>
      </c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109">
        <v>43741.0</v>
      </c>
      <c r="Y351" s="109">
        <v>43923.0</v>
      </c>
      <c r="Z351" s="109"/>
      <c r="AA351" s="109"/>
      <c r="AB351" s="137"/>
      <c r="AC351" s="109" t="s">
        <v>62</v>
      </c>
      <c r="AD351" s="109">
        <v>36393.0</v>
      </c>
      <c r="AE351" s="109" t="s">
        <v>4948</v>
      </c>
      <c r="AF351" s="109" t="s">
        <v>4949</v>
      </c>
      <c r="AG351" s="109" t="s">
        <v>4950</v>
      </c>
      <c r="AH351" s="109">
        <v>9.982552928E9</v>
      </c>
      <c r="AI351" s="109"/>
      <c r="AJ351" s="109" t="s">
        <v>4492</v>
      </c>
      <c r="AK351" s="109" t="s">
        <v>4951</v>
      </c>
      <c r="AL351" s="109" t="s">
        <v>4952</v>
      </c>
      <c r="AM351" s="109" t="s">
        <v>4953</v>
      </c>
      <c r="AN351" s="217"/>
      <c r="AO351" s="109"/>
      <c r="AP351" s="109"/>
      <c r="AQ351" s="142"/>
      <c r="AR351" s="109" t="s">
        <v>4954</v>
      </c>
      <c r="AS351" s="109">
        <v>43764.0</v>
      </c>
    </row>
    <row r="352" ht="14.25" customHeight="1">
      <c r="A352" s="188">
        <v>347.0</v>
      </c>
      <c r="B352" s="158" t="s">
        <v>4955</v>
      </c>
      <c r="C352" s="158" t="s">
        <v>4956</v>
      </c>
      <c r="D352" s="158" t="s">
        <v>4957</v>
      </c>
      <c r="E352" s="109" t="s">
        <v>550</v>
      </c>
      <c r="F352" s="109" t="s">
        <v>451</v>
      </c>
      <c r="G352" s="109" t="s">
        <v>57</v>
      </c>
      <c r="H352" s="109">
        <v>1.111918156E9</v>
      </c>
      <c r="I352" s="109">
        <v>43423.0</v>
      </c>
      <c r="J352" s="109"/>
      <c r="K352" s="109"/>
      <c r="L352" s="109"/>
      <c r="M352" s="109"/>
      <c r="N352" s="109"/>
      <c r="O352" s="109"/>
      <c r="P352" s="109"/>
      <c r="Q352" s="109"/>
      <c r="R352" s="109"/>
      <c r="S352" s="109"/>
      <c r="T352" s="109"/>
      <c r="U352" s="109"/>
      <c r="V352" s="109"/>
      <c r="W352" s="109"/>
      <c r="X352" s="109">
        <v>43423.0</v>
      </c>
      <c r="Y352" s="109">
        <v>43603.0</v>
      </c>
      <c r="Z352" s="109"/>
      <c r="AA352" s="109"/>
      <c r="AB352" s="137">
        <v>43604.0</v>
      </c>
      <c r="AC352" s="109" t="s">
        <v>62</v>
      </c>
      <c r="AD352" s="109">
        <v>35933.0</v>
      </c>
      <c r="AE352" s="206" t="s">
        <v>4958</v>
      </c>
      <c r="AF352" s="206" t="s">
        <v>4325</v>
      </c>
      <c r="AG352" s="109" t="s">
        <v>4959</v>
      </c>
      <c r="AH352" s="109">
        <v>9.276567791E9</v>
      </c>
      <c r="AI352" s="109"/>
      <c r="AJ352" s="109" t="s">
        <v>4960</v>
      </c>
      <c r="AK352" s="109" t="s">
        <v>4961</v>
      </c>
      <c r="AL352" s="109" t="s">
        <v>4962</v>
      </c>
      <c r="AM352" s="109" t="s">
        <v>4963</v>
      </c>
      <c r="AN352" s="109" t="s">
        <v>4964</v>
      </c>
      <c r="AO352" s="109"/>
      <c r="AP352" s="109"/>
      <c r="AQ352" s="142" t="s">
        <v>4965</v>
      </c>
      <c r="AR352" s="109" t="s">
        <v>4966</v>
      </c>
      <c r="AS352" s="109">
        <v>43789.0</v>
      </c>
    </row>
    <row r="353" ht="14.25" customHeight="1">
      <c r="A353" s="188">
        <v>348.0</v>
      </c>
      <c r="B353" s="158" t="s">
        <v>927</v>
      </c>
      <c r="C353" s="158" t="s">
        <v>4967</v>
      </c>
      <c r="D353" s="158" t="s">
        <v>929</v>
      </c>
      <c r="E353" s="109" t="s">
        <v>1831</v>
      </c>
      <c r="F353" s="109" t="s">
        <v>4135</v>
      </c>
      <c r="G353" s="109" t="s">
        <v>57</v>
      </c>
      <c r="H353" s="109">
        <v>1.012618411E9</v>
      </c>
      <c r="I353" s="109">
        <v>43126.0</v>
      </c>
      <c r="J353" s="109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109">
        <v>43126.0</v>
      </c>
      <c r="Y353" s="109">
        <v>43306.0</v>
      </c>
      <c r="Z353" s="109"/>
      <c r="AA353" s="109"/>
      <c r="AB353" s="137">
        <v>43307.0</v>
      </c>
      <c r="AC353" s="109" t="s">
        <v>62</v>
      </c>
      <c r="AD353" s="109">
        <v>33135.0</v>
      </c>
      <c r="AE353" s="109" t="s">
        <v>4968</v>
      </c>
      <c r="AF353" s="109" t="s">
        <v>4969</v>
      </c>
      <c r="AG353" s="109" t="s">
        <v>4970</v>
      </c>
      <c r="AH353" s="109">
        <v>9.9733706E9</v>
      </c>
      <c r="AI353" s="109"/>
      <c r="AJ353" s="109" t="s">
        <v>4971</v>
      </c>
      <c r="AK353" s="109" t="s">
        <v>4972</v>
      </c>
      <c r="AL353" s="205" t="s">
        <v>4973</v>
      </c>
      <c r="AM353" s="109" t="s">
        <v>4974</v>
      </c>
      <c r="AN353" s="109" t="s">
        <v>4975</v>
      </c>
      <c r="AO353" s="109">
        <v>2.0</v>
      </c>
      <c r="AP353" s="109"/>
      <c r="AQ353" s="142" t="s">
        <v>4976</v>
      </c>
      <c r="AR353" s="109" t="s">
        <v>4977</v>
      </c>
      <c r="AS353" s="109">
        <v>43816.0</v>
      </c>
    </row>
    <row r="354" ht="14.25" customHeight="1">
      <c r="A354" s="188">
        <v>349.0</v>
      </c>
      <c r="B354" s="158" t="s">
        <v>4978</v>
      </c>
      <c r="C354" s="158" t="s">
        <v>4979</v>
      </c>
      <c r="D354" s="158" t="s">
        <v>4980</v>
      </c>
      <c r="E354" s="109" t="s">
        <v>639</v>
      </c>
      <c r="F354" s="109" t="s">
        <v>56</v>
      </c>
      <c r="G354" s="109" t="s">
        <v>57</v>
      </c>
      <c r="H354" s="109">
        <v>1.022910053E9</v>
      </c>
      <c r="I354" s="109">
        <v>42313.0</v>
      </c>
      <c r="J354" s="109">
        <v>40140.0</v>
      </c>
      <c r="K354" s="109">
        <v>40232.0</v>
      </c>
      <c r="L354" s="109">
        <v>40235.0</v>
      </c>
      <c r="M354" s="109">
        <v>40385.0</v>
      </c>
      <c r="N354" s="109">
        <v>40375.0</v>
      </c>
      <c r="O354" s="109">
        <v>40528.0</v>
      </c>
      <c r="P354" s="109"/>
      <c r="Q354" s="109"/>
      <c r="R354" s="109">
        <v>40787.0</v>
      </c>
      <c r="S354" s="109">
        <v>41518.0</v>
      </c>
      <c r="T354" s="109">
        <v>41563.0</v>
      </c>
      <c r="U354" s="109">
        <v>41928.0</v>
      </c>
      <c r="V354" s="109">
        <v>41947.0</v>
      </c>
      <c r="W354" s="109">
        <v>42312.0</v>
      </c>
      <c r="X354" s="109"/>
      <c r="Y354" s="109"/>
      <c r="Z354" s="109"/>
      <c r="AA354" s="109"/>
      <c r="AB354" s="137">
        <v>42313.0</v>
      </c>
      <c r="AC354" s="109" t="s">
        <v>2919</v>
      </c>
      <c r="AD354" s="109">
        <v>33451.0</v>
      </c>
      <c r="AE354" s="109" t="s">
        <v>4981</v>
      </c>
      <c r="AF354" s="109" t="s">
        <v>4336</v>
      </c>
      <c r="AG354" s="109"/>
      <c r="AH354" s="109" t="s">
        <v>4982</v>
      </c>
      <c r="AI354" s="109"/>
      <c r="AJ354" s="109" t="s">
        <v>4983</v>
      </c>
      <c r="AK354" s="109" t="s">
        <v>4984</v>
      </c>
      <c r="AL354" s="109" t="s">
        <v>4985</v>
      </c>
      <c r="AM354" s="109" t="s">
        <v>4986</v>
      </c>
      <c r="AN354" s="109" t="s">
        <v>4987</v>
      </c>
      <c r="AO354" s="109"/>
      <c r="AP354" s="109"/>
      <c r="AQ354" s="142" t="s">
        <v>4988</v>
      </c>
      <c r="AR354" s="109" t="s">
        <v>4977</v>
      </c>
      <c r="AS354" s="109">
        <v>43818.0</v>
      </c>
    </row>
    <row r="355" ht="14.25" customHeight="1">
      <c r="A355" s="188">
        <v>350.0</v>
      </c>
      <c r="B355" s="158" t="s">
        <v>4989</v>
      </c>
      <c r="C355" s="158" t="s">
        <v>4990</v>
      </c>
      <c r="D355" s="158" t="s">
        <v>4991</v>
      </c>
      <c r="E355" s="109" t="s">
        <v>1881</v>
      </c>
      <c r="F355" s="109" t="s">
        <v>4135</v>
      </c>
      <c r="G355" s="109" t="s">
        <v>16</v>
      </c>
      <c r="H355" s="109">
        <v>1.062019195E9</v>
      </c>
      <c r="I355" s="109">
        <v>43636.0</v>
      </c>
      <c r="J355" s="109">
        <v>43636.0</v>
      </c>
      <c r="K355" s="109">
        <v>43651.0</v>
      </c>
      <c r="L355" s="109"/>
      <c r="M355" s="109"/>
      <c r="N355" s="109"/>
      <c r="O355" s="109"/>
      <c r="P355" s="109"/>
      <c r="Q355" s="109"/>
      <c r="T355" s="109"/>
      <c r="U355" s="109"/>
      <c r="V355" s="109"/>
      <c r="W355" s="109"/>
      <c r="X355" s="109">
        <v>43636.0</v>
      </c>
      <c r="Y355" s="109">
        <v>43818.0</v>
      </c>
      <c r="Z355" s="109"/>
      <c r="AA355" s="109"/>
      <c r="AB355" s="137"/>
      <c r="AC355" s="109" t="s">
        <v>62</v>
      </c>
      <c r="AD355" s="109">
        <v>36038.0</v>
      </c>
      <c r="AE355" s="109" t="s">
        <v>4992</v>
      </c>
      <c r="AF355" s="109" t="s">
        <v>4325</v>
      </c>
      <c r="AG355" s="109" t="s">
        <v>4993</v>
      </c>
      <c r="AH355" s="109">
        <v>9.099799359E9</v>
      </c>
      <c r="AI355" s="109"/>
      <c r="AJ355" s="109" t="s">
        <v>4994</v>
      </c>
      <c r="AK355" s="109" t="s">
        <v>4995</v>
      </c>
      <c r="AL355" s="109" t="s">
        <v>4996</v>
      </c>
      <c r="AM355" s="109" t="s">
        <v>4997</v>
      </c>
      <c r="AN355" s="109" t="s">
        <v>4998</v>
      </c>
      <c r="AO355" s="109"/>
      <c r="AP355" s="109"/>
      <c r="AQ355" s="142" t="s">
        <v>4999</v>
      </c>
      <c r="AR355" s="109" t="s">
        <v>4813</v>
      </c>
      <c r="AS355" s="109">
        <v>43818.0</v>
      </c>
    </row>
    <row r="356" ht="14.25" customHeight="1">
      <c r="A356" s="188">
        <v>351.0</v>
      </c>
      <c r="B356" s="158" t="s">
        <v>5000</v>
      </c>
      <c r="C356" s="158" t="s">
        <v>5001</v>
      </c>
      <c r="D356" s="158" t="s">
        <v>5002</v>
      </c>
      <c r="E356" s="109" t="s">
        <v>4666</v>
      </c>
      <c r="F356" s="109" t="s">
        <v>161</v>
      </c>
      <c r="G356" s="109" t="s">
        <v>16</v>
      </c>
      <c r="H356" s="109">
        <v>1.070519199E9</v>
      </c>
      <c r="I356" s="109">
        <v>43651.0</v>
      </c>
      <c r="J356" s="109">
        <v>43651.0</v>
      </c>
      <c r="K356" s="109">
        <v>43666.0</v>
      </c>
      <c r="L356" s="109"/>
      <c r="M356" s="109"/>
      <c r="N356" s="109"/>
      <c r="O356" s="109"/>
      <c r="P356" s="109"/>
      <c r="Q356" s="109"/>
      <c r="R356" s="109"/>
      <c r="S356" s="109"/>
      <c r="T356" s="109"/>
      <c r="U356" s="109"/>
      <c r="V356" s="109"/>
      <c r="W356" s="109"/>
      <c r="X356" s="109">
        <v>43651.0</v>
      </c>
      <c r="Y356" s="109">
        <v>43834.0</v>
      </c>
      <c r="Z356" s="109"/>
      <c r="AA356" s="109"/>
      <c r="AB356" s="137"/>
      <c r="AC356" s="109" t="s">
        <v>62</v>
      </c>
      <c r="AD356" s="109">
        <v>34893.0</v>
      </c>
      <c r="AE356" s="109" t="s">
        <v>5003</v>
      </c>
      <c r="AF356" s="109" t="s">
        <v>4806</v>
      </c>
      <c r="AG356" s="109"/>
      <c r="AH356" s="109">
        <v>9.171598001E9</v>
      </c>
      <c r="AI356" s="109"/>
      <c r="AJ356" s="109" t="s">
        <v>5004</v>
      </c>
      <c r="AK356" s="109" t="s">
        <v>5005</v>
      </c>
      <c r="AL356" s="109" t="s">
        <v>5006</v>
      </c>
      <c r="AM356" s="109" t="s">
        <v>5007</v>
      </c>
      <c r="AN356" s="109" t="s">
        <v>5008</v>
      </c>
      <c r="AO356" s="109"/>
      <c r="AP356" s="109"/>
      <c r="AQ356" s="142" t="s">
        <v>5009</v>
      </c>
      <c r="AR356" s="218" t="s">
        <v>914</v>
      </c>
      <c r="AS356" s="109">
        <v>43834.0</v>
      </c>
    </row>
    <row r="357" ht="14.25" customHeight="1">
      <c r="A357" s="188">
        <v>352.0</v>
      </c>
      <c r="B357" s="142" t="s">
        <v>5010</v>
      </c>
      <c r="C357" s="142" t="s">
        <v>5011</v>
      </c>
      <c r="D357" s="142" t="s">
        <v>5012</v>
      </c>
      <c r="E357" s="109" t="s">
        <v>82</v>
      </c>
      <c r="F357" s="109" t="s">
        <v>4135</v>
      </c>
      <c r="G357" s="109" t="s">
        <v>16</v>
      </c>
      <c r="H357" s="109">
        <v>1.070519198E9</v>
      </c>
      <c r="I357" s="109">
        <v>43651.0</v>
      </c>
      <c r="J357" s="109">
        <v>43651.0</v>
      </c>
      <c r="K357" s="109">
        <v>43666.0</v>
      </c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109">
        <v>43651.0</v>
      </c>
      <c r="Y357" s="109">
        <v>43834.0</v>
      </c>
      <c r="Z357" s="109"/>
      <c r="AA357" s="109"/>
      <c r="AB357" s="137"/>
      <c r="AC357" s="109" t="s">
        <v>62</v>
      </c>
      <c r="AD357" s="109">
        <v>35067.0</v>
      </c>
      <c r="AE357" s="224" t="s">
        <v>5013</v>
      </c>
      <c r="AF357" s="109" t="s">
        <v>4589</v>
      </c>
      <c r="AG357" s="109"/>
      <c r="AH357" s="109">
        <v>9.287074025E9</v>
      </c>
      <c r="AI357" s="109"/>
      <c r="AJ357" s="109" t="s">
        <v>4826</v>
      </c>
      <c r="AK357" s="109" t="s">
        <v>5014</v>
      </c>
      <c r="AL357" s="109" t="s">
        <v>5015</v>
      </c>
      <c r="AM357" s="109" t="s">
        <v>5016</v>
      </c>
      <c r="AN357" s="109" t="s">
        <v>5017</v>
      </c>
      <c r="AO357" s="109"/>
      <c r="AP357" s="109"/>
      <c r="AQ357" s="86" t="s">
        <v>5018</v>
      </c>
      <c r="AR357" s="218" t="s">
        <v>914</v>
      </c>
      <c r="AS357" s="109">
        <v>43834.0</v>
      </c>
    </row>
    <row r="358" ht="14.25" customHeight="1">
      <c r="A358" s="188">
        <v>353.0</v>
      </c>
      <c r="B358" s="158" t="s">
        <v>5019</v>
      </c>
      <c r="C358" s="158" t="s">
        <v>5020</v>
      </c>
      <c r="D358" s="158" t="s">
        <v>2874</v>
      </c>
      <c r="E358" s="109" t="s">
        <v>82</v>
      </c>
      <c r="F358" s="109" t="s">
        <v>4135</v>
      </c>
      <c r="G358" s="109" t="s">
        <v>16</v>
      </c>
      <c r="H358" s="109">
        <v>1.091819209E9</v>
      </c>
      <c r="I358" s="109">
        <v>43726.0</v>
      </c>
      <c r="J358" s="109">
        <v>43726.0</v>
      </c>
      <c r="K358" s="109">
        <v>43741.0</v>
      </c>
      <c r="L358" s="109"/>
      <c r="M358" s="109"/>
      <c r="N358" s="109"/>
      <c r="O358" s="109"/>
      <c r="P358" s="109"/>
      <c r="Q358" s="109"/>
      <c r="R358" s="109"/>
      <c r="S358" s="109"/>
      <c r="T358" s="109"/>
      <c r="U358" s="109"/>
      <c r="V358" s="109"/>
      <c r="W358" s="109"/>
      <c r="X358" s="109">
        <v>43726.0</v>
      </c>
      <c r="Y358" s="109">
        <v>43907.0</v>
      </c>
      <c r="Z358" s="109"/>
      <c r="AA358" s="109"/>
      <c r="AB358" s="137"/>
      <c r="AC358" s="109" t="s">
        <v>62</v>
      </c>
      <c r="AD358" s="109">
        <v>35138.0</v>
      </c>
      <c r="AE358" s="109" t="s">
        <v>5021</v>
      </c>
      <c r="AF358" s="109" t="s">
        <v>4385</v>
      </c>
      <c r="AG358" s="109"/>
      <c r="AH358" s="109">
        <v>9.292200694E9</v>
      </c>
      <c r="AI358" s="109"/>
      <c r="AJ358" s="109" t="s">
        <v>5022</v>
      </c>
      <c r="AK358" s="109" t="s">
        <v>5023</v>
      </c>
      <c r="AL358" s="109" t="s">
        <v>5024</v>
      </c>
      <c r="AM358" s="109" t="s">
        <v>5025</v>
      </c>
      <c r="AN358" s="109" t="s">
        <v>5026</v>
      </c>
      <c r="AO358" s="109"/>
      <c r="AP358" s="109"/>
      <c r="AQ358" s="142" t="s">
        <v>5027</v>
      </c>
      <c r="AR358" s="218" t="s">
        <v>983</v>
      </c>
      <c r="AS358" s="109">
        <v>43829.0</v>
      </c>
    </row>
    <row r="359" ht="18.0" customHeight="1">
      <c r="A359" s="188">
        <v>354.0</v>
      </c>
      <c r="B359" s="26" t="s">
        <v>5028</v>
      </c>
      <c r="C359" s="26" t="s">
        <v>5029</v>
      </c>
      <c r="D359" s="26" t="s">
        <v>5030</v>
      </c>
      <c r="E359" s="109" t="s">
        <v>4815</v>
      </c>
      <c r="F359" s="109" t="s">
        <v>161</v>
      </c>
      <c r="G359" s="109" t="s">
        <v>16</v>
      </c>
      <c r="H359" s="19">
        <v>1.090619207E9</v>
      </c>
      <c r="I359" s="19">
        <v>43714.0</v>
      </c>
      <c r="J359" s="19">
        <v>43714.0</v>
      </c>
      <c r="K359" s="19">
        <v>43729.0</v>
      </c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>
        <v>43714.0</v>
      </c>
      <c r="Y359" s="19">
        <v>43895.0</v>
      </c>
      <c r="Z359" s="19"/>
      <c r="AA359" s="19"/>
      <c r="AB359" s="19"/>
      <c r="AC359" s="19" t="s">
        <v>62</v>
      </c>
      <c r="AD359" s="19">
        <v>35428.0</v>
      </c>
      <c r="AE359" s="19" t="s">
        <v>5031</v>
      </c>
      <c r="AF359" s="19" t="s">
        <v>4589</v>
      </c>
      <c r="AG359" s="19" t="s">
        <v>4056</v>
      </c>
      <c r="AH359" s="19">
        <v>9.485934691E9</v>
      </c>
      <c r="AI359" s="19"/>
      <c r="AJ359" s="19" t="s">
        <v>5032</v>
      </c>
      <c r="AK359" s="19" t="s">
        <v>5033</v>
      </c>
      <c r="AL359" s="19" t="s">
        <v>5034</v>
      </c>
      <c r="AM359" s="19" t="s">
        <v>5035</v>
      </c>
      <c r="AN359" s="19" t="s">
        <v>5036</v>
      </c>
      <c r="AO359" s="19"/>
      <c r="AP359" s="19"/>
      <c r="AQ359" s="26" t="s">
        <v>5037</v>
      </c>
      <c r="AR359" s="71" t="s">
        <v>5038</v>
      </c>
      <c r="AS359" s="19">
        <v>43827.0</v>
      </c>
      <c r="AT359" s="42"/>
      <c r="AU359" s="42"/>
      <c r="AV359" s="42"/>
      <c r="AW359" s="42"/>
      <c r="AX359" s="42"/>
      <c r="AY359" s="42"/>
      <c r="AZ359" s="42"/>
      <c r="BA359" s="42"/>
      <c r="BB359" s="42"/>
      <c r="BC359" s="42"/>
      <c r="BD359" s="42"/>
      <c r="BE359" s="42"/>
      <c r="BF359" s="42"/>
      <c r="BG359" s="42"/>
      <c r="BH359" s="42"/>
      <c r="BI359" s="42"/>
      <c r="BJ359" s="42"/>
      <c r="BK359" s="42"/>
      <c r="BL359" s="42"/>
      <c r="BM359" s="42"/>
    </row>
    <row r="360" ht="14.25" customHeight="1">
      <c r="A360" s="188">
        <v>355.0</v>
      </c>
      <c r="B360" s="229" t="s">
        <v>244</v>
      </c>
      <c r="C360" s="229" t="s">
        <v>5039</v>
      </c>
      <c r="D360" s="229" t="s">
        <v>5040</v>
      </c>
      <c r="E360" s="109" t="s">
        <v>82</v>
      </c>
      <c r="F360" s="109" t="s">
        <v>4135</v>
      </c>
      <c r="G360" s="109" t="s">
        <v>16</v>
      </c>
      <c r="H360" s="109">
        <v>1.110919224E9</v>
      </c>
      <c r="I360" s="109">
        <v>43778.0</v>
      </c>
      <c r="J360" s="109">
        <v>43778.0</v>
      </c>
      <c r="K360" s="109">
        <v>43793.0</v>
      </c>
      <c r="L360" s="109"/>
      <c r="M360" s="109"/>
      <c r="N360" s="109"/>
      <c r="O360" s="109"/>
      <c r="P360" s="109"/>
      <c r="Q360" s="109"/>
      <c r="R360" s="109"/>
      <c r="S360" s="109"/>
      <c r="T360" s="109"/>
      <c r="U360" s="109"/>
      <c r="V360" s="109"/>
      <c r="W360" s="109"/>
      <c r="X360" s="109">
        <v>43778.0</v>
      </c>
      <c r="Y360" s="109">
        <v>43959.0</v>
      </c>
      <c r="Z360" s="109"/>
      <c r="AA360" s="109"/>
      <c r="AB360" s="109"/>
      <c r="AC360" s="109" t="s">
        <v>62</v>
      </c>
      <c r="AD360" s="109">
        <v>34660.0</v>
      </c>
      <c r="AE360" s="109" t="s">
        <v>5041</v>
      </c>
      <c r="AF360" s="109" t="s">
        <v>4325</v>
      </c>
      <c r="AG360" s="109" t="s">
        <v>5042</v>
      </c>
      <c r="AH360" s="109">
        <v>9.504077281E9</v>
      </c>
      <c r="AI360" s="109"/>
      <c r="AJ360" s="109" t="s">
        <v>248</v>
      </c>
      <c r="AK360" s="230" t="s">
        <v>5043</v>
      </c>
      <c r="AL360" s="109" t="s">
        <v>5044</v>
      </c>
      <c r="AM360" s="109" t="s">
        <v>5045</v>
      </c>
      <c r="AN360" s="109" t="s">
        <v>5046</v>
      </c>
      <c r="AO360" s="109"/>
      <c r="AP360" s="109"/>
      <c r="AQ360" s="142" t="s">
        <v>5047</v>
      </c>
      <c r="AR360" s="48" t="s">
        <v>5048</v>
      </c>
      <c r="AS360" s="109">
        <v>43847.0</v>
      </c>
    </row>
    <row r="361" ht="14.25" customHeight="1">
      <c r="A361" s="188">
        <v>356.0</v>
      </c>
      <c r="B361" s="158" t="s">
        <v>902</v>
      </c>
      <c r="C361" s="142" t="s">
        <v>5049</v>
      </c>
      <c r="D361" s="158" t="s">
        <v>5050</v>
      </c>
      <c r="E361" s="109" t="s">
        <v>2047</v>
      </c>
      <c r="F361" s="109" t="s">
        <v>161</v>
      </c>
      <c r="G361" s="109" t="s">
        <v>16</v>
      </c>
      <c r="H361" s="213">
        <v>1.071019201E9</v>
      </c>
      <c r="I361" s="109">
        <v>43656.0</v>
      </c>
      <c r="J361" s="109">
        <v>43656.0</v>
      </c>
      <c r="K361" s="109">
        <v>43671.0</v>
      </c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109">
        <v>43656.0</v>
      </c>
      <c r="Y361" s="109">
        <v>43839.0</v>
      </c>
      <c r="Z361" s="109"/>
      <c r="AA361" s="109"/>
      <c r="AB361" s="137"/>
      <c r="AC361" s="109" t="s">
        <v>62</v>
      </c>
      <c r="AD361" s="109">
        <v>36197.0</v>
      </c>
      <c r="AE361" s="109" t="s">
        <v>5051</v>
      </c>
      <c r="AF361" s="109" t="s">
        <v>4325</v>
      </c>
      <c r="AG361" s="109"/>
      <c r="AH361" s="109">
        <v>9.061137918E9</v>
      </c>
      <c r="AI361" s="109"/>
      <c r="AJ361" s="109" t="s">
        <v>3274</v>
      </c>
      <c r="AK361" s="109" t="s">
        <v>5052</v>
      </c>
      <c r="AL361" s="109" t="s">
        <v>5053</v>
      </c>
      <c r="AM361" s="109" t="s">
        <v>5054</v>
      </c>
      <c r="AN361" s="109" t="s">
        <v>5055</v>
      </c>
      <c r="AO361" s="109"/>
      <c r="AP361" s="109"/>
      <c r="AQ361" s="142" t="s">
        <v>5056</v>
      </c>
      <c r="AR361" s="218" t="s">
        <v>5057</v>
      </c>
      <c r="AS361" s="109">
        <v>43876.0</v>
      </c>
    </row>
    <row r="362" ht="14.25" customHeight="1">
      <c r="A362" s="188">
        <v>357.0</v>
      </c>
      <c r="B362" s="158" t="s">
        <v>5058</v>
      </c>
      <c r="C362" s="158" t="s">
        <v>5059</v>
      </c>
      <c r="D362" s="158" t="s">
        <v>5060</v>
      </c>
      <c r="E362" s="109" t="s">
        <v>133</v>
      </c>
      <c r="F362" s="109" t="s">
        <v>56</v>
      </c>
      <c r="G362" s="109" t="s">
        <v>57</v>
      </c>
      <c r="H362" s="109">
        <v>1.092513189E9</v>
      </c>
      <c r="I362" s="109">
        <v>41634.0</v>
      </c>
      <c r="J362" s="109">
        <v>41542.0</v>
      </c>
      <c r="K362" s="109">
        <v>41633.0</v>
      </c>
      <c r="L362" s="109">
        <v>41634.0</v>
      </c>
      <c r="M362" s="109">
        <v>41784.0</v>
      </c>
      <c r="N362" s="109"/>
      <c r="O362" s="109"/>
      <c r="P362" s="109"/>
      <c r="Q362" s="109"/>
      <c r="R362" s="109">
        <v>41785.0</v>
      </c>
      <c r="S362" s="109">
        <v>42515.0</v>
      </c>
      <c r="T362" s="109">
        <v>42516.0</v>
      </c>
      <c r="U362" s="109">
        <v>42881.0</v>
      </c>
      <c r="V362" s="109"/>
      <c r="W362" s="109"/>
      <c r="X362" s="109"/>
      <c r="Y362" s="109"/>
      <c r="Z362" s="109"/>
      <c r="AA362" s="109"/>
      <c r="AB362" s="137">
        <v>42828.0</v>
      </c>
      <c r="AC362" s="109" t="s">
        <v>107</v>
      </c>
      <c r="AD362" s="109">
        <v>33626.0</v>
      </c>
      <c r="AE362" s="109" t="s">
        <v>5061</v>
      </c>
      <c r="AF362" s="109" t="s">
        <v>4325</v>
      </c>
      <c r="AG362" s="109" t="s">
        <v>5062</v>
      </c>
      <c r="AH362" s="109">
        <v>9.165542946E9</v>
      </c>
      <c r="AI362" s="109"/>
      <c r="AJ362" s="109" t="s">
        <v>2448</v>
      </c>
      <c r="AK362" s="109" t="s">
        <v>5063</v>
      </c>
      <c r="AL362" s="202" t="s">
        <v>5064</v>
      </c>
      <c r="AM362" s="202" t="s">
        <v>5065</v>
      </c>
      <c r="AN362" s="109" t="s">
        <v>5066</v>
      </c>
      <c r="AO362" s="109">
        <v>1.0</v>
      </c>
      <c r="AP362" s="109" t="s">
        <v>5067</v>
      </c>
      <c r="AQ362" s="142" t="s">
        <v>5068</v>
      </c>
      <c r="AR362" s="218" t="s">
        <v>5069</v>
      </c>
      <c r="AS362" s="109">
        <v>43860.0</v>
      </c>
    </row>
    <row r="363" ht="18.0" customHeight="1">
      <c r="A363" s="188">
        <v>358.0</v>
      </c>
      <c r="B363" s="158" t="s">
        <v>5070</v>
      </c>
      <c r="C363" s="158" t="s">
        <v>1424</v>
      </c>
      <c r="D363" s="158" t="s">
        <v>5071</v>
      </c>
      <c r="E363" s="109" t="s">
        <v>5072</v>
      </c>
      <c r="F363" s="109" t="s">
        <v>56</v>
      </c>
      <c r="G363" s="109" t="s">
        <v>57</v>
      </c>
      <c r="H363" s="109">
        <v>1.083016328E9</v>
      </c>
      <c r="I363" s="109">
        <v>42626.0</v>
      </c>
      <c r="J363" s="109">
        <v>42612.0</v>
      </c>
      <c r="K363" s="109">
        <v>42625.0</v>
      </c>
      <c r="L363" s="109">
        <v>42626.0</v>
      </c>
      <c r="M363" s="109">
        <v>42779.0</v>
      </c>
      <c r="N363" s="109"/>
      <c r="O363" s="109"/>
      <c r="P363" s="109"/>
      <c r="Q363" s="109"/>
      <c r="R363" s="109">
        <v>42780.0</v>
      </c>
      <c r="S363" s="109">
        <v>43509.0</v>
      </c>
      <c r="T363" s="109"/>
      <c r="U363" s="109"/>
      <c r="V363" s="109"/>
      <c r="W363" s="109"/>
      <c r="X363" s="109"/>
      <c r="Y363" s="109"/>
      <c r="Z363" s="109"/>
      <c r="AA363" s="109"/>
      <c r="AB363" s="137">
        <v>42828.0</v>
      </c>
      <c r="AC363" s="109" t="s">
        <v>62</v>
      </c>
      <c r="AD363" s="109">
        <v>34436.0</v>
      </c>
      <c r="AE363" s="109" t="s">
        <v>5073</v>
      </c>
      <c r="AF363" s="109" t="s">
        <v>1403</v>
      </c>
      <c r="AG363" s="109" t="s">
        <v>5074</v>
      </c>
      <c r="AH363" s="109">
        <v>9.496374975E9</v>
      </c>
      <c r="AI363" s="109"/>
      <c r="AJ363" s="109" t="s">
        <v>1847</v>
      </c>
      <c r="AK363" s="109" t="s">
        <v>5075</v>
      </c>
      <c r="AL363" s="109" t="s">
        <v>5076</v>
      </c>
      <c r="AM363" s="109" t="s">
        <v>5077</v>
      </c>
      <c r="AN363" s="109">
        <v>3.31618748E8</v>
      </c>
      <c r="AO363" s="109">
        <v>1.0</v>
      </c>
      <c r="AP363" s="109" t="s">
        <v>5078</v>
      </c>
      <c r="AQ363" s="142" t="s">
        <v>5079</v>
      </c>
      <c r="AR363" s="218" t="s">
        <v>5069</v>
      </c>
      <c r="AS363" s="109">
        <v>43850.0</v>
      </c>
    </row>
    <row r="364" ht="14.25" customHeight="1">
      <c r="A364" s="188">
        <v>359.0</v>
      </c>
      <c r="B364" s="158" t="s">
        <v>5080</v>
      </c>
      <c r="C364" s="158" t="s">
        <v>5081</v>
      </c>
      <c r="D364" s="158" t="s">
        <v>5082</v>
      </c>
      <c r="E364" s="109" t="s">
        <v>881</v>
      </c>
      <c r="F364" s="109" t="s">
        <v>4135</v>
      </c>
      <c r="G364" s="109" t="s">
        <v>57</v>
      </c>
      <c r="H364" s="109">
        <v>1.062117379E9</v>
      </c>
      <c r="I364" s="109">
        <v>42907.0</v>
      </c>
      <c r="J364" s="109"/>
      <c r="K364" s="109"/>
      <c r="L364" s="109"/>
      <c r="M364" s="109"/>
      <c r="N364" s="109"/>
      <c r="O364" s="109"/>
      <c r="P364" s="109"/>
      <c r="Q364" s="109"/>
      <c r="R364" s="109"/>
      <c r="S364" s="109"/>
      <c r="T364" s="109"/>
      <c r="U364" s="109"/>
      <c r="V364" s="109"/>
      <c r="W364" s="109"/>
      <c r="X364" s="109">
        <v>42907.0</v>
      </c>
      <c r="Y364" s="109">
        <v>43089.0</v>
      </c>
      <c r="Z364" s="109"/>
      <c r="AA364" s="109"/>
      <c r="AB364" s="137">
        <v>43090.0</v>
      </c>
      <c r="AC364" s="109" t="s">
        <v>107</v>
      </c>
      <c r="AD364" s="109">
        <v>32354.0</v>
      </c>
      <c r="AE364" s="109" t="s">
        <v>5083</v>
      </c>
      <c r="AF364" s="109" t="s">
        <v>5084</v>
      </c>
      <c r="AG364" s="109" t="s">
        <v>5085</v>
      </c>
      <c r="AH364" s="109">
        <v>9.758716968E9</v>
      </c>
      <c r="AI364" s="109"/>
      <c r="AJ364" s="109" t="s">
        <v>5086</v>
      </c>
      <c r="AK364" s="109" t="s">
        <v>5087</v>
      </c>
      <c r="AL364" s="109" t="s">
        <v>5088</v>
      </c>
      <c r="AM364" s="109" t="s">
        <v>5089</v>
      </c>
      <c r="AN364" s="109" t="s">
        <v>5090</v>
      </c>
      <c r="AO364" s="109">
        <v>1.0</v>
      </c>
      <c r="AP364" s="109" t="s">
        <v>5091</v>
      </c>
      <c r="AQ364" s="142" t="s">
        <v>5092</v>
      </c>
      <c r="AR364" s="218" t="s">
        <v>5093</v>
      </c>
      <c r="AS364" s="109">
        <v>43860.0</v>
      </c>
    </row>
    <row r="365" ht="14.25" customHeight="1">
      <c r="A365" s="188">
        <v>360.0</v>
      </c>
      <c r="B365" s="231" t="s">
        <v>2233</v>
      </c>
      <c r="C365" s="231" t="s">
        <v>2733</v>
      </c>
      <c r="D365" s="231" t="s">
        <v>2233</v>
      </c>
      <c r="E365" s="109" t="s">
        <v>4303</v>
      </c>
      <c r="F365" s="109" t="s">
        <v>56</v>
      </c>
      <c r="G365" s="109" t="s">
        <v>16</v>
      </c>
      <c r="H365" s="109">
        <v>1.073019202E9</v>
      </c>
      <c r="I365" s="109" t="s">
        <v>5094</v>
      </c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>
        <v>43677.0</v>
      </c>
      <c r="Y365" s="19">
        <v>43860.0</v>
      </c>
      <c r="Z365" s="19"/>
      <c r="AA365" s="19"/>
      <c r="AB365" s="19"/>
      <c r="AC365" s="19" t="s">
        <v>62</v>
      </c>
      <c r="AD365" s="19">
        <v>30544.0</v>
      </c>
      <c r="AE365" s="19" t="s">
        <v>5095</v>
      </c>
      <c r="AF365" s="19" t="s">
        <v>1168</v>
      </c>
      <c r="AG365" s="19"/>
      <c r="AH365" s="19">
        <v>9.192572758E9</v>
      </c>
      <c r="AI365" s="19"/>
      <c r="AJ365" s="19" t="s">
        <v>5096</v>
      </c>
      <c r="AK365" s="19" t="s">
        <v>5097</v>
      </c>
      <c r="AL365" s="19" t="s">
        <v>5098</v>
      </c>
      <c r="AM365" s="19" t="s">
        <v>5099</v>
      </c>
      <c r="AN365" s="19" t="s">
        <v>5100</v>
      </c>
      <c r="AO365" s="19"/>
      <c r="AP365" s="19"/>
      <c r="AQ365" s="228" t="s">
        <v>5101</v>
      </c>
      <c r="AR365" s="109" t="s">
        <v>5102</v>
      </c>
      <c r="AS365" s="109">
        <v>43860.0</v>
      </c>
      <c r="AT365" s="42"/>
      <c r="AU365" s="42"/>
      <c r="AV365" s="42"/>
      <c r="AW365" s="42"/>
      <c r="AX365" s="42"/>
      <c r="AY365" s="42"/>
      <c r="AZ365" s="42"/>
      <c r="BA365" s="42"/>
      <c r="BB365" s="42"/>
      <c r="BC365" s="42"/>
      <c r="BD365" s="42"/>
      <c r="BE365" s="42"/>
      <c r="BF365" s="42"/>
      <c r="BG365" s="42"/>
      <c r="BH365" s="42"/>
      <c r="BI365" s="42"/>
      <c r="BJ365" s="42"/>
      <c r="BK365" s="42"/>
      <c r="BL365" s="42"/>
      <c r="BM365" s="42"/>
    </row>
    <row r="366" ht="14.25" customHeight="1">
      <c r="A366" s="188">
        <v>361.0</v>
      </c>
      <c r="B366" s="158" t="s">
        <v>5103</v>
      </c>
      <c r="C366" s="142" t="s">
        <v>5104</v>
      </c>
      <c r="D366" s="158" t="s">
        <v>5105</v>
      </c>
      <c r="E366" s="109" t="s">
        <v>82</v>
      </c>
      <c r="F366" s="109" t="s">
        <v>4135</v>
      </c>
      <c r="G366" s="109" t="s">
        <v>16</v>
      </c>
      <c r="H366" s="109">
        <v>1.080319204E9</v>
      </c>
      <c r="I366" s="109">
        <v>43680.0</v>
      </c>
      <c r="J366" s="109">
        <v>43680.0</v>
      </c>
      <c r="K366" s="109">
        <v>43695.0</v>
      </c>
      <c r="L366" s="109"/>
      <c r="M366" s="109"/>
      <c r="N366" s="109"/>
      <c r="O366" s="109"/>
      <c r="P366" s="109"/>
      <c r="Q366" s="109"/>
      <c r="R366" s="109"/>
      <c r="S366" s="109"/>
      <c r="T366" s="109"/>
      <c r="U366" s="109"/>
      <c r="V366" s="109"/>
      <c r="W366" s="109"/>
      <c r="X366" s="109">
        <v>43680.0</v>
      </c>
      <c r="Y366" s="109">
        <v>43863.0</v>
      </c>
      <c r="Z366" s="109"/>
      <c r="AA366" s="109"/>
      <c r="AB366" s="137"/>
      <c r="AC366" s="109" t="s">
        <v>62</v>
      </c>
      <c r="AD366" s="109">
        <v>35223.0</v>
      </c>
      <c r="AE366" s="109" t="s">
        <v>5106</v>
      </c>
      <c r="AF366" s="109" t="s">
        <v>5107</v>
      </c>
      <c r="AG366" s="109" t="s">
        <v>5108</v>
      </c>
      <c r="AH366" s="109">
        <v>9.268003704E9</v>
      </c>
      <c r="AI366" s="109"/>
      <c r="AJ366" s="109" t="s">
        <v>4492</v>
      </c>
      <c r="AK366" s="109" t="s">
        <v>5109</v>
      </c>
      <c r="AL366" s="109" t="s">
        <v>5110</v>
      </c>
      <c r="AM366" s="109" t="s">
        <v>5111</v>
      </c>
      <c r="AN366" s="217" t="s">
        <v>5112</v>
      </c>
      <c r="AO366" s="109"/>
      <c r="AP366" s="109"/>
      <c r="AQ366" s="142" t="s">
        <v>5113</v>
      </c>
      <c r="AR366" s="218" t="s">
        <v>5102</v>
      </c>
      <c r="AS366" s="109">
        <v>43863.0</v>
      </c>
    </row>
    <row r="367" ht="18.0" customHeight="1">
      <c r="A367" s="188">
        <v>362.0</v>
      </c>
      <c r="B367" s="229" t="s">
        <v>2233</v>
      </c>
      <c r="C367" s="229" t="s">
        <v>1338</v>
      </c>
      <c r="D367" s="229" t="s">
        <v>5114</v>
      </c>
      <c r="E367" s="109" t="s">
        <v>561</v>
      </c>
      <c r="F367" s="109" t="s">
        <v>56</v>
      </c>
      <c r="G367" s="109" t="s">
        <v>57</v>
      </c>
      <c r="H367" s="109">
        <v>1.090111066E9</v>
      </c>
      <c r="I367" s="109">
        <v>40787.0</v>
      </c>
      <c r="J367" s="109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109">
        <v>40787.0</v>
      </c>
      <c r="Y367" s="109">
        <v>40969.0</v>
      </c>
      <c r="Z367" s="109"/>
      <c r="AA367" s="109"/>
      <c r="AB367" s="109">
        <v>41000.0</v>
      </c>
      <c r="AC367" s="109" t="s">
        <v>107</v>
      </c>
      <c r="AD367" s="232">
        <v>31862.0</v>
      </c>
      <c r="AE367" s="109" t="s">
        <v>5115</v>
      </c>
      <c r="AF367" s="109"/>
      <c r="AG367" s="109" t="s">
        <v>5116</v>
      </c>
      <c r="AH367" s="109">
        <v>9.123131323E9</v>
      </c>
      <c r="AI367" s="109"/>
      <c r="AJ367" s="109" t="s">
        <v>1834</v>
      </c>
      <c r="AK367" s="109" t="s">
        <v>5117</v>
      </c>
      <c r="AL367" s="109" t="s">
        <v>5118</v>
      </c>
      <c r="AM367" s="109" t="s">
        <v>5119</v>
      </c>
      <c r="AN367" s="109" t="s">
        <v>5120</v>
      </c>
      <c r="AO367" s="109">
        <v>2.0</v>
      </c>
      <c r="AP367" s="109" t="s">
        <v>5121</v>
      </c>
      <c r="AQ367" s="142" t="s">
        <v>5122</v>
      </c>
      <c r="AR367" s="29" t="s">
        <v>5123</v>
      </c>
      <c r="AS367" s="133">
        <v>43871.0</v>
      </c>
    </row>
    <row r="368" ht="16.5" customHeight="1">
      <c r="A368" s="188">
        <v>363.0</v>
      </c>
      <c r="B368" s="158" t="s">
        <v>5124</v>
      </c>
      <c r="C368" s="158" t="s">
        <v>5125</v>
      </c>
      <c r="D368" s="158" t="s">
        <v>5126</v>
      </c>
      <c r="E368" s="109" t="s">
        <v>1059</v>
      </c>
      <c r="F368" s="109" t="s">
        <v>177</v>
      </c>
      <c r="G368" s="109" t="s">
        <v>16</v>
      </c>
      <c r="H368" s="213">
        <v>1.10111922E9</v>
      </c>
      <c r="I368" s="109">
        <v>43749.0</v>
      </c>
      <c r="J368" s="109">
        <v>43749.0</v>
      </c>
      <c r="K368" s="109">
        <v>43764.0</v>
      </c>
      <c r="L368" s="109"/>
      <c r="M368" s="109"/>
      <c r="N368" s="109"/>
      <c r="O368" s="109"/>
      <c r="P368" s="109"/>
      <c r="Q368" s="109"/>
      <c r="R368" s="109"/>
      <c r="S368" s="109"/>
      <c r="T368" s="109"/>
      <c r="U368" s="109"/>
      <c r="V368" s="109"/>
      <c r="W368" s="109"/>
      <c r="X368" s="109">
        <v>43749.0</v>
      </c>
      <c r="Y368" s="109">
        <v>43931.0</v>
      </c>
      <c r="Z368" s="109"/>
      <c r="AA368" s="109"/>
      <c r="AB368" s="137"/>
      <c r="AC368" s="109" t="s">
        <v>62</v>
      </c>
      <c r="AD368" s="109">
        <v>36319.0</v>
      </c>
      <c r="AE368" s="109" t="s">
        <v>5127</v>
      </c>
      <c r="AF368" s="109" t="s">
        <v>4589</v>
      </c>
      <c r="AG368" s="109" t="s">
        <v>5128</v>
      </c>
      <c r="AH368" s="109">
        <v>9.759111736E9</v>
      </c>
      <c r="AI368" s="109"/>
      <c r="AJ368" s="109" t="s">
        <v>5129</v>
      </c>
      <c r="AK368" s="109" t="s">
        <v>5130</v>
      </c>
      <c r="AL368" s="202" t="s">
        <v>5131</v>
      </c>
      <c r="AM368" s="202" t="s">
        <v>5132</v>
      </c>
      <c r="AN368" s="109" t="s">
        <v>5133</v>
      </c>
      <c r="AO368" s="109"/>
      <c r="AP368" s="109"/>
      <c r="AQ368" s="142"/>
      <c r="AR368" s="109" t="s">
        <v>983</v>
      </c>
      <c r="AS368" s="109">
        <v>43891.0</v>
      </c>
    </row>
    <row r="369" ht="14.25" customHeight="1">
      <c r="A369" s="188">
        <v>364.0</v>
      </c>
      <c r="B369" s="158" t="s">
        <v>5134</v>
      </c>
      <c r="C369" s="142" t="s">
        <v>4197</v>
      </c>
      <c r="D369" s="158" t="s">
        <v>5135</v>
      </c>
      <c r="E369" s="109" t="s">
        <v>2047</v>
      </c>
      <c r="F369" s="109" t="s">
        <v>161</v>
      </c>
      <c r="G369" s="109" t="s">
        <v>16</v>
      </c>
      <c r="H369" s="213"/>
      <c r="I369" s="109">
        <v>43881.0</v>
      </c>
      <c r="J369" s="109">
        <v>43881.0</v>
      </c>
      <c r="K369" s="109">
        <v>43896.0</v>
      </c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109">
        <v>43881.0</v>
      </c>
      <c r="Y369" s="109">
        <v>44062.0</v>
      </c>
      <c r="Z369" s="109"/>
      <c r="AA369" s="109"/>
      <c r="AB369" s="137"/>
      <c r="AC369" s="109"/>
      <c r="AD369" s="109"/>
      <c r="AE369" s="109"/>
      <c r="AF369" s="109"/>
      <c r="AG369" s="109"/>
      <c r="AH369" s="109"/>
      <c r="AI369" s="109"/>
      <c r="AJ369" s="109"/>
      <c r="AK369" s="109"/>
      <c r="AL369" s="109"/>
      <c r="AM369" s="109"/>
      <c r="AN369" s="109"/>
      <c r="AO369" s="109"/>
      <c r="AP369" s="109"/>
      <c r="AQ369" s="142"/>
      <c r="AR369" s="109"/>
      <c r="AS369" s="109"/>
    </row>
    <row r="370" ht="14.25" customHeight="1">
      <c r="A370" s="188">
        <v>365.0</v>
      </c>
      <c r="B370" s="158" t="s">
        <v>5136</v>
      </c>
      <c r="C370" s="158" t="s">
        <v>3539</v>
      </c>
      <c r="D370" s="158" t="s">
        <v>5137</v>
      </c>
      <c r="E370" s="109" t="s">
        <v>561</v>
      </c>
      <c r="F370" s="109" t="s">
        <v>4135</v>
      </c>
      <c r="G370" s="109" t="s">
        <v>57</v>
      </c>
      <c r="H370" s="109">
        <v>1.122717407E9</v>
      </c>
      <c r="I370" s="109">
        <v>43096.0</v>
      </c>
      <c r="J370" s="109"/>
      <c r="K370" s="109"/>
      <c r="L370" s="109"/>
      <c r="M370" s="109"/>
      <c r="N370" s="109"/>
      <c r="O370" s="109"/>
      <c r="P370" s="109"/>
      <c r="Q370" s="109"/>
      <c r="R370" s="109"/>
      <c r="S370" s="109"/>
      <c r="T370" s="109"/>
      <c r="U370" s="109"/>
      <c r="V370" s="109"/>
      <c r="W370" s="109"/>
      <c r="X370" s="109">
        <v>43096.0</v>
      </c>
      <c r="Y370" s="109">
        <v>43277.0</v>
      </c>
      <c r="Z370" s="109"/>
      <c r="AA370" s="109"/>
      <c r="AB370" s="137">
        <v>43278.0</v>
      </c>
      <c r="AC370" s="109" t="s">
        <v>62</v>
      </c>
      <c r="AD370" s="109">
        <v>34942.0</v>
      </c>
      <c r="AE370" s="109" t="s">
        <v>5138</v>
      </c>
      <c r="AF370" s="109" t="s">
        <v>4325</v>
      </c>
      <c r="AG370" s="109" t="s">
        <v>5139</v>
      </c>
      <c r="AH370" s="109">
        <v>9.073744434E9</v>
      </c>
      <c r="AI370" s="109"/>
      <c r="AJ370" s="109" t="s">
        <v>5140</v>
      </c>
      <c r="AK370" s="109" t="s">
        <v>5141</v>
      </c>
      <c r="AL370" s="109" t="s">
        <v>5142</v>
      </c>
      <c r="AM370" s="205" t="s">
        <v>5143</v>
      </c>
      <c r="AN370" s="109" t="s">
        <v>5144</v>
      </c>
      <c r="AO370" s="109"/>
      <c r="AP370" s="109"/>
      <c r="AQ370" s="142" t="s">
        <v>5145</v>
      </c>
      <c r="AR370" s="109" t="s">
        <v>5146</v>
      </c>
      <c r="AS370" s="109">
        <v>43903.0</v>
      </c>
    </row>
    <row r="371" ht="18.0" customHeight="1">
      <c r="A371" s="188">
        <v>366.0</v>
      </c>
      <c r="B371" s="229" t="s">
        <v>1575</v>
      </c>
      <c r="C371" s="229" t="s">
        <v>5147</v>
      </c>
      <c r="D371" s="229" t="s">
        <v>2012</v>
      </c>
      <c r="E371" s="109" t="s">
        <v>717</v>
      </c>
      <c r="F371" s="109" t="s">
        <v>4135</v>
      </c>
      <c r="G371" s="109" t="s">
        <v>57</v>
      </c>
      <c r="H371" s="109">
        <v>1.021018416E9</v>
      </c>
      <c r="I371" s="109">
        <v>43141.0</v>
      </c>
      <c r="J371" s="109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109">
        <v>43141.0</v>
      </c>
      <c r="Y371" s="109">
        <v>43321.0</v>
      </c>
      <c r="Z371" s="109"/>
      <c r="AA371" s="109"/>
      <c r="AB371" s="109">
        <v>43321.0</v>
      </c>
      <c r="AC371" s="162" t="s">
        <v>62</v>
      </c>
      <c r="AD371" s="109">
        <v>33221.0</v>
      </c>
      <c r="AE371" s="109" t="s">
        <v>5148</v>
      </c>
      <c r="AF371" s="109"/>
      <c r="AG371" s="109" t="s">
        <v>5149</v>
      </c>
      <c r="AH371" s="109">
        <v>9.612504357E9</v>
      </c>
      <c r="AI371" s="109"/>
      <c r="AJ371" s="109" t="s">
        <v>5150</v>
      </c>
      <c r="AK371" s="109" t="s">
        <v>5151</v>
      </c>
      <c r="AL371" s="109" t="s">
        <v>5152</v>
      </c>
      <c r="AM371" s="205" t="s">
        <v>5153</v>
      </c>
      <c r="AN371" s="109" t="s">
        <v>5154</v>
      </c>
      <c r="AO371" s="109"/>
      <c r="AP371" s="109"/>
      <c r="AQ371" s="142" t="s">
        <v>5155</v>
      </c>
      <c r="AR371" s="86" t="s">
        <v>5156</v>
      </c>
      <c r="AS371" s="133">
        <v>44053.0</v>
      </c>
      <c r="AT371" s="29"/>
      <c r="AU371" s="29"/>
      <c r="AV371" s="29"/>
      <c r="AW371" s="29"/>
      <c r="AX371" s="29"/>
      <c r="AY371" s="29"/>
      <c r="AZ371" s="29"/>
      <c r="BA371" s="29"/>
    </row>
    <row r="372" ht="14.25" customHeight="1">
      <c r="A372" s="188">
        <v>367.0</v>
      </c>
      <c r="B372" s="158" t="s">
        <v>5157</v>
      </c>
      <c r="C372" s="158" t="s">
        <v>5158</v>
      </c>
      <c r="D372" s="158" t="s">
        <v>5159</v>
      </c>
      <c r="E372" s="109" t="s">
        <v>550</v>
      </c>
      <c r="F372" s="109" t="s">
        <v>451</v>
      </c>
      <c r="G372" s="109" t="s">
        <v>57</v>
      </c>
      <c r="H372" s="109">
        <v>1.111918155E9</v>
      </c>
      <c r="I372" s="109">
        <v>43423.0</v>
      </c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>
        <v>43423.0</v>
      </c>
      <c r="Y372" s="109">
        <v>43603.0</v>
      </c>
      <c r="Z372" s="109"/>
      <c r="AA372" s="109"/>
      <c r="AB372" s="137">
        <v>43604.0</v>
      </c>
      <c r="AC372" s="109" t="s">
        <v>62</v>
      </c>
      <c r="AD372" s="109">
        <v>34882.0</v>
      </c>
      <c r="AE372" s="109" t="s">
        <v>5160</v>
      </c>
      <c r="AF372" s="109" t="s">
        <v>4385</v>
      </c>
      <c r="AG372" s="109" t="s">
        <v>5161</v>
      </c>
      <c r="AH372" s="109">
        <v>9.269792958E9</v>
      </c>
      <c r="AI372" s="109"/>
      <c r="AJ372" s="109" t="s">
        <v>4960</v>
      </c>
      <c r="AK372" s="109" t="s">
        <v>5162</v>
      </c>
      <c r="AL372" s="109" t="s">
        <v>5163</v>
      </c>
      <c r="AM372" s="109" t="s">
        <v>5164</v>
      </c>
      <c r="AN372" s="109" t="s">
        <v>5165</v>
      </c>
      <c r="AO372" s="109"/>
      <c r="AP372" s="109"/>
      <c r="AQ372" s="215" t="s">
        <v>5166</v>
      </c>
      <c r="AR372" s="109" t="s">
        <v>5167</v>
      </c>
      <c r="AS372" s="109">
        <v>44089.0</v>
      </c>
    </row>
    <row r="373" ht="14.25" customHeight="1">
      <c r="A373" s="188">
        <v>368.0</v>
      </c>
      <c r="B373" s="158" t="s">
        <v>405</v>
      </c>
      <c r="C373" s="158" t="s">
        <v>5168</v>
      </c>
      <c r="D373" s="158" t="s">
        <v>5169</v>
      </c>
      <c r="E373" s="109" t="s">
        <v>550</v>
      </c>
      <c r="F373" s="109" t="s">
        <v>451</v>
      </c>
      <c r="G373" s="109" t="s">
        <v>16</v>
      </c>
      <c r="H373" s="109">
        <v>1.102819221E9</v>
      </c>
      <c r="I373" s="109">
        <v>43766.0</v>
      </c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>
        <v>43766.0</v>
      </c>
      <c r="Y373" s="109">
        <v>43948.0</v>
      </c>
      <c r="Z373" s="109"/>
      <c r="AA373" s="109"/>
      <c r="AB373" s="137"/>
      <c r="AC373" s="109" t="s">
        <v>62</v>
      </c>
      <c r="AD373" s="109">
        <v>35372.0</v>
      </c>
      <c r="AE373" s="109" t="s">
        <v>5170</v>
      </c>
      <c r="AF373" s="109" t="s">
        <v>4806</v>
      </c>
      <c r="AG373" s="109"/>
      <c r="AH373" s="109">
        <v>9.353816849E9</v>
      </c>
      <c r="AI373" s="109"/>
      <c r="AJ373" s="109" t="s">
        <v>5171</v>
      </c>
      <c r="AK373" s="109" t="s">
        <v>5172</v>
      </c>
      <c r="AL373" s="109" t="s">
        <v>5173</v>
      </c>
      <c r="AM373" s="109" t="s">
        <v>5174</v>
      </c>
      <c r="AN373" s="109" t="s">
        <v>5175</v>
      </c>
      <c r="AO373" s="109"/>
      <c r="AP373" s="109"/>
      <c r="AQ373" s="215" t="s">
        <v>5176</v>
      </c>
      <c r="AR373" s="109" t="s">
        <v>900</v>
      </c>
      <c r="AS373" s="109">
        <v>44012.0</v>
      </c>
    </row>
    <row r="374" ht="14.25" customHeight="1">
      <c r="A374" s="188">
        <v>369.0</v>
      </c>
      <c r="B374" s="158" t="s">
        <v>1510</v>
      </c>
      <c r="C374" s="158" t="s">
        <v>1511</v>
      </c>
      <c r="D374" s="158" t="s">
        <v>1512</v>
      </c>
      <c r="E374" s="109" t="s">
        <v>82</v>
      </c>
      <c r="F374" s="109" t="s">
        <v>4135</v>
      </c>
      <c r="G374" s="109" t="s">
        <v>16</v>
      </c>
      <c r="H374" s="109">
        <v>1.092019213E9</v>
      </c>
      <c r="I374" s="109">
        <v>43728.0</v>
      </c>
      <c r="J374" s="109">
        <v>43728.0</v>
      </c>
      <c r="K374" s="109" t="s">
        <v>5177</v>
      </c>
      <c r="L374" s="109"/>
      <c r="M374" s="109"/>
      <c r="N374" s="109"/>
      <c r="O374" s="109"/>
      <c r="P374" s="109"/>
      <c r="Q374" s="109"/>
      <c r="R374" s="109"/>
      <c r="S374" s="109"/>
      <c r="T374" s="109"/>
      <c r="U374" s="109"/>
      <c r="V374" s="109"/>
      <c r="W374" s="109"/>
      <c r="X374" s="109">
        <v>43728.0</v>
      </c>
      <c r="Y374" s="109">
        <v>43909.0</v>
      </c>
      <c r="Z374" s="109"/>
      <c r="AA374" s="109"/>
      <c r="AB374" s="137"/>
      <c r="AC374" s="109" t="s">
        <v>62</v>
      </c>
      <c r="AD374" s="109">
        <v>35678.0</v>
      </c>
      <c r="AE374" s="109" t="s">
        <v>5178</v>
      </c>
      <c r="AF374" s="109" t="s">
        <v>4806</v>
      </c>
      <c r="AG374" s="109" t="s">
        <v>5179</v>
      </c>
      <c r="AH374" s="109">
        <v>9.56415713E9</v>
      </c>
      <c r="AI374" s="109"/>
      <c r="AJ374" s="109" t="s">
        <v>5180</v>
      </c>
      <c r="AK374" s="109" t="s">
        <v>1516</v>
      </c>
      <c r="AL374" s="109" t="s">
        <v>1517</v>
      </c>
      <c r="AM374" s="109" t="s">
        <v>1518</v>
      </c>
      <c r="AN374" s="109" t="s">
        <v>1519</v>
      </c>
      <c r="AO374" s="109"/>
      <c r="AP374" s="109"/>
      <c r="AQ374" s="215" t="s">
        <v>5181</v>
      </c>
      <c r="AR374" s="133" t="s">
        <v>914</v>
      </c>
      <c r="AS374" s="109">
        <v>43910.0</v>
      </c>
    </row>
    <row r="375" ht="15.0" customHeight="1">
      <c r="A375" s="188">
        <v>370.0</v>
      </c>
      <c r="B375" s="158" t="s">
        <v>5182</v>
      </c>
      <c r="C375" s="142" t="s">
        <v>5183</v>
      </c>
      <c r="D375" s="158" t="s">
        <v>5184</v>
      </c>
      <c r="E375" s="109" t="s">
        <v>82</v>
      </c>
      <c r="F375" s="109" t="s">
        <v>4135</v>
      </c>
      <c r="G375" s="109" t="s">
        <v>16</v>
      </c>
      <c r="H375" s="109">
        <v>1.092019211E9</v>
      </c>
      <c r="I375" s="109">
        <v>43728.0</v>
      </c>
      <c r="J375" s="109">
        <v>43728.0</v>
      </c>
      <c r="K375" s="109">
        <v>43743.0</v>
      </c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109">
        <v>43728.0</v>
      </c>
      <c r="Y375" s="109">
        <v>43909.0</v>
      </c>
      <c r="Z375" s="109"/>
      <c r="AA375" s="109"/>
      <c r="AB375" s="137"/>
      <c r="AC375" s="109" t="s">
        <v>62</v>
      </c>
      <c r="AD375" s="109">
        <v>36092.0</v>
      </c>
      <c r="AE375" s="109" t="s">
        <v>5185</v>
      </c>
      <c r="AF375" s="109" t="s">
        <v>5186</v>
      </c>
      <c r="AG375" s="109" t="s">
        <v>5187</v>
      </c>
      <c r="AH375" s="109">
        <v>9.773094876E9</v>
      </c>
      <c r="AI375" s="109"/>
      <c r="AJ375" s="109" t="s">
        <v>4492</v>
      </c>
      <c r="AK375" s="109" t="s">
        <v>5188</v>
      </c>
      <c r="AL375" s="109" t="s">
        <v>5189</v>
      </c>
      <c r="AM375" s="109" t="s">
        <v>5190</v>
      </c>
      <c r="AN375" s="217" t="s">
        <v>5191</v>
      </c>
      <c r="AP375" s="109"/>
      <c r="AQ375" s="215" t="s">
        <v>5192</v>
      </c>
      <c r="AR375" s="133" t="s">
        <v>914</v>
      </c>
      <c r="AS375" s="109">
        <v>43910.0</v>
      </c>
    </row>
    <row r="376" ht="15.75" customHeight="1">
      <c r="A376" s="188">
        <v>371.0</v>
      </c>
      <c r="B376" s="158" t="s">
        <v>5193</v>
      </c>
      <c r="C376" s="158" t="s">
        <v>5194</v>
      </c>
      <c r="D376" s="158" t="s">
        <v>5195</v>
      </c>
      <c r="E376" s="109" t="s">
        <v>1881</v>
      </c>
      <c r="F376" s="109" t="s">
        <v>4135</v>
      </c>
      <c r="G376" s="109" t="s">
        <v>16</v>
      </c>
      <c r="H376" s="109">
        <v>1.092019212E9</v>
      </c>
      <c r="I376" s="109">
        <v>43728.0</v>
      </c>
      <c r="J376" s="109">
        <v>43728.0</v>
      </c>
      <c r="K376" s="109">
        <v>43743.0</v>
      </c>
      <c r="L376" s="109"/>
      <c r="M376" s="109"/>
      <c r="N376" s="109"/>
      <c r="O376" s="109"/>
      <c r="P376" s="109"/>
      <c r="Q376" s="109"/>
      <c r="R376" s="109"/>
      <c r="S376" s="109"/>
      <c r="T376" s="109"/>
      <c r="U376" s="109"/>
      <c r="V376" s="109"/>
      <c r="W376" s="109"/>
      <c r="X376" s="109">
        <v>43728.0</v>
      </c>
      <c r="Y376" s="109">
        <v>43909.0</v>
      </c>
      <c r="Z376" s="109"/>
      <c r="AA376" s="109"/>
      <c r="AB376" s="137"/>
      <c r="AC376" s="109" t="s">
        <v>62</v>
      </c>
      <c r="AD376" s="109">
        <v>35728.0</v>
      </c>
      <c r="AE376" s="109" t="s">
        <v>5196</v>
      </c>
      <c r="AF376" s="109" t="s">
        <v>4806</v>
      </c>
      <c r="AG376" s="109" t="s">
        <v>5197</v>
      </c>
      <c r="AH376" s="109">
        <v>9.06914679E9</v>
      </c>
      <c r="AI376" s="109"/>
      <c r="AJ376" s="109" t="s">
        <v>5180</v>
      </c>
      <c r="AK376" s="109" t="s">
        <v>5198</v>
      </c>
      <c r="AL376" s="109" t="s">
        <v>5199</v>
      </c>
      <c r="AM376" s="109" t="s">
        <v>5200</v>
      </c>
      <c r="AN376" s="109" t="s">
        <v>5201</v>
      </c>
      <c r="AO376" s="109"/>
      <c r="AP376" s="109"/>
      <c r="AQ376" s="215" t="s">
        <v>5202</v>
      </c>
      <c r="AR376" s="133" t="s">
        <v>914</v>
      </c>
      <c r="AS376" s="109">
        <v>43910.0</v>
      </c>
    </row>
    <row r="377" ht="14.25" customHeight="1">
      <c r="A377" s="188">
        <v>372.0</v>
      </c>
      <c r="B377" s="158" t="s">
        <v>5203</v>
      </c>
      <c r="C377" s="158" t="s">
        <v>5204</v>
      </c>
      <c r="D377" s="158" t="s">
        <v>84</v>
      </c>
      <c r="E377" s="109" t="s">
        <v>1881</v>
      </c>
      <c r="F377" s="109" t="s">
        <v>4135</v>
      </c>
      <c r="G377" s="109" t="s">
        <v>16</v>
      </c>
      <c r="H377" s="109">
        <v>1.100119216E9</v>
      </c>
      <c r="I377" s="109">
        <v>43739.0</v>
      </c>
      <c r="J377" s="109">
        <v>43739.0</v>
      </c>
      <c r="K377" s="109">
        <v>43754.0</v>
      </c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109">
        <v>43739.0</v>
      </c>
      <c r="Y377" s="109">
        <v>43921.0</v>
      </c>
      <c r="Z377" s="109"/>
      <c r="AA377" s="109"/>
      <c r="AB377" s="137"/>
      <c r="AC377" s="109" t="s">
        <v>62</v>
      </c>
      <c r="AD377" s="109">
        <v>35337.0</v>
      </c>
      <c r="AE377" s="109" t="s">
        <v>5205</v>
      </c>
      <c r="AF377" s="109" t="s">
        <v>4325</v>
      </c>
      <c r="AG377" s="109" t="s">
        <v>5206</v>
      </c>
      <c r="AH377" s="109">
        <v>9.173321507E9</v>
      </c>
      <c r="AI377" s="109"/>
      <c r="AJ377" s="109" t="s">
        <v>5207</v>
      </c>
      <c r="AK377" s="109" t="s">
        <v>5208</v>
      </c>
      <c r="AL377" s="109" t="s">
        <v>5209</v>
      </c>
      <c r="AM377" s="109" t="s">
        <v>5210</v>
      </c>
      <c r="AN377" s="109" t="s">
        <v>5211</v>
      </c>
      <c r="AO377" s="109"/>
      <c r="AP377" s="109"/>
      <c r="AQ377" s="215" t="s">
        <v>5212</v>
      </c>
      <c r="AR377" s="133" t="s">
        <v>914</v>
      </c>
      <c r="AS377" s="109">
        <v>43922.0</v>
      </c>
    </row>
    <row r="378" ht="14.25" customHeight="1">
      <c r="A378" s="188">
        <v>373.0</v>
      </c>
      <c r="B378" s="158" t="s">
        <v>5213</v>
      </c>
      <c r="C378" s="158" t="s">
        <v>5214</v>
      </c>
      <c r="D378" s="158" t="s">
        <v>5215</v>
      </c>
      <c r="E378" s="109" t="s">
        <v>1881</v>
      </c>
      <c r="F378" s="109" t="s">
        <v>4135</v>
      </c>
      <c r="G378" s="109" t="s">
        <v>16</v>
      </c>
      <c r="H378" s="109">
        <v>1.100119217E9</v>
      </c>
      <c r="I378" s="109">
        <v>43739.0</v>
      </c>
      <c r="J378" s="109">
        <v>43739.0</v>
      </c>
      <c r="K378" s="109">
        <v>43754.0</v>
      </c>
      <c r="L378" s="109"/>
      <c r="M378" s="109"/>
      <c r="N378" s="109"/>
      <c r="O378" s="109"/>
      <c r="P378" s="109"/>
      <c r="Q378" s="109"/>
      <c r="R378" s="109"/>
      <c r="S378" s="109"/>
      <c r="T378" s="109"/>
      <c r="U378" s="109"/>
      <c r="V378" s="109"/>
      <c r="W378" s="109"/>
      <c r="X378" s="109">
        <v>43739.0</v>
      </c>
      <c r="Y378" s="109">
        <v>43921.0</v>
      </c>
      <c r="Z378" s="109"/>
      <c r="AA378" s="109"/>
      <c r="AB378" s="137"/>
      <c r="AC378" s="109" t="s">
        <v>62</v>
      </c>
      <c r="AD378" s="109">
        <v>36394.0</v>
      </c>
      <c r="AE378" s="109" t="s">
        <v>5216</v>
      </c>
      <c r="AF378" s="109" t="s">
        <v>5217</v>
      </c>
      <c r="AG378" s="109" t="s">
        <v>5218</v>
      </c>
      <c r="AH378" s="109">
        <v>9.056547263E9</v>
      </c>
      <c r="AI378" s="109"/>
      <c r="AJ378" s="109" t="s">
        <v>5219</v>
      </c>
      <c r="AK378" s="109" t="s">
        <v>5220</v>
      </c>
      <c r="AL378" s="109" t="s">
        <v>5221</v>
      </c>
      <c r="AM378" s="109" t="s">
        <v>5222</v>
      </c>
      <c r="AN378" s="109" t="s">
        <v>5223</v>
      </c>
      <c r="AO378" s="109"/>
      <c r="AP378" s="109"/>
      <c r="AQ378" s="215" t="s">
        <v>5224</v>
      </c>
      <c r="AR378" s="133" t="s">
        <v>914</v>
      </c>
      <c r="AS378" s="109">
        <v>43922.0</v>
      </c>
    </row>
    <row r="379" ht="14.25" customHeight="1">
      <c r="A379" s="188">
        <v>374.0</v>
      </c>
      <c r="B379" s="158" t="s">
        <v>5225</v>
      </c>
      <c r="C379" s="158" t="s">
        <v>5226</v>
      </c>
      <c r="D379" s="158" t="s">
        <v>5227</v>
      </c>
      <c r="E379" s="109" t="s">
        <v>1881</v>
      </c>
      <c r="F379" s="109" t="s">
        <v>4135</v>
      </c>
      <c r="G379" s="109" t="s">
        <v>16</v>
      </c>
      <c r="H379" s="109">
        <v>1.100119215E9</v>
      </c>
      <c r="I379" s="109">
        <v>43739.0</v>
      </c>
      <c r="J379" s="109">
        <v>43739.0</v>
      </c>
      <c r="K379" s="109">
        <v>43754.0</v>
      </c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109">
        <v>43739.0</v>
      </c>
      <c r="Y379" s="109">
        <v>43921.0</v>
      </c>
      <c r="Z379" s="109"/>
      <c r="AA379" s="109"/>
      <c r="AB379" s="137"/>
      <c r="AC379" s="109" t="s">
        <v>62</v>
      </c>
      <c r="AD379" s="109">
        <v>36155.0</v>
      </c>
      <c r="AE379" s="109" t="s">
        <v>5228</v>
      </c>
      <c r="AF379" s="109" t="s">
        <v>5229</v>
      </c>
      <c r="AG379" s="109" t="s">
        <v>5218</v>
      </c>
      <c r="AH379" s="109">
        <v>9.35332972E9</v>
      </c>
      <c r="AI379" s="109"/>
      <c r="AJ379" s="109" t="s">
        <v>5219</v>
      </c>
      <c r="AK379" s="109" t="s">
        <v>5230</v>
      </c>
      <c r="AL379" s="109" t="s">
        <v>5231</v>
      </c>
      <c r="AM379" s="109" t="s">
        <v>5232</v>
      </c>
      <c r="AN379" s="109" t="s">
        <v>5233</v>
      </c>
      <c r="AO379" s="109"/>
      <c r="AP379" s="109"/>
      <c r="AQ379" s="215" t="s">
        <v>5234</v>
      </c>
      <c r="AR379" s="133" t="s">
        <v>914</v>
      </c>
      <c r="AS379" s="109">
        <v>43922.0</v>
      </c>
    </row>
    <row r="380" ht="14.25" customHeight="1">
      <c r="A380" s="188">
        <v>375.0</v>
      </c>
      <c r="B380" s="142" t="s">
        <v>5235</v>
      </c>
      <c r="C380" s="142" t="s">
        <v>3578</v>
      </c>
      <c r="D380" s="142" t="s">
        <v>5236</v>
      </c>
      <c r="E380" s="109" t="s">
        <v>82</v>
      </c>
      <c r="F380" s="109" t="s">
        <v>4135</v>
      </c>
      <c r="G380" s="109" t="s">
        <v>16</v>
      </c>
      <c r="H380" s="109">
        <v>1.100319219E9</v>
      </c>
      <c r="I380" s="109">
        <v>43741.0</v>
      </c>
      <c r="J380" s="109">
        <v>43741.0</v>
      </c>
      <c r="K380" s="109">
        <v>43756.0</v>
      </c>
      <c r="L380" s="109"/>
      <c r="M380" s="109"/>
      <c r="N380" s="109"/>
      <c r="O380" s="109"/>
      <c r="P380" s="109"/>
      <c r="Q380" s="109"/>
      <c r="R380" s="109"/>
      <c r="S380" s="109"/>
      <c r="T380" s="109"/>
      <c r="U380" s="109"/>
      <c r="V380" s="109"/>
      <c r="W380" s="109"/>
      <c r="X380" s="109">
        <v>43741.0</v>
      </c>
      <c r="Y380" s="109">
        <v>43923.0</v>
      </c>
      <c r="Z380" s="109"/>
      <c r="AA380" s="109"/>
      <c r="AB380" s="137"/>
      <c r="AC380" s="109" t="s">
        <v>62</v>
      </c>
      <c r="AD380" s="109">
        <v>34939.0</v>
      </c>
      <c r="AE380" s="109" t="s">
        <v>5237</v>
      </c>
      <c r="AF380" s="109" t="s">
        <v>5217</v>
      </c>
      <c r="AG380" s="109" t="s">
        <v>5108</v>
      </c>
      <c r="AH380" s="218">
        <v>9.263882001E9</v>
      </c>
      <c r="AI380" s="233" t="s">
        <v>5238</v>
      </c>
      <c r="AJ380" s="226" t="s">
        <v>5239</v>
      </c>
      <c r="AK380" s="109" t="s">
        <v>5240</v>
      </c>
      <c r="AL380" s="109" t="s">
        <v>5241</v>
      </c>
      <c r="AM380" s="217" t="s">
        <v>5242</v>
      </c>
      <c r="AN380" s="217" t="s">
        <v>5243</v>
      </c>
      <c r="AO380" s="86"/>
      <c r="AP380" s="109"/>
      <c r="AQ380" s="215" t="s">
        <v>5244</v>
      </c>
      <c r="AR380" s="133" t="s">
        <v>914</v>
      </c>
      <c r="AS380" s="133">
        <v>43924.0</v>
      </c>
    </row>
    <row r="381" ht="18.0" customHeight="1">
      <c r="A381" s="188">
        <v>376.0</v>
      </c>
      <c r="B381" s="158" t="s">
        <v>1636</v>
      </c>
      <c r="C381" s="158" t="s">
        <v>5245</v>
      </c>
      <c r="D381" s="158" t="s">
        <v>1638</v>
      </c>
      <c r="E381" s="109" t="s">
        <v>82</v>
      </c>
      <c r="F381" s="109" t="s">
        <v>4135</v>
      </c>
      <c r="G381" s="109" t="s">
        <v>16</v>
      </c>
      <c r="H381" s="213">
        <v>1.101819222E9</v>
      </c>
      <c r="I381" s="109" t="s">
        <v>5246</v>
      </c>
      <c r="J381" s="109" t="s">
        <v>5246</v>
      </c>
      <c r="K381" s="109">
        <v>43771.0</v>
      </c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109" t="s">
        <v>5246</v>
      </c>
      <c r="Y381" s="109">
        <v>43938.0</v>
      </c>
      <c r="Z381" s="109"/>
      <c r="AA381" s="109"/>
      <c r="AB381" s="137"/>
      <c r="AC381" s="109" t="s">
        <v>62</v>
      </c>
      <c r="AD381" s="109">
        <v>33839.0</v>
      </c>
      <c r="AE381" s="109" t="s">
        <v>5247</v>
      </c>
      <c r="AF381" s="109" t="s">
        <v>5248</v>
      </c>
      <c r="AG381" s="109" t="s">
        <v>5249</v>
      </c>
      <c r="AH381" s="162">
        <v>9.498933173E9</v>
      </c>
      <c r="AI381" s="234" t="s">
        <v>5250</v>
      </c>
      <c r="AJ381" s="109" t="s">
        <v>248</v>
      </c>
      <c r="AK381" s="109" t="s">
        <v>1642</v>
      </c>
      <c r="AL381" s="109" t="s">
        <v>1643</v>
      </c>
      <c r="AM381" s="109" t="s">
        <v>1644</v>
      </c>
      <c r="AN381" s="109" t="s">
        <v>1645</v>
      </c>
      <c r="AO381" s="86"/>
      <c r="AP381" s="109"/>
      <c r="AQ381" s="215" t="s">
        <v>5251</v>
      </c>
      <c r="AR381" s="133" t="s">
        <v>914</v>
      </c>
      <c r="AS381" s="133">
        <v>43939.0</v>
      </c>
    </row>
    <row r="382" ht="14.25" customHeight="1">
      <c r="A382" s="188">
        <v>377.0</v>
      </c>
      <c r="B382" s="229" t="s">
        <v>5252</v>
      </c>
      <c r="C382" s="229" t="s">
        <v>5253</v>
      </c>
      <c r="D382" s="229" t="s">
        <v>5254</v>
      </c>
      <c r="E382" s="109" t="s">
        <v>82</v>
      </c>
      <c r="F382" s="109" t="s">
        <v>4135</v>
      </c>
      <c r="G382" s="109" t="s">
        <v>16</v>
      </c>
      <c r="H382" s="109">
        <v>1.101919223E9</v>
      </c>
      <c r="I382" s="109">
        <v>43757.0</v>
      </c>
      <c r="J382" s="109">
        <v>43757.0</v>
      </c>
      <c r="K382" s="109">
        <v>43772.0</v>
      </c>
      <c r="L382" s="109"/>
      <c r="M382" s="109"/>
      <c r="N382" s="109"/>
      <c r="O382" s="109"/>
      <c r="P382" s="109"/>
      <c r="Q382" s="109"/>
      <c r="R382" s="109"/>
      <c r="S382" s="109"/>
      <c r="T382" s="109"/>
      <c r="U382" s="109"/>
      <c r="V382" s="109"/>
      <c r="W382" s="109"/>
      <c r="X382" s="109">
        <v>43757.0</v>
      </c>
      <c r="Y382" s="109">
        <v>43939.0</v>
      </c>
      <c r="Z382" s="109"/>
      <c r="AA382" s="109"/>
      <c r="AB382" s="109"/>
      <c r="AC382" s="109" t="s">
        <v>62</v>
      </c>
      <c r="AD382" s="109">
        <v>32361.0</v>
      </c>
      <c r="AE382" s="109" t="s">
        <v>5255</v>
      </c>
      <c r="AF382" s="109" t="s">
        <v>5107</v>
      </c>
      <c r="AG382" s="109" t="s">
        <v>5256</v>
      </c>
      <c r="AH382" s="162">
        <v>9.1573059E9</v>
      </c>
      <c r="AI382" s="234" t="s">
        <v>5257</v>
      </c>
      <c r="AJ382" s="109" t="s">
        <v>248</v>
      </c>
      <c r="AK382" s="109" t="s">
        <v>5258</v>
      </c>
      <c r="AL382" s="109" t="s">
        <v>5259</v>
      </c>
      <c r="AM382" s="109" t="s">
        <v>5260</v>
      </c>
      <c r="AN382" s="109" t="s">
        <v>5261</v>
      </c>
      <c r="AO382" s="86"/>
      <c r="AP382" s="109"/>
      <c r="AQ382" s="215" t="s">
        <v>5262</v>
      </c>
      <c r="AR382" s="133" t="s">
        <v>914</v>
      </c>
      <c r="AS382" s="109">
        <v>43940.0</v>
      </c>
    </row>
    <row r="383" ht="14.25" customHeight="1">
      <c r="A383" s="188">
        <v>378.0</v>
      </c>
      <c r="B383" s="158" t="s">
        <v>173</v>
      </c>
      <c r="C383" s="158" t="s">
        <v>5263</v>
      </c>
      <c r="D383" s="158" t="s">
        <v>5264</v>
      </c>
      <c r="E383" s="109" t="s">
        <v>1881</v>
      </c>
      <c r="F383" s="109" t="s">
        <v>4135</v>
      </c>
      <c r="G383" s="109" t="s">
        <v>16</v>
      </c>
      <c r="H383" s="133">
        <v>1.020720237E9</v>
      </c>
      <c r="I383" s="109">
        <v>43868.0</v>
      </c>
      <c r="J383" s="109">
        <v>43868.0</v>
      </c>
      <c r="K383" s="109">
        <v>43883.0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109">
        <v>43868.0</v>
      </c>
      <c r="Y383" s="109">
        <v>44049.0</v>
      </c>
      <c r="Z383" s="86"/>
      <c r="AA383" s="86"/>
      <c r="AB383" s="86"/>
      <c r="AC383" s="109" t="s">
        <v>62</v>
      </c>
      <c r="AD383" s="109">
        <v>36482.0</v>
      </c>
      <c r="AE383" s="133" t="s">
        <v>5265</v>
      </c>
      <c r="AF383" s="133" t="s">
        <v>4806</v>
      </c>
      <c r="AG383" s="86" t="s">
        <v>422</v>
      </c>
      <c r="AH383" s="109">
        <v>9.954750546E9</v>
      </c>
      <c r="AI383" s="109" t="s">
        <v>5266</v>
      </c>
      <c r="AJ383" s="109" t="s">
        <v>5267</v>
      </c>
      <c r="AK383" s="109" t="s">
        <v>5268</v>
      </c>
      <c r="AL383" s="109" t="s">
        <v>5269</v>
      </c>
      <c r="AM383" s="109" t="s">
        <v>5270</v>
      </c>
      <c r="AN383" s="86"/>
      <c r="AO383" s="86"/>
      <c r="AP383" s="86"/>
      <c r="AQ383" s="235" t="s">
        <v>5271</v>
      </c>
      <c r="AR383" s="133" t="s">
        <v>5272</v>
      </c>
      <c r="AS383" s="133">
        <v>44141.0</v>
      </c>
    </row>
    <row r="384" ht="14.25" customHeight="1">
      <c r="A384" s="188">
        <v>379.0</v>
      </c>
      <c r="B384" s="158" t="s">
        <v>5273</v>
      </c>
      <c r="C384" s="158" t="s">
        <v>5274</v>
      </c>
      <c r="D384" s="158" t="s">
        <v>638</v>
      </c>
      <c r="E384" s="109" t="s">
        <v>5275</v>
      </c>
      <c r="F384" s="109" t="s">
        <v>4749</v>
      </c>
      <c r="G384" s="109" t="s">
        <v>57</v>
      </c>
      <c r="H384" s="109">
        <v>1.031610014E9</v>
      </c>
      <c r="I384" s="109">
        <v>40253.0</v>
      </c>
      <c r="J384" s="109">
        <v>40164.0</v>
      </c>
      <c r="K384" s="109">
        <v>40254.0</v>
      </c>
      <c r="L384" s="109">
        <v>40253.0</v>
      </c>
      <c r="M384" s="109">
        <v>40406.0</v>
      </c>
      <c r="N384" s="109">
        <v>40406.0</v>
      </c>
      <c r="O384" s="109">
        <v>40559.0</v>
      </c>
      <c r="P384" s="109"/>
      <c r="Q384" s="109"/>
      <c r="R384" s="109"/>
      <c r="S384" s="109"/>
      <c r="T384" s="109"/>
      <c r="U384" s="109"/>
      <c r="V384" s="109"/>
      <c r="W384" s="109"/>
      <c r="X384" s="109">
        <v>40603.0</v>
      </c>
      <c r="Y384" s="109">
        <v>40787.0</v>
      </c>
      <c r="Z384" s="109"/>
      <c r="AA384" s="109"/>
      <c r="AB384" s="137">
        <v>40788.0</v>
      </c>
      <c r="AC384" s="109" t="s">
        <v>62</v>
      </c>
      <c r="AD384" s="109">
        <v>30181.0</v>
      </c>
      <c r="AE384" s="109" t="s">
        <v>5276</v>
      </c>
      <c r="AF384" s="109" t="s">
        <v>5084</v>
      </c>
      <c r="AG384" s="109"/>
      <c r="AH384" s="218">
        <v>9.519765334E9</v>
      </c>
      <c r="AI384" s="233" t="s">
        <v>5277</v>
      </c>
      <c r="AJ384" s="226" t="s">
        <v>5278</v>
      </c>
      <c r="AK384" s="109" t="s">
        <v>5279</v>
      </c>
      <c r="AL384" s="109" t="s">
        <v>5280</v>
      </c>
      <c r="AM384" s="109" t="s">
        <v>5281</v>
      </c>
      <c r="AN384" s="109" t="s">
        <v>5282</v>
      </c>
      <c r="AO384" s="86"/>
      <c r="AP384" s="109"/>
      <c r="AQ384" s="215" t="s">
        <v>5283</v>
      </c>
      <c r="AR384" s="133" t="s">
        <v>900</v>
      </c>
      <c r="AS384" s="109">
        <v>44165.0</v>
      </c>
    </row>
    <row r="385" ht="14.25" customHeight="1">
      <c r="A385" s="188">
        <v>380.0</v>
      </c>
      <c r="B385" s="158" t="s">
        <v>5284</v>
      </c>
      <c r="C385" s="158" t="s">
        <v>5285</v>
      </c>
      <c r="D385" s="158" t="s">
        <v>5286</v>
      </c>
      <c r="E385" s="109" t="s">
        <v>5287</v>
      </c>
      <c r="F385" s="109" t="s">
        <v>959</v>
      </c>
      <c r="G385" s="109" t="s">
        <v>57</v>
      </c>
      <c r="H385" s="109">
        <v>1.052616309E9</v>
      </c>
      <c r="I385" s="109">
        <v>42516.0</v>
      </c>
      <c r="J385" s="109"/>
      <c r="K385" s="109"/>
      <c r="L385" s="109">
        <v>42516.0</v>
      </c>
      <c r="M385" s="109">
        <v>42669.0</v>
      </c>
      <c r="N385" s="109"/>
      <c r="O385" s="109"/>
      <c r="P385" s="109"/>
      <c r="Q385" s="109"/>
      <c r="R385" s="109">
        <v>42670.0</v>
      </c>
      <c r="S385" s="109">
        <v>43034.0</v>
      </c>
      <c r="T385" s="109"/>
      <c r="U385" s="109"/>
      <c r="V385" s="109"/>
      <c r="W385" s="109"/>
      <c r="X385" s="109"/>
      <c r="Y385" s="109"/>
      <c r="Z385" s="109"/>
      <c r="AA385" s="109"/>
      <c r="AB385" s="137">
        <v>42828.0</v>
      </c>
      <c r="AC385" s="109" t="s">
        <v>62</v>
      </c>
      <c r="AD385" s="109">
        <v>35374.0</v>
      </c>
      <c r="AE385" s="109" t="s">
        <v>5288</v>
      </c>
      <c r="AF385" s="109" t="s">
        <v>4461</v>
      </c>
      <c r="AG385" s="109" t="s">
        <v>1366</v>
      </c>
      <c r="AH385" s="218">
        <v>9.302705319E9</v>
      </c>
      <c r="AI385" s="233" t="s">
        <v>5289</v>
      </c>
      <c r="AJ385" s="226" t="s">
        <v>4475</v>
      </c>
      <c r="AK385" s="109" t="s">
        <v>5290</v>
      </c>
      <c r="AL385" s="109" t="s">
        <v>5291</v>
      </c>
      <c r="AM385" s="109" t="s">
        <v>5292</v>
      </c>
      <c r="AN385" s="109" t="s">
        <v>5293</v>
      </c>
      <c r="AO385" s="86"/>
      <c r="AP385" s="109"/>
      <c r="AQ385" s="215" t="s">
        <v>5294</v>
      </c>
      <c r="AR385" s="133" t="s">
        <v>900</v>
      </c>
      <c r="AS385" s="109">
        <v>44179.0</v>
      </c>
    </row>
    <row r="386" ht="14.25" customHeight="1">
      <c r="A386" s="188">
        <v>381.0</v>
      </c>
      <c r="B386" s="158" t="s">
        <v>5295</v>
      </c>
      <c r="C386" s="158" t="s">
        <v>5296</v>
      </c>
      <c r="D386" s="158" t="s">
        <v>294</v>
      </c>
      <c r="E386" s="109" t="s">
        <v>5297</v>
      </c>
      <c r="F386" s="109" t="s">
        <v>177</v>
      </c>
      <c r="G386" s="109" t="s">
        <v>57</v>
      </c>
      <c r="H386" s="109">
        <v>1.060208037E9</v>
      </c>
      <c r="I386" s="109">
        <v>39601.0</v>
      </c>
      <c r="J386" s="109"/>
      <c r="K386" s="109"/>
      <c r="L386" s="109">
        <v>39601.0</v>
      </c>
      <c r="M386" s="109">
        <v>39784.0</v>
      </c>
      <c r="N386" s="109"/>
      <c r="O386" s="109"/>
      <c r="P386" s="109"/>
      <c r="Q386" s="109"/>
      <c r="R386" s="109"/>
      <c r="S386" s="109"/>
      <c r="T386" s="109"/>
      <c r="U386" s="109"/>
      <c r="V386" s="109"/>
      <c r="W386" s="109"/>
      <c r="X386" s="109"/>
      <c r="Y386" s="109"/>
      <c r="Z386" s="109"/>
      <c r="AA386" s="109"/>
      <c r="AB386" s="137"/>
      <c r="AC386" s="109" t="s">
        <v>107</v>
      </c>
      <c r="AD386" s="109">
        <v>29388.0</v>
      </c>
      <c r="AE386" s="109" t="s">
        <v>5298</v>
      </c>
      <c r="AF386" s="109" t="s">
        <v>5299</v>
      </c>
      <c r="AG386" s="109"/>
      <c r="AH386" s="143">
        <v>9.092216922E9</v>
      </c>
      <c r="AI386" s="236" t="s">
        <v>5300</v>
      </c>
      <c r="AJ386" s="226" t="s">
        <v>3651</v>
      </c>
      <c r="AK386" s="109" t="s">
        <v>5301</v>
      </c>
      <c r="AL386" s="109" t="s">
        <v>5302</v>
      </c>
      <c r="AM386" s="109" t="s">
        <v>5303</v>
      </c>
      <c r="AN386" s="109" t="s">
        <v>5304</v>
      </c>
      <c r="AO386" s="86"/>
      <c r="AP386" s="109" t="s">
        <v>5305</v>
      </c>
      <c r="AQ386" s="215" t="s">
        <v>5306</v>
      </c>
      <c r="AR386" s="133" t="s">
        <v>900</v>
      </c>
      <c r="AS386" s="109">
        <v>44238.0</v>
      </c>
    </row>
    <row r="387" ht="14.25" customHeight="1">
      <c r="A387" s="188">
        <v>382.0</v>
      </c>
      <c r="B387" s="158" t="s">
        <v>5307</v>
      </c>
      <c r="C387" s="158" t="s">
        <v>5308</v>
      </c>
      <c r="D387" s="158" t="s">
        <v>5309</v>
      </c>
      <c r="E387" s="109" t="s">
        <v>614</v>
      </c>
      <c r="F387" s="109" t="s">
        <v>56</v>
      </c>
      <c r="G387" s="109" t="s">
        <v>57</v>
      </c>
      <c r="H387" s="109">
        <v>1.113010064E9</v>
      </c>
      <c r="I387" s="109">
        <v>40512.0</v>
      </c>
      <c r="J387" s="109"/>
      <c r="K387" s="109"/>
      <c r="L387" s="109">
        <v>40512.0</v>
      </c>
      <c r="M387" s="109">
        <v>40663.0</v>
      </c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109">
        <v>40679.0</v>
      </c>
      <c r="Y387" s="109">
        <v>40863.0</v>
      </c>
      <c r="Z387" s="109"/>
      <c r="AA387" s="109"/>
      <c r="AB387" s="137">
        <v>40878.0</v>
      </c>
      <c r="AC387" s="109" t="s">
        <v>62</v>
      </c>
      <c r="AD387" s="109">
        <v>23566.0</v>
      </c>
      <c r="AE387" s="109" t="s">
        <v>5310</v>
      </c>
      <c r="AF387" s="109" t="s">
        <v>5311</v>
      </c>
      <c r="AG387" s="109" t="s">
        <v>5312</v>
      </c>
      <c r="AH387" s="237" t="s">
        <v>5313</v>
      </c>
      <c r="AI387" s="234" t="s">
        <v>5314</v>
      </c>
      <c r="AJ387" s="226" t="s">
        <v>2268</v>
      </c>
      <c r="AK387" s="109" t="s">
        <v>5315</v>
      </c>
      <c r="AL387" s="109" t="s">
        <v>5316</v>
      </c>
      <c r="AM387" s="109" t="s">
        <v>5317</v>
      </c>
      <c r="AN387" s="109" t="s">
        <v>5318</v>
      </c>
      <c r="AO387" s="86"/>
      <c r="AP387" s="109"/>
      <c r="AQ387" s="142" t="s">
        <v>5319</v>
      </c>
      <c r="AR387" s="133" t="s">
        <v>900</v>
      </c>
      <c r="AS387" s="109">
        <v>44273.0</v>
      </c>
    </row>
    <row r="388" ht="14.25" customHeight="1">
      <c r="A388" s="188">
        <v>383.0</v>
      </c>
      <c r="B388" s="158" t="s">
        <v>5320</v>
      </c>
      <c r="C388" s="158" t="s">
        <v>5321</v>
      </c>
      <c r="D388" s="158" t="s">
        <v>435</v>
      </c>
      <c r="E388" s="109" t="s">
        <v>133</v>
      </c>
      <c r="F388" s="109" t="s">
        <v>56</v>
      </c>
      <c r="G388" s="109" t="s">
        <v>16</v>
      </c>
      <c r="H388" s="109">
        <v>1.103119225E9</v>
      </c>
      <c r="I388" s="109">
        <v>43769.0</v>
      </c>
      <c r="J388" s="109">
        <v>43769.0</v>
      </c>
      <c r="K388" s="109">
        <v>43784.0</v>
      </c>
      <c r="L388" s="109"/>
      <c r="M388" s="109"/>
      <c r="N388" s="109"/>
      <c r="O388" s="109"/>
      <c r="P388" s="109"/>
      <c r="Q388" s="109"/>
      <c r="R388" s="109"/>
      <c r="S388" s="109"/>
      <c r="T388" s="109"/>
      <c r="U388" s="109"/>
      <c r="V388" s="109"/>
      <c r="W388" s="109"/>
      <c r="X388" s="109">
        <v>43769.0</v>
      </c>
      <c r="Y388" s="109">
        <v>43951.0</v>
      </c>
      <c r="Z388" s="109"/>
      <c r="AA388" s="109"/>
      <c r="AB388" s="137"/>
      <c r="AC388" s="109" t="s">
        <v>62</v>
      </c>
      <c r="AD388" s="109">
        <v>34366.0</v>
      </c>
      <c r="AE388" s="109" t="s">
        <v>5322</v>
      </c>
      <c r="AF388" s="109" t="s">
        <v>4806</v>
      </c>
      <c r="AG388" s="109" t="s">
        <v>5323</v>
      </c>
      <c r="AH388" s="218">
        <v>9.457634563E9</v>
      </c>
      <c r="AI388" s="238" t="s">
        <v>5324</v>
      </c>
      <c r="AJ388" s="226" t="s">
        <v>5325</v>
      </c>
      <c r="AK388" s="109" t="s">
        <v>5326</v>
      </c>
      <c r="AL388" s="109" t="s">
        <v>5327</v>
      </c>
      <c r="AM388" s="109" t="s">
        <v>5328</v>
      </c>
      <c r="AN388" s="109" t="s">
        <v>5329</v>
      </c>
      <c r="AO388" s="86"/>
      <c r="AP388" s="109"/>
      <c r="AQ388" s="142" t="s">
        <v>5330</v>
      </c>
      <c r="AR388" s="133" t="s">
        <v>914</v>
      </c>
      <c r="AS388" s="133">
        <v>43951.0</v>
      </c>
    </row>
    <row r="389" ht="18.0" customHeight="1">
      <c r="A389" s="188">
        <v>384.0</v>
      </c>
      <c r="B389" s="229" t="s">
        <v>5331</v>
      </c>
      <c r="C389" s="229" t="s">
        <v>5332</v>
      </c>
      <c r="D389" s="229" t="s">
        <v>5333</v>
      </c>
      <c r="E389" s="109" t="s">
        <v>133</v>
      </c>
      <c r="F389" s="109" t="s">
        <v>56</v>
      </c>
      <c r="G389" s="109" t="s">
        <v>57</v>
      </c>
      <c r="H389" s="109">
        <v>1.070709074E9</v>
      </c>
      <c r="I389" s="109">
        <v>39995.0</v>
      </c>
      <c r="J389" s="109">
        <v>39895.0</v>
      </c>
      <c r="K389" s="109">
        <v>39987.0</v>
      </c>
      <c r="L389" s="109">
        <v>39995.0</v>
      </c>
      <c r="M389" s="109">
        <v>40179.0</v>
      </c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109">
        <v>40194.0</v>
      </c>
      <c r="Y389" s="109">
        <v>40375.0</v>
      </c>
      <c r="Z389" s="109"/>
      <c r="AA389" s="109"/>
      <c r="AB389" s="109">
        <v>40375.0</v>
      </c>
      <c r="AC389" s="109" t="s">
        <v>107</v>
      </c>
      <c r="AD389" s="109">
        <v>32811.0</v>
      </c>
      <c r="AE389" s="109" t="s">
        <v>5334</v>
      </c>
      <c r="AF389" s="109"/>
      <c r="AG389" s="109" t="s">
        <v>5335</v>
      </c>
      <c r="AH389" s="198">
        <v>9.484882459E9</v>
      </c>
      <c r="AI389" s="239" t="s">
        <v>5336</v>
      </c>
      <c r="AJ389" s="109" t="s">
        <v>5337</v>
      </c>
      <c r="AK389" s="109" t="s">
        <v>5338</v>
      </c>
      <c r="AL389" s="109" t="s">
        <v>5339</v>
      </c>
      <c r="AM389" s="109" t="s">
        <v>5340</v>
      </c>
      <c r="AN389" s="109" t="s">
        <v>5341</v>
      </c>
      <c r="AO389" s="86"/>
      <c r="AP389" s="109"/>
      <c r="AQ389" s="142" t="s">
        <v>5342</v>
      </c>
      <c r="AR389" s="133" t="s">
        <v>5343</v>
      </c>
      <c r="AS389" s="146">
        <v>44347.0</v>
      </c>
    </row>
    <row r="390" ht="14.25" customHeight="1">
      <c r="A390" s="188">
        <v>385.0</v>
      </c>
      <c r="B390" s="158" t="s">
        <v>5344</v>
      </c>
      <c r="C390" s="158" t="s">
        <v>5345</v>
      </c>
      <c r="D390" s="158" t="s">
        <v>216</v>
      </c>
      <c r="E390" s="109" t="s">
        <v>5346</v>
      </c>
      <c r="F390" s="109" t="s">
        <v>451</v>
      </c>
      <c r="G390" s="109" t="s">
        <v>57</v>
      </c>
      <c r="H390" s="109">
        <v>1.102218151E9</v>
      </c>
      <c r="I390" s="109">
        <v>43395.0</v>
      </c>
      <c r="J390" s="109"/>
      <c r="K390" s="109"/>
      <c r="L390" s="240"/>
      <c r="M390" s="240"/>
      <c r="N390" s="109"/>
      <c r="O390" s="109"/>
      <c r="P390" s="109"/>
      <c r="Q390" s="109"/>
      <c r="R390" s="109"/>
      <c r="S390" s="109"/>
      <c r="T390" s="109"/>
      <c r="U390" s="109"/>
      <c r="V390" s="109"/>
      <c r="W390" s="109"/>
      <c r="X390" s="109">
        <v>43395.0</v>
      </c>
      <c r="Y390" s="109">
        <v>43576.0</v>
      </c>
      <c r="Z390" s="109"/>
      <c r="AA390" s="109"/>
      <c r="AB390" s="137">
        <v>43577.0</v>
      </c>
      <c r="AC390" s="109" t="s">
        <v>62</v>
      </c>
      <c r="AD390" s="109">
        <v>35763.0</v>
      </c>
      <c r="AE390" s="206" t="s">
        <v>5347</v>
      </c>
      <c r="AF390" s="206" t="s">
        <v>4883</v>
      </c>
      <c r="AG390" s="109" t="s">
        <v>5348</v>
      </c>
      <c r="AH390" s="143">
        <v>9.456140885E9</v>
      </c>
      <c r="AI390" s="234" t="s">
        <v>5349</v>
      </c>
      <c r="AJ390" s="226" t="s">
        <v>5350</v>
      </c>
      <c r="AK390" s="109" t="s">
        <v>5351</v>
      </c>
      <c r="AL390" s="109" t="s">
        <v>5352</v>
      </c>
      <c r="AM390" s="109" t="s">
        <v>5353</v>
      </c>
      <c r="AN390" s="109" t="s">
        <v>5354</v>
      </c>
      <c r="AO390" s="86"/>
      <c r="AP390" s="109"/>
      <c r="AQ390" s="142" t="s">
        <v>5355</v>
      </c>
      <c r="AR390" s="133" t="s">
        <v>900</v>
      </c>
      <c r="AS390" s="109">
        <v>44413.0</v>
      </c>
    </row>
    <row r="391" ht="14.25" customHeight="1">
      <c r="A391" s="188">
        <v>386.0</v>
      </c>
      <c r="B391" s="158" t="s">
        <v>2686</v>
      </c>
      <c r="C391" s="158" t="s">
        <v>2687</v>
      </c>
      <c r="D391" s="158" t="s">
        <v>2688</v>
      </c>
      <c r="E391" s="109" t="s">
        <v>1881</v>
      </c>
      <c r="F391" s="109" t="s">
        <v>4135</v>
      </c>
      <c r="G391" s="109" t="s">
        <v>57</v>
      </c>
      <c r="H391" s="109">
        <v>1.110315258E9</v>
      </c>
      <c r="I391" s="109">
        <v>42326.0</v>
      </c>
      <c r="J391" s="109">
        <v>42311.0</v>
      </c>
      <c r="K391" s="109">
        <v>42325.0</v>
      </c>
      <c r="L391" s="109">
        <v>42326.0</v>
      </c>
      <c r="M391" s="109">
        <v>42478.0</v>
      </c>
      <c r="N391" s="109"/>
      <c r="O391" s="109"/>
      <c r="P391" s="109"/>
      <c r="Q391" s="109"/>
      <c r="R391" s="109">
        <v>42520.0</v>
      </c>
      <c r="S391" s="109">
        <v>42885.0</v>
      </c>
      <c r="T391" s="109"/>
      <c r="U391" s="109"/>
      <c r="V391" s="109"/>
      <c r="W391" s="109"/>
      <c r="X391" s="109"/>
      <c r="Y391" s="109"/>
      <c r="Z391" s="109"/>
      <c r="AA391" s="109"/>
      <c r="AB391" s="137">
        <v>42828.0</v>
      </c>
      <c r="AC391" s="109" t="s">
        <v>62</v>
      </c>
      <c r="AD391" s="109">
        <v>34726.0</v>
      </c>
      <c r="AE391" s="109" t="s">
        <v>5356</v>
      </c>
      <c r="AF391" s="109" t="s">
        <v>4336</v>
      </c>
      <c r="AG391" s="109"/>
      <c r="AH391" s="143">
        <v>9.466042161E9</v>
      </c>
      <c r="AI391" s="233" t="s">
        <v>5357</v>
      </c>
      <c r="AJ391" s="226" t="s">
        <v>2690</v>
      </c>
      <c r="AK391" s="109" t="s">
        <v>2691</v>
      </c>
      <c r="AL391" s="109" t="s">
        <v>2694</v>
      </c>
      <c r="AM391" s="202" t="s">
        <v>2693</v>
      </c>
      <c r="AN391" s="109" t="s">
        <v>2692</v>
      </c>
      <c r="AO391" s="86"/>
      <c r="AP391" s="109"/>
      <c r="AQ391" s="142" t="s">
        <v>2695</v>
      </c>
      <c r="AR391" s="133" t="s">
        <v>900</v>
      </c>
      <c r="AS391" s="109">
        <v>44404.0</v>
      </c>
    </row>
    <row r="392" ht="14.25" customHeight="1">
      <c r="A392" s="188">
        <v>387.0</v>
      </c>
      <c r="B392" s="241" t="s">
        <v>5358</v>
      </c>
      <c r="C392" s="229" t="s">
        <v>243</v>
      </c>
      <c r="D392" s="229" t="s">
        <v>5359</v>
      </c>
      <c r="E392" s="109" t="s">
        <v>5360</v>
      </c>
      <c r="F392" s="109" t="s">
        <v>177</v>
      </c>
      <c r="G392" s="109" t="s">
        <v>57</v>
      </c>
      <c r="H392" s="109">
        <v>1.011704136E9</v>
      </c>
      <c r="I392" s="109">
        <v>41579.0</v>
      </c>
      <c r="J392" s="109"/>
      <c r="K392" s="109"/>
      <c r="L392" s="109">
        <v>41579.0</v>
      </c>
      <c r="M392" s="109">
        <v>41729.0</v>
      </c>
      <c r="N392" s="109"/>
      <c r="O392" s="109"/>
      <c r="P392" s="109"/>
      <c r="Q392" s="109"/>
      <c r="R392" s="109">
        <v>41730.0</v>
      </c>
      <c r="S392" s="109">
        <v>42094.0</v>
      </c>
      <c r="T392" s="109">
        <v>42095.0</v>
      </c>
      <c r="U392" s="109">
        <v>42460.0</v>
      </c>
      <c r="V392" s="109">
        <v>42461.0</v>
      </c>
      <c r="W392" s="109">
        <v>42826.0</v>
      </c>
      <c r="X392" s="109"/>
      <c r="Y392" s="109"/>
      <c r="Z392" s="109"/>
      <c r="AA392" s="109"/>
      <c r="AB392" s="137">
        <v>42828.0</v>
      </c>
      <c r="AC392" s="109" t="s">
        <v>62</v>
      </c>
      <c r="AD392" s="109">
        <v>20743.0</v>
      </c>
      <c r="AE392" s="109" t="s">
        <v>5361</v>
      </c>
      <c r="AF392" s="109" t="s">
        <v>4325</v>
      </c>
      <c r="AG392" s="109" t="s">
        <v>5362</v>
      </c>
      <c r="AH392" s="143">
        <v>9.994155023E9</v>
      </c>
      <c r="AI392" s="242" t="s">
        <v>5363</v>
      </c>
      <c r="AJ392" s="226" t="s">
        <v>1834</v>
      </c>
      <c r="AK392" s="109" t="s">
        <v>5364</v>
      </c>
      <c r="AL392" s="109" t="s">
        <v>5365</v>
      </c>
      <c r="AM392" s="109" t="s">
        <v>5366</v>
      </c>
      <c r="AN392" s="109" t="s">
        <v>5367</v>
      </c>
      <c r="AO392" s="86"/>
      <c r="AP392" s="109"/>
      <c r="AQ392" s="142" t="s">
        <v>5368</v>
      </c>
      <c r="AR392" s="133" t="s">
        <v>3985</v>
      </c>
      <c r="AS392" s="109">
        <v>44347.0</v>
      </c>
    </row>
    <row r="393" ht="14.25" customHeight="1">
      <c r="A393" s="188">
        <v>388.0</v>
      </c>
      <c r="B393" s="241" t="s">
        <v>2999</v>
      </c>
      <c r="C393" s="229" t="s">
        <v>5369</v>
      </c>
      <c r="D393" s="229" t="s">
        <v>5370</v>
      </c>
      <c r="E393" s="109" t="s">
        <v>5371</v>
      </c>
      <c r="F393" s="109" t="s">
        <v>177</v>
      </c>
      <c r="G393" s="109" t="s">
        <v>57</v>
      </c>
      <c r="H393" s="109">
        <v>1.04041317E9</v>
      </c>
      <c r="I393" s="109">
        <v>41579.0</v>
      </c>
      <c r="J393" s="109"/>
      <c r="K393" s="109"/>
      <c r="L393" s="109">
        <v>41579.0</v>
      </c>
      <c r="M393" s="109">
        <v>41729.0</v>
      </c>
      <c r="N393" s="109"/>
      <c r="O393" s="109"/>
      <c r="P393" s="109"/>
      <c r="Q393" s="109"/>
      <c r="R393" s="109">
        <v>41730.0</v>
      </c>
      <c r="S393" s="109">
        <v>42094.0</v>
      </c>
      <c r="T393" s="109">
        <v>42095.0</v>
      </c>
      <c r="U393" s="109">
        <v>42460.0</v>
      </c>
      <c r="V393" s="109">
        <v>42461.0</v>
      </c>
      <c r="W393" s="109">
        <v>42826.0</v>
      </c>
      <c r="X393" s="109"/>
      <c r="Y393" s="109"/>
      <c r="Z393" s="109"/>
      <c r="AA393" s="109"/>
      <c r="AB393" s="137">
        <v>42828.0</v>
      </c>
      <c r="AC393" s="109" t="s">
        <v>107</v>
      </c>
      <c r="AD393" s="109">
        <v>22148.0</v>
      </c>
      <c r="AE393" s="109" t="s">
        <v>5372</v>
      </c>
      <c r="AF393" s="109" t="s">
        <v>4385</v>
      </c>
      <c r="AG393" s="109" t="s">
        <v>5373</v>
      </c>
      <c r="AH393" s="143">
        <v>9.611765718E9</v>
      </c>
      <c r="AI393" s="234" t="s">
        <v>5374</v>
      </c>
      <c r="AJ393" s="226" t="s">
        <v>5375</v>
      </c>
      <c r="AK393" s="109" t="s">
        <v>5376</v>
      </c>
      <c r="AL393" s="109" t="s">
        <v>5377</v>
      </c>
      <c r="AM393" s="109" t="s">
        <v>5378</v>
      </c>
      <c r="AN393" s="109" t="s">
        <v>5379</v>
      </c>
      <c r="AO393" s="86"/>
      <c r="AP393" s="109">
        <v>3.0</v>
      </c>
      <c r="AQ393" s="142" t="s">
        <v>5380</v>
      </c>
      <c r="AR393" s="133" t="s">
        <v>3985</v>
      </c>
      <c r="AS393" s="109">
        <v>44469.0</v>
      </c>
    </row>
    <row r="394" ht="14.25" customHeight="1">
      <c r="A394" s="188">
        <v>389.0</v>
      </c>
      <c r="B394" s="241" t="s">
        <v>5381</v>
      </c>
      <c r="C394" s="229" t="s">
        <v>5382</v>
      </c>
      <c r="D394" s="229" t="s">
        <v>5383</v>
      </c>
      <c r="E394" s="109" t="s">
        <v>176</v>
      </c>
      <c r="F394" s="109" t="s">
        <v>177</v>
      </c>
      <c r="G394" s="109" t="s">
        <v>57</v>
      </c>
      <c r="H394" s="109">
        <v>1.070804134E9</v>
      </c>
      <c r="I394" s="109">
        <v>41579.0</v>
      </c>
      <c r="J394" s="109"/>
      <c r="K394" s="109"/>
      <c r="L394" s="109">
        <v>41579.0</v>
      </c>
      <c r="M394" s="109">
        <v>41670.0</v>
      </c>
      <c r="N394" s="109">
        <v>41671.0</v>
      </c>
      <c r="O394" s="109">
        <v>41820.0</v>
      </c>
      <c r="P394" s="109"/>
      <c r="Q394" s="109"/>
      <c r="R394" s="109">
        <v>41821.0</v>
      </c>
      <c r="S394" s="109">
        <v>42185.0</v>
      </c>
      <c r="T394" s="109">
        <v>42186.0</v>
      </c>
      <c r="U394" s="109">
        <v>42551.0</v>
      </c>
      <c r="V394" s="109">
        <v>42552.0</v>
      </c>
      <c r="W394" s="109">
        <v>42918.0</v>
      </c>
      <c r="X394" s="109"/>
      <c r="Y394" s="109"/>
      <c r="Z394" s="109"/>
      <c r="AA394" s="109"/>
      <c r="AB394" s="137">
        <v>42828.0</v>
      </c>
      <c r="AC394" s="109" t="s">
        <v>107</v>
      </c>
      <c r="AD394" s="109">
        <v>21675.0</v>
      </c>
      <c r="AE394" s="109" t="s">
        <v>5384</v>
      </c>
      <c r="AF394" s="109" t="s">
        <v>4589</v>
      </c>
      <c r="AG394" s="109" t="s">
        <v>5385</v>
      </c>
      <c r="AH394" s="143">
        <v>9.465324699E9</v>
      </c>
      <c r="AI394" s="234" t="s">
        <v>5386</v>
      </c>
      <c r="AJ394" s="226" t="s">
        <v>5387</v>
      </c>
      <c r="AK394" s="109" t="s">
        <v>5388</v>
      </c>
      <c r="AL394" s="204" t="s">
        <v>5389</v>
      </c>
      <c r="AM394" s="202" t="s">
        <v>5390</v>
      </c>
      <c r="AN394" s="109" t="s">
        <v>5391</v>
      </c>
      <c r="AO394" s="86"/>
      <c r="AP394" s="109">
        <v>4.0</v>
      </c>
      <c r="AQ394" s="142" t="s">
        <v>5392</v>
      </c>
      <c r="AR394" s="133" t="s">
        <v>3985</v>
      </c>
      <c r="AS394" s="109">
        <v>44469.0</v>
      </c>
    </row>
    <row r="395" ht="14.25" customHeight="1">
      <c r="A395" s="188">
        <v>390.0</v>
      </c>
      <c r="B395" s="243" t="s">
        <v>5393</v>
      </c>
      <c r="C395" s="244" t="s">
        <v>2982</v>
      </c>
      <c r="D395" s="244" t="s">
        <v>5394</v>
      </c>
      <c r="E395" s="109" t="s">
        <v>5395</v>
      </c>
      <c r="F395" s="109" t="s">
        <v>4749</v>
      </c>
      <c r="G395" s="109" t="s">
        <v>57</v>
      </c>
      <c r="H395" s="109">
        <v>1.032219184E9</v>
      </c>
      <c r="I395" s="109">
        <v>43546.0</v>
      </c>
      <c r="J395" s="109">
        <v>43546.0</v>
      </c>
      <c r="K395" s="109">
        <v>43560.0</v>
      </c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>
        <v>43545.0</v>
      </c>
      <c r="Y395" s="109">
        <v>43728.0</v>
      </c>
      <c r="Z395" s="109"/>
      <c r="AA395" s="109"/>
      <c r="AB395" s="137">
        <v>43729.0</v>
      </c>
      <c r="AC395" s="109" t="s">
        <v>62</v>
      </c>
      <c r="AD395" s="109">
        <v>32809.0</v>
      </c>
      <c r="AE395" s="224" t="s">
        <v>5396</v>
      </c>
      <c r="AF395" s="109" t="s">
        <v>4325</v>
      </c>
      <c r="AG395" s="109" t="s">
        <v>5397</v>
      </c>
      <c r="AH395" s="218">
        <v>9.503409266E9</v>
      </c>
      <c r="AI395" s="233" t="s">
        <v>5398</v>
      </c>
      <c r="AJ395" s="226" t="s">
        <v>4807</v>
      </c>
      <c r="AK395" s="109" t="s">
        <v>5399</v>
      </c>
      <c r="AL395" s="109" t="s">
        <v>5400</v>
      </c>
      <c r="AM395" s="109" t="s">
        <v>5401</v>
      </c>
      <c r="AN395" s="109" t="s">
        <v>5402</v>
      </c>
      <c r="AO395" s="86"/>
      <c r="AP395" s="109"/>
      <c r="AQ395" s="86"/>
      <c r="AR395" s="133" t="s">
        <v>5403</v>
      </c>
      <c r="AS395" s="109">
        <v>44561.0</v>
      </c>
    </row>
    <row r="396" ht="14.25" customHeight="1">
      <c r="A396" s="188">
        <v>391.0</v>
      </c>
      <c r="B396" s="241" t="s">
        <v>5404</v>
      </c>
      <c r="C396" s="229" t="s">
        <v>5405</v>
      </c>
      <c r="D396" s="229" t="s">
        <v>5406</v>
      </c>
      <c r="E396" s="109" t="s">
        <v>717</v>
      </c>
      <c r="F396" s="109" t="s">
        <v>493</v>
      </c>
      <c r="G396" s="109" t="s">
        <v>57</v>
      </c>
      <c r="H396" s="109">
        <v>1.10061815E9</v>
      </c>
      <c r="I396" s="109">
        <v>43379.0</v>
      </c>
      <c r="J396" s="109">
        <v>43379.0</v>
      </c>
      <c r="K396" s="109">
        <v>43394.0</v>
      </c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>
        <v>43379.0</v>
      </c>
      <c r="Y396" s="109">
        <v>43560.0</v>
      </c>
      <c r="Z396" s="109"/>
      <c r="AA396" s="109"/>
      <c r="AB396" s="137">
        <v>43561.0</v>
      </c>
      <c r="AC396" s="109" t="s">
        <v>62</v>
      </c>
      <c r="AD396" s="109">
        <v>34599.0</v>
      </c>
      <c r="AE396" s="109" t="s">
        <v>5407</v>
      </c>
      <c r="AF396" s="109" t="s">
        <v>4325</v>
      </c>
      <c r="AG396" s="109" t="s">
        <v>5408</v>
      </c>
      <c r="AH396" s="218">
        <v>9.360517965E9</v>
      </c>
      <c r="AI396" s="233" t="s">
        <v>5409</v>
      </c>
      <c r="AJ396" s="226" t="s">
        <v>5410</v>
      </c>
      <c r="AK396" s="109" t="s">
        <v>5411</v>
      </c>
      <c r="AL396" s="202">
        <v>1.32505539625E11</v>
      </c>
      <c r="AM396" s="206" t="s">
        <v>5412</v>
      </c>
      <c r="AN396" s="109" t="s">
        <v>5413</v>
      </c>
      <c r="AO396" s="86"/>
      <c r="AP396" s="109"/>
      <c r="AQ396" s="142" t="s">
        <v>5414</v>
      </c>
      <c r="AR396" s="133" t="s">
        <v>5403</v>
      </c>
      <c r="AS396" s="109">
        <v>44561.0</v>
      </c>
    </row>
    <row r="397" ht="18.75" customHeight="1">
      <c r="A397" s="188">
        <v>392.0</v>
      </c>
      <c r="B397" s="245" t="s">
        <v>5415</v>
      </c>
      <c r="C397" s="229" t="s">
        <v>5416</v>
      </c>
      <c r="D397" s="229" t="s">
        <v>5417</v>
      </c>
      <c r="E397" s="109" t="s">
        <v>717</v>
      </c>
      <c r="F397" s="109" t="s">
        <v>493</v>
      </c>
      <c r="G397" s="109" t="s">
        <v>57</v>
      </c>
      <c r="H397" s="213">
        <v>1.012119175E9</v>
      </c>
      <c r="I397" s="109">
        <v>43486.0</v>
      </c>
      <c r="J397" s="109">
        <v>43486.0</v>
      </c>
      <c r="K397" s="109">
        <v>43501.0</v>
      </c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109">
        <v>43486.0</v>
      </c>
      <c r="Y397" s="109">
        <v>43666.0</v>
      </c>
      <c r="Z397" s="109"/>
      <c r="AA397" s="109"/>
      <c r="AB397" s="137">
        <v>43667.0</v>
      </c>
      <c r="AC397" s="109" t="s">
        <v>62</v>
      </c>
      <c r="AD397" s="109">
        <v>34964.0</v>
      </c>
      <c r="AE397" s="109" t="s">
        <v>5418</v>
      </c>
      <c r="AF397" s="109" t="s">
        <v>4325</v>
      </c>
      <c r="AG397" s="109" t="s">
        <v>5419</v>
      </c>
      <c r="AH397" s="218">
        <v>9.267248006E9</v>
      </c>
      <c r="AI397" s="246" t="s">
        <v>5420</v>
      </c>
      <c r="AJ397" s="226" t="s">
        <v>5421</v>
      </c>
      <c r="AK397" s="109" t="s">
        <v>5422</v>
      </c>
      <c r="AL397" s="109" t="s">
        <v>5423</v>
      </c>
      <c r="AM397" s="109" t="s">
        <v>5424</v>
      </c>
      <c r="AN397" s="109" t="s">
        <v>5425</v>
      </c>
      <c r="AO397" s="86"/>
      <c r="AP397" s="109"/>
      <c r="AQ397" s="142" t="s">
        <v>5426</v>
      </c>
      <c r="AR397" s="133" t="s">
        <v>5403</v>
      </c>
      <c r="AS397" s="109">
        <v>44561.0</v>
      </c>
    </row>
    <row r="398" ht="14.25" customHeight="1">
      <c r="A398" s="188">
        <v>393.0</v>
      </c>
      <c r="B398" s="241" t="s">
        <v>5427</v>
      </c>
      <c r="C398" s="244" t="s">
        <v>5428</v>
      </c>
      <c r="D398" s="229" t="s">
        <v>5429</v>
      </c>
      <c r="E398" s="109" t="s">
        <v>717</v>
      </c>
      <c r="F398" s="109" t="s">
        <v>493</v>
      </c>
      <c r="G398" s="109" t="s">
        <v>57</v>
      </c>
      <c r="H398" s="109">
        <v>1.080519205E9</v>
      </c>
      <c r="I398" s="109">
        <v>43682.0</v>
      </c>
      <c r="J398" s="109">
        <v>43682.0</v>
      </c>
      <c r="K398" s="109">
        <v>43697.0</v>
      </c>
      <c r="L398" s="109"/>
      <c r="M398" s="109"/>
      <c r="N398" s="109"/>
      <c r="O398" s="109"/>
      <c r="P398" s="109"/>
      <c r="Q398" s="109"/>
      <c r="R398" s="109"/>
      <c r="S398" s="109"/>
      <c r="T398" s="109"/>
      <c r="U398" s="109"/>
      <c r="V398" s="109"/>
      <c r="W398" s="109"/>
      <c r="X398" s="109">
        <v>43682.0</v>
      </c>
      <c r="Y398" s="109">
        <v>43865.0</v>
      </c>
      <c r="Z398" s="109"/>
      <c r="AA398" s="109"/>
      <c r="AB398" s="137">
        <v>43866.0</v>
      </c>
      <c r="AC398" s="109" t="s">
        <v>62</v>
      </c>
      <c r="AD398" s="109">
        <v>34825.0</v>
      </c>
      <c r="AE398" s="109" t="s">
        <v>5430</v>
      </c>
      <c r="AF398" s="109" t="s">
        <v>1168</v>
      </c>
      <c r="AG398" s="109"/>
      <c r="AH398" s="143">
        <v>9.153761904E9</v>
      </c>
      <c r="AI398" s="234" t="s">
        <v>5431</v>
      </c>
      <c r="AJ398" s="226" t="s">
        <v>5432</v>
      </c>
      <c r="AK398" s="109" t="s">
        <v>5433</v>
      </c>
      <c r="AL398" s="109" t="s">
        <v>5434</v>
      </c>
      <c r="AM398" s="109" t="s">
        <v>5435</v>
      </c>
      <c r="AN398" s="109" t="s">
        <v>5436</v>
      </c>
      <c r="AO398" s="86"/>
      <c r="AP398" s="109"/>
      <c r="AQ398" s="142"/>
      <c r="AR398" s="133" t="s">
        <v>5403</v>
      </c>
      <c r="AS398" s="109">
        <v>44561.0</v>
      </c>
    </row>
    <row r="399" ht="14.25" customHeight="1">
      <c r="A399" s="188">
        <v>394.0</v>
      </c>
      <c r="B399" s="241" t="s">
        <v>5437</v>
      </c>
      <c r="C399" s="229" t="s">
        <v>5438</v>
      </c>
      <c r="D399" s="229" t="s">
        <v>5439</v>
      </c>
      <c r="E399" s="109" t="s">
        <v>5440</v>
      </c>
      <c r="F399" s="109" t="s">
        <v>161</v>
      </c>
      <c r="G399" s="109" t="s">
        <v>57</v>
      </c>
      <c r="H399" s="109">
        <v>1.07011632E9</v>
      </c>
      <c r="I399" s="109">
        <v>42569.0</v>
      </c>
      <c r="J399" s="109">
        <v>42555.0</v>
      </c>
      <c r="K399" s="109">
        <v>42568.0</v>
      </c>
      <c r="L399" s="109">
        <v>42569.0</v>
      </c>
      <c r="M399" s="109">
        <v>42721.0</v>
      </c>
      <c r="N399" s="109"/>
      <c r="O399" s="109"/>
      <c r="P399" s="109"/>
      <c r="Q399" s="109"/>
      <c r="R399" s="109">
        <v>42723.0</v>
      </c>
      <c r="S399" s="109">
        <v>43452.0</v>
      </c>
      <c r="T399" s="109"/>
      <c r="U399" s="109"/>
      <c r="V399" s="109"/>
      <c r="W399" s="109"/>
      <c r="X399" s="109"/>
      <c r="Y399" s="109"/>
      <c r="Z399" s="109"/>
      <c r="AA399" s="109"/>
      <c r="AB399" s="137">
        <v>42828.0</v>
      </c>
      <c r="AC399" s="109" t="s">
        <v>62</v>
      </c>
      <c r="AD399" s="109">
        <v>35090.0</v>
      </c>
      <c r="AE399" s="109" t="s">
        <v>5441</v>
      </c>
      <c r="AF399" s="109" t="s">
        <v>4461</v>
      </c>
      <c r="AG399" s="109" t="s">
        <v>3706</v>
      </c>
      <c r="AH399" s="218">
        <v>9.970716359E9</v>
      </c>
      <c r="AI399" s="242" t="s">
        <v>5442</v>
      </c>
      <c r="AJ399" s="226" t="s">
        <v>5443</v>
      </c>
      <c r="AK399" s="109" t="s">
        <v>5444</v>
      </c>
      <c r="AL399" s="109" t="s">
        <v>5445</v>
      </c>
      <c r="AM399" s="109" t="s">
        <v>5446</v>
      </c>
      <c r="AN399" s="109" t="s">
        <v>5447</v>
      </c>
      <c r="AO399" s="86"/>
      <c r="AP399" s="109"/>
      <c r="AQ399" s="142" t="s">
        <v>5448</v>
      </c>
      <c r="AR399" s="133" t="s">
        <v>5403</v>
      </c>
      <c r="AS399" s="109">
        <v>44561.0</v>
      </c>
    </row>
    <row r="400" ht="14.25" customHeight="1">
      <c r="A400" s="188">
        <v>395.0</v>
      </c>
      <c r="B400" s="241" t="s">
        <v>5449</v>
      </c>
      <c r="C400" s="229" t="s">
        <v>2453</v>
      </c>
      <c r="D400" s="229" t="s">
        <v>5450</v>
      </c>
      <c r="E400" s="109" t="s">
        <v>5451</v>
      </c>
      <c r="F400" s="109" t="s">
        <v>161</v>
      </c>
      <c r="G400" s="109" t="s">
        <v>57</v>
      </c>
      <c r="H400" s="109">
        <v>1.031918422E9</v>
      </c>
      <c r="I400" s="109">
        <v>43178.0</v>
      </c>
      <c r="J400" s="109"/>
      <c r="K400" s="109"/>
      <c r="L400" s="109"/>
      <c r="M400" s="109"/>
      <c r="N400" s="109"/>
      <c r="O400" s="109"/>
      <c r="P400" s="109"/>
      <c r="Q400" s="109"/>
      <c r="R400" s="109"/>
      <c r="S400" s="109"/>
      <c r="T400" s="109"/>
      <c r="U400" s="109"/>
      <c r="V400" s="109"/>
      <c r="W400" s="109"/>
      <c r="X400" s="109">
        <v>43178.0</v>
      </c>
      <c r="Y400" s="109">
        <v>43361.0</v>
      </c>
      <c r="Z400" s="109"/>
      <c r="AA400" s="109"/>
      <c r="AB400" s="137">
        <v>43362.0</v>
      </c>
      <c r="AC400" s="109" t="s">
        <v>3997</v>
      </c>
      <c r="AD400" s="109">
        <v>32787.0</v>
      </c>
      <c r="AE400" s="109" t="s">
        <v>5452</v>
      </c>
      <c r="AF400" s="109" t="s">
        <v>5453</v>
      </c>
      <c r="AG400" s="109" t="s">
        <v>3624</v>
      </c>
      <c r="AH400" s="143">
        <v>9.514931682E9</v>
      </c>
      <c r="AI400" s="234" t="s">
        <v>5454</v>
      </c>
      <c r="AJ400" s="226" t="s">
        <v>5455</v>
      </c>
      <c r="AK400" s="109" t="s">
        <v>5456</v>
      </c>
      <c r="AL400" s="109" t="s">
        <v>5457</v>
      </c>
      <c r="AM400" s="109" t="s">
        <v>5458</v>
      </c>
      <c r="AN400" s="109" t="s">
        <v>5459</v>
      </c>
      <c r="AO400" s="86"/>
      <c r="AP400" s="109">
        <v>1.0</v>
      </c>
      <c r="AQ400" s="142" t="s">
        <v>5460</v>
      </c>
      <c r="AR400" s="133" t="s">
        <v>5403</v>
      </c>
      <c r="AS400" s="109">
        <v>44561.0</v>
      </c>
    </row>
    <row r="401" ht="14.25" customHeight="1">
      <c r="A401" s="188">
        <v>396.0</v>
      </c>
      <c r="B401" s="241" t="s">
        <v>1398</v>
      </c>
      <c r="C401" s="244" t="s">
        <v>5461</v>
      </c>
      <c r="D401" s="229" t="s">
        <v>1400</v>
      </c>
      <c r="E401" s="109" t="s">
        <v>2047</v>
      </c>
      <c r="F401" s="109" t="s">
        <v>161</v>
      </c>
      <c r="G401" s="109" t="s">
        <v>57</v>
      </c>
      <c r="H401" s="213">
        <v>1.052419194E9</v>
      </c>
      <c r="I401" s="109">
        <v>43609.0</v>
      </c>
      <c r="J401" s="109">
        <v>43609.0</v>
      </c>
      <c r="K401" s="109">
        <v>43624.0</v>
      </c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109">
        <v>43609.0</v>
      </c>
      <c r="Y401" s="109">
        <v>43792.0</v>
      </c>
      <c r="Z401" s="109"/>
      <c r="AA401" s="109"/>
      <c r="AB401" s="137">
        <v>43793.0</v>
      </c>
      <c r="AC401" s="109" t="s">
        <v>62</v>
      </c>
      <c r="AD401" s="109">
        <v>35400.0</v>
      </c>
      <c r="AE401" s="109" t="s">
        <v>5462</v>
      </c>
      <c r="AF401" s="109" t="s">
        <v>4806</v>
      </c>
      <c r="AG401" s="109"/>
      <c r="AH401" s="218">
        <v>9.100367935E9</v>
      </c>
      <c r="AI401" s="233" t="s">
        <v>1404</v>
      </c>
      <c r="AJ401" s="226" t="s">
        <v>3274</v>
      </c>
      <c r="AK401" s="109" t="s">
        <v>1406</v>
      </c>
      <c r="AL401" s="109" t="s">
        <v>1407</v>
      </c>
      <c r="AM401" s="109" t="s">
        <v>1408</v>
      </c>
      <c r="AN401" s="109" t="s">
        <v>1409</v>
      </c>
      <c r="AO401" s="86"/>
      <c r="AP401" s="109">
        <v>1.0</v>
      </c>
      <c r="AQ401" s="142" t="s">
        <v>5463</v>
      </c>
      <c r="AR401" s="133" t="s">
        <v>5403</v>
      </c>
      <c r="AS401" s="109">
        <v>44561.0</v>
      </c>
    </row>
    <row r="402" ht="14.25" customHeight="1">
      <c r="A402" s="188">
        <v>397.0</v>
      </c>
      <c r="B402" s="241" t="s">
        <v>521</v>
      </c>
      <c r="C402" s="229" t="s">
        <v>5464</v>
      </c>
      <c r="D402" s="229" t="s">
        <v>5465</v>
      </c>
      <c r="E402" s="109" t="s">
        <v>3962</v>
      </c>
      <c r="F402" s="109" t="s">
        <v>4135</v>
      </c>
      <c r="G402" s="109" t="s">
        <v>57</v>
      </c>
      <c r="H402" s="109">
        <v>1.040518426E9</v>
      </c>
      <c r="I402" s="109">
        <v>43194.0</v>
      </c>
      <c r="J402" s="109"/>
      <c r="K402" s="109"/>
      <c r="L402" s="109"/>
      <c r="M402" s="109"/>
      <c r="N402" s="109"/>
      <c r="O402" s="109"/>
      <c r="P402" s="109"/>
      <c r="Q402" s="109"/>
      <c r="R402" s="109"/>
      <c r="S402" s="109"/>
      <c r="T402" s="109"/>
      <c r="U402" s="109"/>
      <c r="V402" s="109"/>
      <c r="W402" s="109"/>
      <c r="X402" s="109">
        <v>43195.0</v>
      </c>
      <c r="Y402" s="109">
        <v>43378.0</v>
      </c>
      <c r="Z402" s="109"/>
      <c r="AA402" s="109"/>
      <c r="AB402" s="137">
        <v>43379.0</v>
      </c>
      <c r="AC402" s="109" t="s">
        <v>62</v>
      </c>
      <c r="AD402" s="109">
        <v>34058.0</v>
      </c>
      <c r="AE402" s="109" t="s">
        <v>5466</v>
      </c>
      <c r="AF402" s="109" t="s">
        <v>5467</v>
      </c>
      <c r="AG402" s="109" t="s">
        <v>5468</v>
      </c>
      <c r="AH402" s="237">
        <v>9.0701115E9</v>
      </c>
      <c r="AI402" s="233" t="s">
        <v>5469</v>
      </c>
      <c r="AJ402" s="226" t="s">
        <v>5470</v>
      </c>
      <c r="AK402" s="109" t="s">
        <v>5471</v>
      </c>
      <c r="AL402" s="109" t="s">
        <v>5472</v>
      </c>
      <c r="AM402" s="109" t="s">
        <v>5473</v>
      </c>
      <c r="AN402" s="109" t="s">
        <v>5474</v>
      </c>
      <c r="AO402" s="86"/>
      <c r="AP402" s="109"/>
      <c r="AQ402" s="142" t="s">
        <v>5475</v>
      </c>
      <c r="AR402" s="133" t="s">
        <v>5403</v>
      </c>
      <c r="AS402" s="109">
        <v>44561.0</v>
      </c>
    </row>
    <row r="403" ht="14.25" customHeight="1">
      <c r="A403" s="188">
        <v>398.0</v>
      </c>
      <c r="B403" s="241" t="s">
        <v>4113</v>
      </c>
      <c r="C403" s="229" t="s">
        <v>5476</v>
      </c>
      <c r="D403" s="229" t="s">
        <v>5477</v>
      </c>
      <c r="E403" s="109" t="s">
        <v>5478</v>
      </c>
      <c r="F403" s="109" t="s">
        <v>56</v>
      </c>
      <c r="G403" s="109" t="s">
        <v>57</v>
      </c>
      <c r="H403" s="109">
        <v>1.011716276E9</v>
      </c>
      <c r="I403" s="109">
        <v>42401.0</v>
      </c>
      <c r="J403" s="109">
        <v>42386.0</v>
      </c>
      <c r="K403" s="109">
        <v>42400.0</v>
      </c>
      <c r="L403" s="109">
        <v>42401.0</v>
      </c>
      <c r="M403" s="109">
        <v>42552.0</v>
      </c>
      <c r="N403" s="109"/>
      <c r="O403" s="109"/>
      <c r="P403" s="109"/>
      <c r="Q403" s="109"/>
      <c r="R403" s="109">
        <v>42553.0</v>
      </c>
      <c r="S403" s="109">
        <v>43283.0</v>
      </c>
      <c r="T403" s="109"/>
      <c r="U403" s="109"/>
      <c r="V403" s="109"/>
      <c r="W403" s="109"/>
      <c r="X403" s="109"/>
      <c r="Y403" s="109"/>
      <c r="Z403" s="109"/>
      <c r="AA403" s="109"/>
      <c r="AB403" s="137">
        <v>42828.0</v>
      </c>
      <c r="AC403" s="109" t="s">
        <v>62</v>
      </c>
      <c r="AD403" s="109">
        <v>34255.0</v>
      </c>
      <c r="AE403" s="109" t="s">
        <v>5479</v>
      </c>
      <c r="AF403" s="109" t="s">
        <v>4385</v>
      </c>
      <c r="AG403" s="109" t="s">
        <v>5480</v>
      </c>
      <c r="AH403" s="143">
        <v>9.56807808E9</v>
      </c>
      <c r="AI403" s="233" t="s">
        <v>5481</v>
      </c>
      <c r="AJ403" s="226" t="s">
        <v>5482</v>
      </c>
      <c r="AK403" s="109" t="s">
        <v>5483</v>
      </c>
      <c r="AL403" s="109" t="s">
        <v>5484</v>
      </c>
      <c r="AM403" s="109" t="s">
        <v>5485</v>
      </c>
      <c r="AN403" s="109" t="s">
        <v>5486</v>
      </c>
      <c r="AO403" s="86"/>
      <c r="AP403" s="109">
        <v>1.0</v>
      </c>
      <c r="AQ403" s="158" t="s">
        <v>5487</v>
      </c>
      <c r="AR403" s="133" t="s">
        <v>5403</v>
      </c>
      <c r="AS403" s="109">
        <v>44561.0</v>
      </c>
    </row>
    <row r="404" ht="18.0" customHeight="1">
      <c r="A404" s="188">
        <v>399.0</v>
      </c>
      <c r="B404" s="241" t="s">
        <v>1268</v>
      </c>
      <c r="C404" s="229" t="s">
        <v>1269</v>
      </c>
      <c r="D404" s="229" t="s">
        <v>1270</v>
      </c>
      <c r="E404" s="109" t="s">
        <v>717</v>
      </c>
      <c r="F404" s="109" t="s">
        <v>4135</v>
      </c>
      <c r="G404" s="109" t="s">
        <v>57</v>
      </c>
      <c r="H404" s="109">
        <v>1.091218143E9</v>
      </c>
      <c r="I404" s="109">
        <v>43355.0</v>
      </c>
      <c r="J404" s="109">
        <v>43355.0</v>
      </c>
      <c r="K404" s="109">
        <v>43370.0</v>
      </c>
      <c r="L404" s="109"/>
      <c r="M404" s="109"/>
      <c r="N404" s="109"/>
      <c r="O404" s="109"/>
      <c r="P404" s="109"/>
      <c r="Q404" s="109"/>
      <c r="R404" s="109"/>
      <c r="S404" s="109"/>
      <c r="T404" s="109"/>
      <c r="U404" s="109"/>
      <c r="V404" s="109"/>
      <c r="W404" s="109"/>
      <c r="X404" s="109">
        <v>43355.0</v>
      </c>
      <c r="Y404" s="109">
        <v>43535.0</v>
      </c>
      <c r="Z404" s="109"/>
      <c r="AA404" s="109"/>
      <c r="AB404" s="109">
        <v>43535.0</v>
      </c>
      <c r="AC404" s="162" t="s">
        <v>62</v>
      </c>
      <c r="AD404" s="109">
        <v>32827.0</v>
      </c>
      <c r="AE404" s="109" t="s">
        <v>5488</v>
      </c>
      <c r="AF404" s="109" t="s">
        <v>4526</v>
      </c>
      <c r="AG404" s="109" t="s">
        <v>1272</v>
      </c>
      <c r="AH404" s="143">
        <v>9.27588203E9</v>
      </c>
      <c r="AI404" s="67" t="s">
        <v>1273</v>
      </c>
      <c r="AJ404" s="226" t="s">
        <v>5489</v>
      </c>
      <c r="AK404" s="109" t="s">
        <v>1274</v>
      </c>
      <c r="AL404" s="109" t="s">
        <v>1275</v>
      </c>
      <c r="AM404" s="205" t="s">
        <v>1276</v>
      </c>
      <c r="AN404" s="109" t="s">
        <v>1277</v>
      </c>
      <c r="AO404" s="86"/>
      <c r="AP404" s="109"/>
      <c r="AQ404" s="158" t="s">
        <v>5490</v>
      </c>
      <c r="AR404" s="133" t="s">
        <v>5403</v>
      </c>
      <c r="AS404" s="109">
        <v>44561.0</v>
      </c>
      <c r="AT404" s="212"/>
      <c r="AU404" s="212"/>
      <c r="AV404" s="212"/>
      <c r="AW404" s="212"/>
      <c r="AX404" s="212"/>
      <c r="AY404" s="212"/>
      <c r="AZ404" s="212"/>
      <c r="BA404" s="212"/>
    </row>
    <row r="405" ht="14.25" customHeight="1">
      <c r="A405" s="188">
        <v>400.0</v>
      </c>
      <c r="B405" s="241" t="s">
        <v>1164</v>
      </c>
      <c r="C405" s="229" t="s">
        <v>5491</v>
      </c>
      <c r="D405" s="229" t="s">
        <v>5492</v>
      </c>
      <c r="E405" s="109" t="s">
        <v>881</v>
      </c>
      <c r="F405" s="109" t="s">
        <v>4135</v>
      </c>
      <c r="G405" s="109" t="s">
        <v>57</v>
      </c>
      <c r="H405" s="109">
        <v>1.091219208E9</v>
      </c>
      <c r="I405" s="109">
        <v>43720.0</v>
      </c>
      <c r="J405" s="109">
        <v>43720.0</v>
      </c>
      <c r="K405" s="109">
        <v>43735.0</v>
      </c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109">
        <v>43720.0</v>
      </c>
      <c r="Y405" s="109">
        <v>43901.0</v>
      </c>
      <c r="Z405" s="109"/>
      <c r="AA405" s="109"/>
      <c r="AB405" s="137">
        <v>43901.0</v>
      </c>
      <c r="AC405" s="109" t="s">
        <v>62</v>
      </c>
      <c r="AD405" s="109">
        <v>35903.0</v>
      </c>
      <c r="AE405" s="109" t="s">
        <v>5493</v>
      </c>
      <c r="AF405" s="109" t="s">
        <v>4385</v>
      </c>
      <c r="AG405" s="109" t="s">
        <v>5494</v>
      </c>
      <c r="AH405" s="218">
        <v>9.062553037E9</v>
      </c>
      <c r="AI405" s="233" t="s">
        <v>5495</v>
      </c>
      <c r="AJ405" s="226" t="s">
        <v>4826</v>
      </c>
      <c r="AK405" s="109" t="s">
        <v>5496</v>
      </c>
      <c r="AL405" s="109" t="s">
        <v>5497</v>
      </c>
      <c r="AM405" s="109" t="s">
        <v>5498</v>
      </c>
      <c r="AN405" s="109" t="s">
        <v>5499</v>
      </c>
      <c r="AO405" s="86"/>
      <c r="AP405" s="109"/>
      <c r="AQ405" s="158" t="s">
        <v>5500</v>
      </c>
      <c r="AR405" s="133" t="s">
        <v>5403</v>
      </c>
      <c r="AS405" s="109">
        <v>44561.0</v>
      </c>
    </row>
    <row r="406" ht="14.25" customHeight="1">
      <c r="A406" s="188">
        <v>401.0</v>
      </c>
      <c r="B406" s="247" t="s">
        <v>5501</v>
      </c>
      <c r="C406" s="248" t="s">
        <v>5502</v>
      </c>
      <c r="D406" s="249" t="s">
        <v>5503</v>
      </c>
      <c r="E406" s="109" t="s">
        <v>82</v>
      </c>
      <c r="F406" s="109" t="s">
        <v>4135</v>
      </c>
      <c r="G406" s="109" t="s">
        <v>16</v>
      </c>
      <c r="H406" s="109">
        <v>1.011120231E9</v>
      </c>
      <c r="I406" s="109">
        <v>43841.0</v>
      </c>
      <c r="J406" s="109">
        <v>43841.0</v>
      </c>
      <c r="K406" s="109">
        <v>44161.0</v>
      </c>
      <c r="L406" s="109"/>
      <c r="M406" s="109"/>
      <c r="N406" s="109"/>
      <c r="O406" s="109"/>
      <c r="P406" s="109"/>
      <c r="Q406" s="109"/>
      <c r="R406" s="109"/>
      <c r="S406" s="109"/>
      <c r="T406" s="109"/>
      <c r="U406" s="109"/>
      <c r="V406" s="109"/>
      <c r="W406" s="109"/>
      <c r="X406" s="109">
        <v>43841.0</v>
      </c>
      <c r="Y406" s="109">
        <v>44022.0</v>
      </c>
      <c r="Z406" s="109"/>
      <c r="AA406" s="109"/>
      <c r="AB406" s="137"/>
      <c r="AC406" s="109" t="s">
        <v>62</v>
      </c>
      <c r="AD406" s="109">
        <v>34832.0</v>
      </c>
      <c r="AE406" s="109" t="s">
        <v>5504</v>
      </c>
      <c r="AF406" s="109" t="s">
        <v>4336</v>
      </c>
      <c r="AG406" s="109"/>
      <c r="AH406" s="218">
        <v>9.463541525E9</v>
      </c>
      <c r="AI406" s="233" t="s">
        <v>5505</v>
      </c>
      <c r="AJ406" s="226" t="s">
        <v>4826</v>
      </c>
      <c r="AK406" s="109" t="s">
        <v>5506</v>
      </c>
      <c r="AL406" s="109" t="s">
        <v>5507</v>
      </c>
      <c r="AM406" s="109" t="s">
        <v>5508</v>
      </c>
      <c r="AN406" s="109" t="s">
        <v>5509</v>
      </c>
      <c r="AO406" s="86"/>
      <c r="AP406" s="109"/>
      <c r="AQ406" s="158"/>
      <c r="AR406" s="133" t="s">
        <v>5403</v>
      </c>
      <c r="AS406" s="109">
        <v>44561.0</v>
      </c>
    </row>
    <row r="407" ht="14.25" customHeight="1">
      <c r="A407" s="188">
        <v>402.0</v>
      </c>
      <c r="B407" s="247" t="s">
        <v>5510</v>
      </c>
      <c r="C407" s="248" t="s">
        <v>5511</v>
      </c>
      <c r="D407" s="249" t="s">
        <v>2319</v>
      </c>
      <c r="E407" s="109" t="s">
        <v>82</v>
      </c>
      <c r="F407" s="109" t="s">
        <v>4135</v>
      </c>
      <c r="G407" s="109" t="s">
        <v>16</v>
      </c>
      <c r="H407" s="109">
        <v>1.01112023E9</v>
      </c>
      <c r="I407" s="109">
        <v>43841.0</v>
      </c>
      <c r="J407" s="109">
        <v>43841.0</v>
      </c>
      <c r="K407" s="109">
        <v>44161.0</v>
      </c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109">
        <v>43841.0</v>
      </c>
      <c r="Y407" s="109">
        <v>44022.0</v>
      </c>
      <c r="Z407" s="109"/>
      <c r="AA407" s="109"/>
      <c r="AB407" s="137"/>
      <c r="AC407" s="109" t="s">
        <v>62</v>
      </c>
      <c r="AD407" s="109">
        <v>34959.0</v>
      </c>
      <c r="AE407" s="109" t="s">
        <v>5512</v>
      </c>
      <c r="AF407" s="109" t="s">
        <v>4385</v>
      </c>
      <c r="AG407" s="109"/>
      <c r="AH407" s="218">
        <v>9.278719749E9</v>
      </c>
      <c r="AI407" s="233" t="s">
        <v>5513</v>
      </c>
      <c r="AJ407" s="226" t="s">
        <v>4826</v>
      </c>
      <c r="AK407" s="109" t="s">
        <v>5514</v>
      </c>
      <c r="AL407" s="109" t="s">
        <v>5515</v>
      </c>
      <c r="AM407" s="109" t="s">
        <v>5516</v>
      </c>
      <c r="AN407" s="109" t="s">
        <v>5517</v>
      </c>
      <c r="AO407" s="86"/>
      <c r="AP407" s="109"/>
      <c r="AQ407" s="158" t="s">
        <v>5518</v>
      </c>
      <c r="AR407" s="133" t="s">
        <v>5403</v>
      </c>
      <c r="AS407" s="109">
        <v>44561.0</v>
      </c>
    </row>
    <row r="408" ht="14.25" customHeight="1">
      <c r="A408" s="188">
        <v>403.0</v>
      </c>
      <c r="B408" s="247" t="s">
        <v>5519</v>
      </c>
      <c r="C408" s="248" t="s">
        <v>5520</v>
      </c>
      <c r="D408" s="249" t="s">
        <v>5521</v>
      </c>
      <c r="E408" s="109" t="s">
        <v>82</v>
      </c>
      <c r="F408" s="109" t="s">
        <v>4135</v>
      </c>
      <c r="G408" s="109" t="s">
        <v>16</v>
      </c>
      <c r="H408" s="109">
        <v>1.011720233E9</v>
      </c>
      <c r="I408" s="109">
        <v>43847.0</v>
      </c>
      <c r="J408" s="109">
        <v>43847.0</v>
      </c>
      <c r="K408" s="109">
        <v>43862.0</v>
      </c>
      <c r="L408" s="109"/>
      <c r="M408" s="109"/>
      <c r="N408" s="109"/>
      <c r="O408" s="109"/>
      <c r="P408" s="109"/>
      <c r="Q408" s="109"/>
      <c r="R408" s="109"/>
      <c r="S408" s="109"/>
      <c r="T408" s="109"/>
      <c r="U408" s="109"/>
      <c r="V408" s="109"/>
      <c r="W408" s="109"/>
      <c r="X408" s="109">
        <v>43847.0</v>
      </c>
      <c r="Y408" s="109">
        <v>44028.0</v>
      </c>
      <c r="Z408" s="109"/>
      <c r="AA408" s="109"/>
      <c r="AB408" s="137"/>
      <c r="AC408" s="109" t="s">
        <v>62</v>
      </c>
      <c r="AD408" s="109">
        <v>35425.0</v>
      </c>
      <c r="AE408" s="109" t="s">
        <v>5522</v>
      </c>
      <c r="AF408" s="109" t="s">
        <v>4385</v>
      </c>
      <c r="AG408" s="109" t="s">
        <v>5523</v>
      </c>
      <c r="AH408" s="218">
        <v>9.666687172E9</v>
      </c>
      <c r="AI408" s="233" t="s">
        <v>5524</v>
      </c>
      <c r="AJ408" s="226" t="s">
        <v>5525</v>
      </c>
      <c r="AK408" s="109" t="s">
        <v>5526</v>
      </c>
      <c r="AL408" s="109" t="s">
        <v>5527</v>
      </c>
      <c r="AM408" s="109" t="s">
        <v>5528</v>
      </c>
      <c r="AN408" s="109" t="s">
        <v>5529</v>
      </c>
      <c r="AO408" s="86"/>
      <c r="AP408" s="109"/>
      <c r="AQ408" s="158" t="s">
        <v>5530</v>
      </c>
      <c r="AR408" s="133" t="s">
        <v>5403</v>
      </c>
      <c r="AS408" s="109">
        <v>44561.0</v>
      </c>
    </row>
    <row r="409" ht="14.25" customHeight="1">
      <c r="A409" s="188">
        <v>404.0</v>
      </c>
      <c r="B409" s="247" t="s">
        <v>5531</v>
      </c>
      <c r="C409" s="248" t="s">
        <v>5532</v>
      </c>
      <c r="D409" s="249" t="s">
        <v>1689</v>
      </c>
      <c r="E409" s="109" t="s">
        <v>82</v>
      </c>
      <c r="F409" s="109" t="s">
        <v>4135</v>
      </c>
      <c r="G409" s="109" t="s">
        <v>16</v>
      </c>
      <c r="H409" s="109">
        <v>1.022220238E9</v>
      </c>
      <c r="I409" s="109">
        <v>43883.0</v>
      </c>
      <c r="J409" s="109">
        <v>43883.0</v>
      </c>
      <c r="K409" s="109">
        <v>43898.0</v>
      </c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109">
        <v>43883.0</v>
      </c>
      <c r="Y409" s="109">
        <v>44064.0</v>
      </c>
      <c r="Z409" s="109"/>
      <c r="AA409" s="109"/>
      <c r="AB409" s="137"/>
      <c r="AC409" s="109" t="s">
        <v>62</v>
      </c>
      <c r="AD409" s="109">
        <v>35106.0</v>
      </c>
      <c r="AE409" s="109" t="s">
        <v>5533</v>
      </c>
      <c r="AF409" s="109" t="s">
        <v>4385</v>
      </c>
      <c r="AG409" s="109"/>
      <c r="AH409" s="218">
        <v>9.451234625E9</v>
      </c>
      <c r="AI409" s="67" t="s">
        <v>5534</v>
      </c>
      <c r="AJ409" s="226" t="s">
        <v>4826</v>
      </c>
      <c r="AK409" s="109" t="s">
        <v>5535</v>
      </c>
      <c r="AL409" s="109" t="s">
        <v>5536</v>
      </c>
      <c r="AM409" s="109" t="s">
        <v>5537</v>
      </c>
      <c r="AN409" s="109" t="s">
        <v>5538</v>
      </c>
      <c r="AO409" s="86"/>
      <c r="AP409" s="109"/>
      <c r="AQ409" s="158" t="s">
        <v>5539</v>
      </c>
      <c r="AR409" s="133" t="s">
        <v>5403</v>
      </c>
      <c r="AS409" s="109">
        <v>44561.0</v>
      </c>
    </row>
    <row r="410" ht="14.25" customHeight="1">
      <c r="A410" s="188">
        <v>405.0</v>
      </c>
      <c r="B410" s="247" t="s">
        <v>5540</v>
      </c>
      <c r="C410" s="248" t="s">
        <v>5541</v>
      </c>
      <c r="D410" s="249" t="s">
        <v>5542</v>
      </c>
      <c r="E410" s="109" t="s">
        <v>82</v>
      </c>
      <c r="F410" s="109" t="s">
        <v>4135</v>
      </c>
      <c r="G410" s="109" t="s">
        <v>16</v>
      </c>
      <c r="H410" s="109"/>
      <c r="I410" s="109">
        <v>43884.0</v>
      </c>
      <c r="J410" s="109">
        <v>43884.0</v>
      </c>
      <c r="K410" s="109">
        <v>43899.0</v>
      </c>
      <c r="L410" s="109"/>
      <c r="M410" s="109"/>
      <c r="N410" s="109"/>
      <c r="O410" s="109"/>
      <c r="P410" s="109"/>
      <c r="Q410" s="109"/>
      <c r="R410" s="109"/>
      <c r="S410" s="109"/>
      <c r="T410" s="109"/>
      <c r="U410" s="109"/>
      <c r="V410" s="109"/>
      <c r="W410" s="109"/>
      <c r="X410" s="109">
        <v>43884.0</v>
      </c>
      <c r="Y410" s="109">
        <v>44065.0</v>
      </c>
      <c r="Z410" s="109"/>
      <c r="AA410" s="109"/>
      <c r="AB410" s="137"/>
      <c r="AC410" s="109" t="s">
        <v>62</v>
      </c>
      <c r="AD410" s="109">
        <v>35263.0</v>
      </c>
      <c r="AE410" s="109" t="s">
        <v>5543</v>
      </c>
      <c r="AF410" s="109" t="s">
        <v>4325</v>
      </c>
      <c r="AG410" s="109" t="s">
        <v>5544</v>
      </c>
      <c r="AH410" s="218">
        <v>9.264841677E9</v>
      </c>
      <c r="AI410" s="250" t="s">
        <v>5545</v>
      </c>
      <c r="AJ410" s="226" t="s">
        <v>4826</v>
      </c>
      <c r="AK410" s="109" t="s">
        <v>5546</v>
      </c>
      <c r="AL410" s="109" t="s">
        <v>5547</v>
      </c>
      <c r="AM410" s="109" t="s">
        <v>5548</v>
      </c>
      <c r="AN410" s="109" t="s">
        <v>5549</v>
      </c>
      <c r="AO410" s="86"/>
      <c r="AP410" s="109"/>
      <c r="AQ410" s="158" t="s">
        <v>5550</v>
      </c>
      <c r="AR410" s="133" t="s">
        <v>5403</v>
      </c>
      <c r="AS410" s="109">
        <v>44561.0</v>
      </c>
    </row>
    <row r="411" ht="14.25" customHeight="1">
      <c r="A411" s="188">
        <v>406.0</v>
      </c>
      <c r="B411" s="251" t="s">
        <v>5551</v>
      </c>
      <c r="C411" s="252" t="s">
        <v>5552</v>
      </c>
      <c r="D411" s="253" t="s">
        <v>5553</v>
      </c>
      <c r="E411" s="214" t="s">
        <v>82</v>
      </c>
      <c r="F411" s="214" t="s">
        <v>4135</v>
      </c>
      <c r="G411" s="214" t="s">
        <v>16</v>
      </c>
      <c r="H411" s="214"/>
      <c r="I411" s="214">
        <v>43897.0</v>
      </c>
      <c r="J411" s="214">
        <v>43897.0</v>
      </c>
      <c r="K411" s="214">
        <v>43912.0</v>
      </c>
      <c r="L411" s="214"/>
      <c r="M411" s="214"/>
      <c r="N411" s="214"/>
      <c r="O411" s="214"/>
      <c r="P411" s="214"/>
      <c r="Q411" s="214"/>
      <c r="R411" s="214"/>
      <c r="S411" s="214"/>
      <c r="T411" s="214"/>
      <c r="U411" s="214"/>
      <c r="V411" s="214"/>
      <c r="W411" s="214"/>
      <c r="X411" s="214" t="s">
        <v>5554</v>
      </c>
      <c r="Y411" s="214">
        <v>44080.0</v>
      </c>
      <c r="Z411" s="214"/>
      <c r="AA411" s="214"/>
      <c r="AB411" s="254"/>
      <c r="AC411" s="214" t="s">
        <v>62</v>
      </c>
      <c r="AD411" s="214">
        <v>34719.0</v>
      </c>
      <c r="AE411" s="214" t="s">
        <v>5555</v>
      </c>
      <c r="AF411" s="214" t="s">
        <v>5229</v>
      </c>
      <c r="AG411" s="214" t="s">
        <v>4056</v>
      </c>
      <c r="AH411" s="255">
        <v>9.505996078E9</v>
      </c>
      <c r="AI411" s="256" t="s">
        <v>5556</v>
      </c>
      <c r="AJ411" s="257" t="s">
        <v>5557</v>
      </c>
      <c r="AK411" s="214"/>
      <c r="AL411" s="214" t="s">
        <v>5558</v>
      </c>
      <c r="AM411" s="214" t="s">
        <v>5559</v>
      </c>
      <c r="AN411" s="214" t="s">
        <v>5560</v>
      </c>
      <c r="AO411" s="86"/>
      <c r="AP411" s="214"/>
      <c r="AQ411" s="258" t="s">
        <v>5561</v>
      </c>
      <c r="AR411" s="133" t="s">
        <v>5403</v>
      </c>
      <c r="AS411" s="109">
        <v>44561.0</v>
      </c>
    </row>
    <row r="412" ht="14.25" customHeight="1">
      <c r="A412" s="188">
        <v>407.0</v>
      </c>
      <c r="B412" s="249" t="s">
        <v>5562</v>
      </c>
      <c r="C412" s="249" t="s">
        <v>5563</v>
      </c>
      <c r="D412" s="249" t="s">
        <v>5564</v>
      </c>
      <c r="E412" s="109" t="s">
        <v>1881</v>
      </c>
      <c r="F412" s="109" t="s">
        <v>4135</v>
      </c>
      <c r="G412" s="109" t="s">
        <v>16</v>
      </c>
      <c r="H412" s="133">
        <v>1.011720232E9</v>
      </c>
      <c r="I412" s="109">
        <v>43847.0</v>
      </c>
      <c r="J412" s="109">
        <v>43847.0</v>
      </c>
      <c r="K412" s="109">
        <v>43862.0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109">
        <v>43847.0</v>
      </c>
      <c r="Y412" s="109">
        <v>44028.0</v>
      </c>
      <c r="Z412" s="86"/>
      <c r="AA412" s="86"/>
      <c r="AB412" s="86"/>
      <c r="AC412" s="109" t="s">
        <v>62</v>
      </c>
      <c r="AD412" s="133">
        <v>36102.0</v>
      </c>
      <c r="AE412" s="133" t="s">
        <v>5565</v>
      </c>
      <c r="AF412" s="133" t="s">
        <v>4764</v>
      </c>
      <c r="AG412" s="86" t="s">
        <v>5566</v>
      </c>
      <c r="AH412" s="109">
        <v>9.153008561E9</v>
      </c>
      <c r="AI412" s="233" t="s">
        <v>5567</v>
      </c>
      <c r="AJ412" s="109" t="s">
        <v>5568</v>
      </c>
      <c r="AK412" s="109" t="s">
        <v>5569</v>
      </c>
      <c r="AL412" s="109" t="s">
        <v>5570</v>
      </c>
      <c r="AM412" s="109" t="s">
        <v>5571</v>
      </c>
      <c r="AN412" s="109" t="s">
        <v>5572</v>
      </c>
      <c r="AO412" s="86"/>
      <c r="AP412" s="86"/>
      <c r="AQ412" s="86" t="s">
        <v>5573</v>
      </c>
      <c r="AR412" s="133" t="s">
        <v>5403</v>
      </c>
      <c r="AS412" s="109">
        <v>44561.0</v>
      </c>
    </row>
    <row r="413" ht="18.0" customHeight="1">
      <c r="A413" s="188">
        <v>408.0</v>
      </c>
      <c r="B413" s="229" t="s">
        <v>5574</v>
      </c>
      <c r="C413" s="229" t="s">
        <v>52</v>
      </c>
      <c r="D413" s="229" t="s">
        <v>2217</v>
      </c>
      <c r="E413" s="109" t="s">
        <v>160</v>
      </c>
      <c r="F413" s="109" t="s">
        <v>161</v>
      </c>
      <c r="G413" s="109" t="s">
        <v>57</v>
      </c>
      <c r="H413" s="109">
        <v>1.052515235E9</v>
      </c>
      <c r="I413" s="109">
        <v>42189.0</v>
      </c>
      <c r="J413" s="109">
        <v>42148.0</v>
      </c>
      <c r="K413" s="109">
        <v>42240.0</v>
      </c>
      <c r="L413" s="109">
        <v>42189.0</v>
      </c>
      <c r="M413" s="109">
        <v>42342.0</v>
      </c>
      <c r="N413" s="109"/>
      <c r="O413" s="109"/>
      <c r="P413" s="188"/>
      <c r="Q413" s="188"/>
      <c r="R413" s="109">
        <v>42342.0</v>
      </c>
      <c r="S413" s="109">
        <v>42708.0</v>
      </c>
      <c r="T413" s="109">
        <v>42709.0</v>
      </c>
      <c r="U413" s="109">
        <v>43439.0</v>
      </c>
      <c r="V413" s="109"/>
      <c r="W413" s="109"/>
      <c r="X413" s="109"/>
      <c r="Y413" s="109"/>
      <c r="Z413" s="109"/>
      <c r="AA413" s="109"/>
      <c r="AB413" s="109">
        <v>42828.0</v>
      </c>
      <c r="AC413" s="162" t="s">
        <v>62</v>
      </c>
      <c r="AD413" s="109">
        <v>32987.0</v>
      </c>
      <c r="AE413" s="109" t="s">
        <v>5575</v>
      </c>
      <c r="AF413" s="109" t="s">
        <v>5576</v>
      </c>
      <c r="AG413" s="109" t="s">
        <v>5577</v>
      </c>
      <c r="AH413" s="198">
        <v>9.168850282E9</v>
      </c>
      <c r="AI413" s="234" t="s">
        <v>5578</v>
      </c>
      <c r="AJ413" s="109" t="s">
        <v>5579</v>
      </c>
      <c r="AK413" s="109" t="s">
        <v>5580</v>
      </c>
      <c r="AL413" s="109" t="s">
        <v>5581</v>
      </c>
      <c r="AM413" s="109" t="s">
        <v>5582</v>
      </c>
      <c r="AN413" s="109" t="s">
        <v>5583</v>
      </c>
      <c r="AO413" s="86"/>
      <c r="AP413" s="109"/>
      <c r="AQ413" s="158" t="s">
        <v>5584</v>
      </c>
      <c r="AR413" s="133" t="s">
        <v>5403</v>
      </c>
      <c r="AS413" s="109">
        <v>44561.0</v>
      </c>
      <c r="AT413" s="29"/>
      <c r="AU413" s="29"/>
      <c r="AV413" s="29"/>
      <c r="AW413" s="29"/>
      <c r="AX413" s="29"/>
      <c r="AY413" s="29"/>
      <c r="AZ413" s="29"/>
      <c r="BA413" s="29"/>
      <c r="BB413" s="29"/>
    </row>
    <row r="414" ht="18.0" customHeight="1">
      <c r="A414" s="188">
        <v>409.0</v>
      </c>
      <c r="B414" s="249" t="s">
        <v>435</v>
      </c>
      <c r="C414" s="249" t="s">
        <v>5585</v>
      </c>
      <c r="D414" s="249" t="s">
        <v>5586</v>
      </c>
      <c r="E414" s="109" t="s">
        <v>2047</v>
      </c>
      <c r="F414" s="109" t="s">
        <v>161</v>
      </c>
      <c r="G414" s="109" t="s">
        <v>16</v>
      </c>
      <c r="H414" s="109">
        <v>1.020120234E9</v>
      </c>
      <c r="I414" s="109">
        <v>43862.0</v>
      </c>
      <c r="J414" s="109">
        <v>43862.0</v>
      </c>
      <c r="K414" s="109">
        <v>43877.0</v>
      </c>
      <c r="L414" s="109"/>
      <c r="M414" s="109"/>
      <c r="N414" s="109"/>
      <c r="O414" s="109"/>
      <c r="P414" s="188"/>
      <c r="Q414" s="188"/>
      <c r="R414" s="109"/>
      <c r="S414" s="109"/>
      <c r="T414" s="109"/>
      <c r="U414" s="109"/>
      <c r="V414" s="109"/>
      <c r="W414" s="109"/>
      <c r="X414" s="109">
        <v>43862.0</v>
      </c>
      <c r="Y414" s="109">
        <v>44043.0</v>
      </c>
      <c r="Z414" s="109"/>
      <c r="AA414" s="109"/>
      <c r="AB414" s="109"/>
      <c r="AC414" s="162" t="s">
        <v>62</v>
      </c>
      <c r="AD414" s="109">
        <v>34984.0</v>
      </c>
      <c r="AE414" s="109" t="s">
        <v>5587</v>
      </c>
      <c r="AF414" s="109" t="s">
        <v>4336</v>
      </c>
      <c r="AG414" s="109" t="s">
        <v>5588</v>
      </c>
      <c r="AH414" s="162">
        <v>9.977740312E9</v>
      </c>
      <c r="AI414" s="233" t="s">
        <v>5589</v>
      </c>
      <c r="AJ414" s="109" t="s">
        <v>5590</v>
      </c>
      <c r="AK414" s="109" t="s">
        <v>5591</v>
      </c>
      <c r="AL414" s="109" t="s">
        <v>5592</v>
      </c>
      <c r="AM414" s="109" t="s">
        <v>5593</v>
      </c>
      <c r="AN414" s="217"/>
      <c r="AO414" s="86"/>
      <c r="AP414" s="109"/>
      <c r="AQ414" s="158" t="s">
        <v>5584</v>
      </c>
      <c r="AR414" s="133" t="s">
        <v>5403</v>
      </c>
      <c r="AS414" s="109">
        <v>44561.0</v>
      </c>
      <c r="AT414" s="29"/>
      <c r="AU414" s="29"/>
      <c r="AV414" s="29"/>
      <c r="AW414" s="29"/>
      <c r="AX414" s="29"/>
      <c r="AY414" s="29"/>
      <c r="AZ414" s="29"/>
      <c r="BA414" s="29"/>
      <c r="BB414" s="29"/>
    </row>
    <row r="415" ht="18.0" customHeight="1">
      <c r="A415" s="188">
        <v>410.0</v>
      </c>
      <c r="B415" s="249" t="s">
        <v>5594</v>
      </c>
      <c r="C415" s="249" t="s">
        <v>5595</v>
      </c>
      <c r="D415" s="249" t="s">
        <v>5596</v>
      </c>
      <c r="E415" s="109" t="s">
        <v>2047</v>
      </c>
      <c r="F415" s="109" t="s">
        <v>161</v>
      </c>
      <c r="G415" s="109" t="s">
        <v>16</v>
      </c>
      <c r="H415" s="109"/>
      <c r="I415" s="109">
        <v>43897.0</v>
      </c>
      <c r="J415" s="109">
        <v>43897.0</v>
      </c>
      <c r="K415" s="109">
        <v>43912.0</v>
      </c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109">
        <v>43897.0</v>
      </c>
      <c r="Y415" s="109">
        <v>44080.0</v>
      </c>
      <c r="Z415" s="109"/>
      <c r="AA415" s="109"/>
      <c r="AB415" s="109"/>
      <c r="AC415" s="162" t="s">
        <v>62</v>
      </c>
      <c r="AD415" s="109">
        <v>33677.0</v>
      </c>
      <c r="AE415" s="109" t="s">
        <v>5597</v>
      </c>
      <c r="AF415" s="109" t="s">
        <v>4325</v>
      </c>
      <c r="AG415" s="109" t="s">
        <v>5598</v>
      </c>
      <c r="AH415" s="162">
        <v>9.755481518E9</v>
      </c>
      <c r="AI415" s="234" t="s">
        <v>5599</v>
      </c>
      <c r="AJ415" s="109" t="s">
        <v>3274</v>
      </c>
      <c r="AK415" s="109" t="s">
        <v>5600</v>
      </c>
      <c r="AL415" s="109" t="s">
        <v>5601</v>
      </c>
      <c r="AM415" s="109" t="s">
        <v>5602</v>
      </c>
      <c r="AN415" s="217" t="s">
        <v>5603</v>
      </c>
      <c r="AO415" s="86"/>
      <c r="AP415" s="109"/>
      <c r="AQ415" s="158" t="s">
        <v>5604</v>
      </c>
      <c r="AR415" s="133" t="s">
        <v>5403</v>
      </c>
      <c r="AS415" s="109">
        <v>44561.0</v>
      </c>
      <c r="AT415" s="29"/>
      <c r="AU415" s="29"/>
      <c r="AV415" s="29"/>
      <c r="AW415" s="29"/>
      <c r="AX415" s="29"/>
      <c r="AY415" s="29"/>
      <c r="AZ415" s="29"/>
      <c r="BA415" s="29"/>
      <c r="BB415" s="29"/>
    </row>
    <row r="416" ht="14.25" customHeight="1">
      <c r="A416" s="188">
        <v>411.0</v>
      </c>
      <c r="B416" s="229" t="s">
        <v>5605</v>
      </c>
      <c r="C416" s="229" t="s">
        <v>5606</v>
      </c>
      <c r="D416" s="229" t="s">
        <v>5607</v>
      </c>
      <c r="E416" s="109" t="s">
        <v>133</v>
      </c>
      <c r="F416" s="109" t="s">
        <v>56</v>
      </c>
      <c r="G416" s="109" t="s">
        <v>57</v>
      </c>
      <c r="H416" s="109">
        <v>1.050918431E9</v>
      </c>
      <c r="I416" s="109">
        <v>43229.0</v>
      </c>
      <c r="J416" s="109"/>
      <c r="K416" s="109"/>
      <c r="L416" s="109"/>
      <c r="M416" s="109"/>
      <c r="N416" s="109"/>
      <c r="O416" s="109"/>
      <c r="P416" s="109"/>
      <c r="Q416" s="109"/>
      <c r="R416" s="109"/>
      <c r="S416" s="109"/>
      <c r="T416" s="109"/>
      <c r="U416" s="109"/>
      <c r="V416" s="109"/>
      <c r="W416" s="109"/>
      <c r="X416" s="109">
        <v>43229.0</v>
      </c>
      <c r="Y416" s="109">
        <v>43412.0</v>
      </c>
      <c r="Z416" s="109"/>
      <c r="AA416" s="109"/>
      <c r="AB416" s="137">
        <v>43413.0</v>
      </c>
      <c r="AC416" s="109" t="s">
        <v>62</v>
      </c>
      <c r="AD416" s="109">
        <v>35653.0</v>
      </c>
      <c r="AE416" s="109" t="s">
        <v>5608</v>
      </c>
      <c r="AF416" s="109" t="s">
        <v>4325</v>
      </c>
      <c r="AG416" s="109"/>
      <c r="AH416" s="162">
        <v>9.196051791E9</v>
      </c>
      <c r="AI416" s="233" t="s">
        <v>5609</v>
      </c>
      <c r="AJ416" s="109" t="s">
        <v>5610</v>
      </c>
      <c r="AK416" s="109" t="s">
        <v>5611</v>
      </c>
      <c r="AL416" s="109" t="s">
        <v>5612</v>
      </c>
      <c r="AM416" s="109" t="s">
        <v>5613</v>
      </c>
      <c r="AN416" s="109" t="s">
        <v>5614</v>
      </c>
      <c r="AO416" s="86"/>
      <c r="AP416" s="109"/>
      <c r="AQ416" s="142" t="s">
        <v>5615</v>
      </c>
      <c r="AR416" s="133" t="s">
        <v>5403</v>
      </c>
      <c r="AS416" s="109">
        <v>44561.0</v>
      </c>
    </row>
    <row r="417" ht="18.0" customHeight="1">
      <c r="A417" s="188">
        <v>412.0</v>
      </c>
      <c r="B417" s="229" t="s">
        <v>5616</v>
      </c>
      <c r="C417" s="229" t="s">
        <v>100</v>
      </c>
      <c r="D417" s="229" t="s">
        <v>5617</v>
      </c>
      <c r="E417" s="109" t="s">
        <v>561</v>
      </c>
      <c r="F417" s="109" t="s">
        <v>56</v>
      </c>
      <c r="G417" s="109" t="s">
        <v>57</v>
      </c>
      <c r="H417" s="109">
        <v>1.11131543E9</v>
      </c>
      <c r="I417" s="109">
        <v>42321.0</v>
      </c>
      <c r="J417" s="109">
        <v>40309.0</v>
      </c>
      <c r="K417" s="109">
        <v>40401.0</v>
      </c>
      <c r="L417" s="109">
        <v>40406.0</v>
      </c>
      <c r="M417" s="109">
        <v>40559.0</v>
      </c>
      <c r="N417" s="109"/>
      <c r="O417" s="109"/>
      <c r="P417" s="109"/>
      <c r="Q417" s="109"/>
      <c r="R417" s="109">
        <v>40787.0</v>
      </c>
      <c r="S417" s="109">
        <v>41518.0</v>
      </c>
      <c r="T417" s="109">
        <v>41582.0</v>
      </c>
      <c r="U417" s="109">
        <v>41947.0</v>
      </c>
      <c r="V417" s="109">
        <v>41955.0</v>
      </c>
      <c r="W417" s="109">
        <v>42320.0</v>
      </c>
      <c r="X417" s="109"/>
      <c r="Y417" s="109"/>
      <c r="Z417" s="109"/>
      <c r="AA417" s="109"/>
      <c r="AB417" s="109">
        <v>42321.0</v>
      </c>
      <c r="AC417" s="162" t="s">
        <v>62</v>
      </c>
      <c r="AD417" s="232">
        <v>30750.0</v>
      </c>
      <c r="AE417" s="109" t="s">
        <v>5618</v>
      </c>
      <c r="AF417" s="109" t="s">
        <v>5084</v>
      </c>
      <c r="AG417" s="109" t="s">
        <v>5619</v>
      </c>
      <c r="AH417" s="198">
        <v>9.283189306E9</v>
      </c>
      <c r="AI417" s="239" t="s">
        <v>5620</v>
      </c>
      <c r="AJ417" s="109" t="s">
        <v>5621</v>
      </c>
      <c r="AK417" s="109" t="s">
        <v>5622</v>
      </c>
      <c r="AL417" s="109" t="s">
        <v>5623</v>
      </c>
      <c r="AM417" s="109" t="s">
        <v>5624</v>
      </c>
      <c r="AN417" s="109" t="s">
        <v>5625</v>
      </c>
      <c r="AO417" s="86"/>
      <c r="AP417" s="109">
        <v>1.0</v>
      </c>
      <c r="AQ417" s="142" t="s">
        <v>5626</v>
      </c>
      <c r="AR417" s="133" t="s">
        <v>5403</v>
      </c>
      <c r="AS417" s="109">
        <v>44561.0</v>
      </c>
    </row>
    <row r="418" ht="18.0" customHeight="1">
      <c r="A418" s="188">
        <v>413.0</v>
      </c>
      <c r="B418" s="241" t="s">
        <v>5627</v>
      </c>
      <c r="C418" s="229" t="s">
        <v>5628</v>
      </c>
      <c r="D418" s="229" t="s">
        <v>2064</v>
      </c>
      <c r="E418" s="109" t="s">
        <v>881</v>
      </c>
      <c r="F418" s="109" t="s">
        <v>4135</v>
      </c>
      <c r="G418" s="109" t="s">
        <v>57</v>
      </c>
      <c r="H418" s="109">
        <v>1.081118462E9</v>
      </c>
      <c r="I418" s="109">
        <v>43323.0</v>
      </c>
      <c r="J418" s="109">
        <v>43323.0</v>
      </c>
      <c r="K418" s="109">
        <v>43338.0</v>
      </c>
      <c r="L418" s="109"/>
      <c r="M418" s="109"/>
      <c r="N418" s="109"/>
      <c r="O418" s="109"/>
      <c r="P418" s="109"/>
      <c r="Q418" s="109"/>
      <c r="R418" s="109"/>
      <c r="S418" s="109"/>
      <c r="T418" s="109"/>
      <c r="U418" s="109"/>
      <c r="V418" s="109"/>
      <c r="W418" s="109"/>
      <c r="X418" s="109">
        <v>43323.0</v>
      </c>
      <c r="Y418" s="109">
        <v>43506.0</v>
      </c>
      <c r="Z418" s="109"/>
      <c r="AA418" s="109"/>
      <c r="AB418" s="109">
        <v>43507.0</v>
      </c>
      <c r="AC418" s="162" t="s">
        <v>62</v>
      </c>
      <c r="AD418" s="109">
        <v>34457.0</v>
      </c>
      <c r="AE418" s="109" t="s">
        <v>5629</v>
      </c>
      <c r="AF418" s="109" t="s">
        <v>4385</v>
      </c>
      <c r="AG418" s="109"/>
      <c r="AH418" s="198">
        <v>9.755092836E9</v>
      </c>
      <c r="AI418" s="234" t="s">
        <v>5630</v>
      </c>
      <c r="AJ418" s="109" t="s">
        <v>5631</v>
      </c>
      <c r="AK418" s="109" t="s">
        <v>5632</v>
      </c>
      <c r="AL418" s="259" t="s">
        <v>5633</v>
      </c>
      <c r="AM418" s="109" t="s">
        <v>5634</v>
      </c>
      <c r="AN418" s="109" t="s">
        <v>5635</v>
      </c>
      <c r="AO418" s="86"/>
      <c r="AP418" s="109"/>
      <c r="AQ418" s="109"/>
      <c r="AR418" s="133" t="s">
        <v>5403</v>
      </c>
      <c r="AS418" s="109">
        <v>44561.0</v>
      </c>
      <c r="AT418" s="212"/>
      <c r="AU418" s="212"/>
      <c r="AV418" s="212"/>
      <c r="AW418" s="212"/>
      <c r="AX418" s="212"/>
      <c r="AY418" s="212"/>
      <c r="AZ418" s="212"/>
      <c r="BA418" s="212"/>
      <c r="BB418" s="212"/>
    </row>
    <row r="419" ht="18.0" customHeight="1">
      <c r="A419" s="188">
        <v>414.0</v>
      </c>
      <c r="B419" s="241" t="s">
        <v>1843</v>
      </c>
      <c r="C419" s="229" t="s">
        <v>5636</v>
      </c>
      <c r="D419" s="229" t="s">
        <v>5637</v>
      </c>
      <c r="E419" s="109" t="s">
        <v>717</v>
      </c>
      <c r="F419" s="109" t="s">
        <v>4135</v>
      </c>
      <c r="G419" s="109" t="s">
        <v>57</v>
      </c>
      <c r="H419" s="109">
        <v>1.071018456E9</v>
      </c>
      <c r="I419" s="109">
        <v>43291.0</v>
      </c>
      <c r="J419" s="109">
        <v>43291.0</v>
      </c>
      <c r="K419" s="109">
        <v>43307.0</v>
      </c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109">
        <v>43291.0</v>
      </c>
      <c r="Y419" s="109">
        <v>43474.0</v>
      </c>
      <c r="Z419" s="109"/>
      <c r="AA419" s="109"/>
      <c r="AB419" s="109">
        <v>43475.0</v>
      </c>
      <c r="AC419" s="162" t="s">
        <v>62</v>
      </c>
      <c r="AD419" s="109">
        <v>35354.0</v>
      </c>
      <c r="AE419" s="109" t="s">
        <v>5638</v>
      </c>
      <c r="AF419" s="109" t="s">
        <v>4385</v>
      </c>
      <c r="AG419" s="109"/>
      <c r="AH419" s="162">
        <v>9.95081714E9</v>
      </c>
      <c r="AI419" s="242" t="s">
        <v>5639</v>
      </c>
      <c r="AJ419" s="109" t="s">
        <v>5640</v>
      </c>
      <c r="AK419" s="109" t="s">
        <v>5641</v>
      </c>
      <c r="AL419" s="109" t="s">
        <v>5642</v>
      </c>
      <c r="AM419" s="109" t="s">
        <v>5643</v>
      </c>
      <c r="AN419" s="109" t="s">
        <v>5644</v>
      </c>
      <c r="AO419" s="86"/>
      <c r="AP419" s="109"/>
      <c r="AQ419" s="109"/>
      <c r="AR419" s="133" t="s">
        <v>5403</v>
      </c>
      <c r="AS419" s="109">
        <v>44561.0</v>
      </c>
      <c r="AT419" s="212"/>
      <c r="AU419" s="212"/>
      <c r="AV419" s="212"/>
      <c r="AW419" s="212"/>
      <c r="AX419" s="212"/>
      <c r="AY419" s="212"/>
      <c r="AZ419" s="212"/>
      <c r="BA419" s="212"/>
      <c r="BB419" s="212"/>
    </row>
    <row r="420" ht="14.25" customHeight="1">
      <c r="A420" s="188">
        <v>415.0</v>
      </c>
      <c r="B420" s="247" t="s">
        <v>558</v>
      </c>
      <c r="C420" s="249" t="s">
        <v>559</v>
      </c>
      <c r="D420" s="249" t="s">
        <v>560</v>
      </c>
      <c r="E420" s="109" t="s">
        <v>82</v>
      </c>
      <c r="F420" s="109" t="s">
        <v>4135</v>
      </c>
      <c r="G420" s="109" t="s">
        <v>16</v>
      </c>
      <c r="H420" s="109">
        <v>1.120319226E9</v>
      </c>
      <c r="I420" s="109">
        <v>43802.0</v>
      </c>
      <c r="J420" s="109">
        <v>43802.0</v>
      </c>
      <c r="K420" s="109">
        <v>43817.0</v>
      </c>
      <c r="L420" s="109"/>
      <c r="M420" s="109"/>
      <c r="N420" s="109"/>
      <c r="O420" s="109"/>
      <c r="P420" s="109"/>
      <c r="Q420" s="109"/>
      <c r="R420" s="109"/>
      <c r="S420" s="109"/>
      <c r="T420" s="109"/>
      <c r="U420" s="109"/>
      <c r="V420" s="109"/>
      <c r="W420" s="109"/>
      <c r="X420" s="109">
        <v>43802.0</v>
      </c>
      <c r="Y420" s="109">
        <v>43984.0</v>
      </c>
      <c r="Z420" s="109"/>
      <c r="AA420" s="109"/>
      <c r="AB420" s="109"/>
      <c r="AC420" s="109" t="s">
        <v>62</v>
      </c>
      <c r="AD420" s="109">
        <v>34830.0</v>
      </c>
      <c r="AE420" s="109" t="s">
        <v>5645</v>
      </c>
      <c r="AF420" s="109" t="s">
        <v>5646</v>
      </c>
      <c r="AG420" s="109" t="s">
        <v>5647</v>
      </c>
      <c r="AH420" s="162">
        <v>9.756716973E9</v>
      </c>
      <c r="AI420" s="242" t="s">
        <v>567</v>
      </c>
      <c r="AJ420" s="109" t="s">
        <v>248</v>
      </c>
      <c r="AK420" s="109" t="s">
        <v>569</v>
      </c>
      <c r="AL420" s="109" t="s">
        <v>570</v>
      </c>
      <c r="AM420" s="109" t="s">
        <v>571</v>
      </c>
      <c r="AN420" s="109" t="s">
        <v>572</v>
      </c>
      <c r="AO420" s="86"/>
      <c r="AP420" s="109"/>
      <c r="AQ420" s="142" t="s">
        <v>5648</v>
      </c>
      <c r="AR420" s="133" t="s">
        <v>5403</v>
      </c>
      <c r="AS420" s="109">
        <v>44561.0</v>
      </c>
    </row>
    <row r="421" ht="14.25" customHeight="1">
      <c r="A421" s="188">
        <v>416.0</v>
      </c>
      <c r="B421" s="247" t="s">
        <v>5649</v>
      </c>
      <c r="C421" s="249" t="s">
        <v>1424</v>
      </c>
      <c r="D421" s="249" t="s">
        <v>5650</v>
      </c>
      <c r="E421" s="109" t="s">
        <v>82</v>
      </c>
      <c r="F421" s="109" t="s">
        <v>4135</v>
      </c>
      <c r="G421" s="109" t="s">
        <v>16</v>
      </c>
      <c r="H421" s="109">
        <v>1.011120229E9</v>
      </c>
      <c r="I421" s="109" t="s">
        <v>5651</v>
      </c>
      <c r="J421" s="109" t="s">
        <v>5651</v>
      </c>
      <c r="K421" s="109">
        <v>43856.0</v>
      </c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109" t="s">
        <v>5651</v>
      </c>
      <c r="Y421" s="109">
        <v>44022.0</v>
      </c>
      <c r="Z421" s="109"/>
      <c r="AA421" s="109"/>
      <c r="AB421" s="137"/>
      <c r="AC421" s="109" t="s">
        <v>62</v>
      </c>
      <c r="AD421" s="109">
        <v>33331.0</v>
      </c>
      <c r="AE421" s="109" t="s">
        <v>5652</v>
      </c>
      <c r="AF421" s="109" t="s">
        <v>5248</v>
      </c>
      <c r="AG421" s="109" t="s">
        <v>5653</v>
      </c>
      <c r="AH421" s="162">
        <v>9.923847552E9</v>
      </c>
      <c r="AI421" s="233" t="s">
        <v>5654</v>
      </c>
      <c r="AJ421" s="109" t="s">
        <v>5655</v>
      </c>
      <c r="AK421" s="109" t="s">
        <v>5656</v>
      </c>
      <c r="AL421" s="109" t="s">
        <v>5657</v>
      </c>
      <c r="AM421" s="109" t="s">
        <v>5658</v>
      </c>
      <c r="AN421" s="109" t="s">
        <v>5659</v>
      </c>
      <c r="AO421" s="86"/>
      <c r="AP421" s="109"/>
      <c r="AQ421" s="260" t="s">
        <v>5660</v>
      </c>
      <c r="AR421" s="133" t="s">
        <v>5403</v>
      </c>
      <c r="AS421" s="109">
        <v>44561.0</v>
      </c>
    </row>
    <row r="422" ht="17.25" customHeight="1">
      <c r="A422" s="188">
        <v>417.0</v>
      </c>
      <c r="B422" s="249" t="s">
        <v>5661</v>
      </c>
      <c r="C422" s="249" t="s">
        <v>91</v>
      </c>
      <c r="D422" s="249" t="s">
        <v>5662</v>
      </c>
      <c r="E422" s="109" t="s">
        <v>82</v>
      </c>
      <c r="F422" s="109" t="s">
        <v>4135</v>
      </c>
      <c r="G422" s="109" t="s">
        <v>16</v>
      </c>
      <c r="H422" s="109">
        <v>1.020620236E9</v>
      </c>
      <c r="I422" s="109">
        <v>43867.0</v>
      </c>
      <c r="J422" s="109">
        <v>43867.0</v>
      </c>
      <c r="K422" s="109">
        <v>43881.0</v>
      </c>
      <c r="L422" s="109"/>
      <c r="M422" s="109"/>
      <c r="N422" s="109"/>
      <c r="O422" s="109"/>
      <c r="P422" s="109"/>
      <c r="Q422" s="109"/>
      <c r="R422" s="109"/>
      <c r="S422" s="109"/>
      <c r="T422" s="109"/>
      <c r="U422" s="109"/>
      <c r="V422" s="109"/>
      <c r="W422" s="109"/>
      <c r="X422" s="109">
        <v>43867.0</v>
      </c>
      <c r="Y422" s="109">
        <v>44048.0</v>
      </c>
      <c r="Z422" s="109"/>
      <c r="AA422" s="109"/>
      <c r="AB422" s="137"/>
      <c r="AC422" s="109" t="s">
        <v>62</v>
      </c>
      <c r="AD422" s="109">
        <v>35824.0</v>
      </c>
      <c r="AE422" s="109" t="s">
        <v>5663</v>
      </c>
      <c r="AF422" s="109" t="s">
        <v>5664</v>
      </c>
      <c r="AG422" s="109" t="s">
        <v>5665</v>
      </c>
      <c r="AH422" s="162">
        <v>9.062681391E9</v>
      </c>
      <c r="AI422" s="234" t="s">
        <v>5666</v>
      </c>
      <c r="AJ422" s="109" t="s">
        <v>5667</v>
      </c>
      <c r="AK422" s="109" t="s">
        <v>5668</v>
      </c>
      <c r="AL422" s="109" t="s">
        <v>5669</v>
      </c>
      <c r="AM422" s="109" t="s">
        <v>5670</v>
      </c>
      <c r="AN422" s="217" t="s">
        <v>5671</v>
      </c>
      <c r="AO422" s="86"/>
      <c r="AP422" s="109"/>
      <c r="AQ422" s="260"/>
      <c r="AR422" s="133" t="s">
        <v>5403</v>
      </c>
      <c r="AS422" s="109">
        <v>44561.0</v>
      </c>
    </row>
    <row r="423" ht="14.25" customHeight="1">
      <c r="A423" s="188">
        <v>418.0</v>
      </c>
      <c r="B423" s="229" t="s">
        <v>3172</v>
      </c>
      <c r="C423" s="229" t="s">
        <v>5672</v>
      </c>
      <c r="D423" s="229" t="s">
        <v>3174</v>
      </c>
      <c r="E423" s="109" t="s">
        <v>5673</v>
      </c>
      <c r="F423" s="109" t="s">
        <v>451</v>
      </c>
      <c r="G423" s="109" t="s">
        <v>57</v>
      </c>
      <c r="H423" s="109">
        <v>1.010521239E9</v>
      </c>
      <c r="I423" s="109">
        <v>44201.0</v>
      </c>
      <c r="J423" s="109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109">
        <v>44201.0</v>
      </c>
      <c r="Y423" s="109">
        <v>44381.0</v>
      </c>
      <c r="Z423" s="109"/>
      <c r="AA423" s="109"/>
      <c r="AB423" s="137" t="s">
        <v>5674</v>
      </c>
      <c r="AC423" s="109" t="s">
        <v>107</v>
      </c>
      <c r="AD423" s="109">
        <v>29442.0</v>
      </c>
      <c r="AE423" s="206" t="s">
        <v>5675</v>
      </c>
      <c r="AF423" s="206" t="s">
        <v>4883</v>
      </c>
      <c r="AG423" s="109" t="s">
        <v>5676</v>
      </c>
      <c r="AH423" s="218">
        <v>9.167621069E9</v>
      </c>
      <c r="AI423" s="75" t="s">
        <v>5677</v>
      </c>
      <c r="AJ423" s="226" t="s">
        <v>5350</v>
      </c>
      <c r="AK423" s="261" t="s">
        <v>3177</v>
      </c>
      <c r="AL423" s="261" t="s">
        <v>3180</v>
      </c>
      <c r="AM423" s="261" t="s">
        <v>3179</v>
      </c>
      <c r="AN423" s="262" t="s">
        <v>3178</v>
      </c>
      <c r="AO423" s="86"/>
      <c r="AP423" s="109">
        <v>2.0</v>
      </c>
      <c r="AQ423" s="142" t="s">
        <v>5678</v>
      </c>
      <c r="AR423" s="133" t="s">
        <v>4917</v>
      </c>
      <c r="AS423" s="109">
        <v>44568.0</v>
      </c>
    </row>
    <row r="424" ht="14.25" customHeight="1">
      <c r="A424" s="188">
        <v>419.0</v>
      </c>
      <c r="B424" s="229" t="s">
        <v>5679</v>
      </c>
      <c r="C424" s="229" t="s">
        <v>5680</v>
      </c>
      <c r="D424" s="229" t="s">
        <v>5681</v>
      </c>
      <c r="E424" s="109" t="s">
        <v>190</v>
      </c>
      <c r="F424" s="109" t="s">
        <v>4135</v>
      </c>
      <c r="G424" s="109" t="s">
        <v>57</v>
      </c>
      <c r="H424" s="109">
        <v>1.090111083E9</v>
      </c>
      <c r="I424" s="109">
        <v>40787.0</v>
      </c>
      <c r="J424" s="109"/>
      <c r="K424" s="109"/>
      <c r="L424" s="109"/>
      <c r="M424" s="109"/>
      <c r="N424" s="109"/>
      <c r="O424" s="109"/>
      <c r="P424" s="109"/>
      <c r="Q424" s="109"/>
      <c r="R424" s="109"/>
      <c r="S424" s="109"/>
      <c r="T424" s="109"/>
      <c r="U424" s="109"/>
      <c r="V424" s="109"/>
      <c r="W424" s="109"/>
      <c r="X424" s="109">
        <v>40787.0</v>
      </c>
      <c r="Y424" s="109">
        <v>40969.0</v>
      </c>
      <c r="Z424" s="109"/>
      <c r="AA424" s="109"/>
      <c r="AB424" s="137">
        <v>41000.0</v>
      </c>
      <c r="AC424" s="109" t="s">
        <v>2919</v>
      </c>
      <c r="AD424" s="109">
        <v>29188.0</v>
      </c>
      <c r="AE424" s="109" t="s">
        <v>5682</v>
      </c>
      <c r="AF424" s="109" t="s">
        <v>5683</v>
      </c>
      <c r="AG424" s="109" t="s">
        <v>5684</v>
      </c>
      <c r="AH424" s="143">
        <v>9.7730185E9</v>
      </c>
      <c r="AI424" s="233" t="s">
        <v>5685</v>
      </c>
      <c r="AJ424" s="226" t="s">
        <v>5686</v>
      </c>
      <c r="AK424" s="109" t="s">
        <v>5687</v>
      </c>
      <c r="AL424" s="109" t="s">
        <v>5688</v>
      </c>
      <c r="AM424" s="109" t="s">
        <v>5689</v>
      </c>
      <c r="AN424" s="109" t="s">
        <v>5690</v>
      </c>
      <c r="AO424" s="86"/>
      <c r="AP424" s="109">
        <v>3.0</v>
      </c>
      <c r="AQ424" s="142" t="s">
        <v>5691</v>
      </c>
      <c r="AR424" s="133" t="s">
        <v>900</v>
      </c>
      <c r="AS424" s="109">
        <v>44574.0</v>
      </c>
      <c r="AT424" s="263"/>
    </row>
    <row r="425" ht="14.25" customHeight="1">
      <c r="A425" s="188">
        <v>420.0</v>
      </c>
      <c r="B425" s="229" t="s">
        <v>574</v>
      </c>
      <c r="C425" s="229" t="s">
        <v>575</v>
      </c>
      <c r="D425" s="229" t="s">
        <v>576</v>
      </c>
      <c r="E425" s="109" t="s">
        <v>577</v>
      </c>
      <c r="F425" s="109" t="s">
        <v>56</v>
      </c>
      <c r="G425" s="109" t="s">
        <v>57</v>
      </c>
      <c r="H425" s="109">
        <v>1.07261846E9</v>
      </c>
      <c r="I425" s="109">
        <v>43307.0</v>
      </c>
      <c r="J425" s="109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109">
        <v>43307.0</v>
      </c>
      <c r="Y425" s="109">
        <v>43490.0</v>
      </c>
      <c r="Z425" s="109"/>
      <c r="AA425" s="109"/>
      <c r="AB425" s="137">
        <v>43491.0</v>
      </c>
      <c r="AC425" s="109" t="s">
        <v>62</v>
      </c>
      <c r="AD425" s="109">
        <v>34479.0</v>
      </c>
      <c r="AE425" s="109" t="s">
        <v>5692</v>
      </c>
      <c r="AF425" s="109" t="s">
        <v>4938</v>
      </c>
      <c r="AG425" s="109" t="s">
        <v>5693</v>
      </c>
      <c r="AH425" s="143">
        <v>9.183376234E9</v>
      </c>
      <c r="AI425" s="233" t="s">
        <v>580</v>
      </c>
      <c r="AJ425" s="226" t="s">
        <v>5694</v>
      </c>
      <c r="AK425" s="109" t="s">
        <v>582</v>
      </c>
      <c r="AL425" s="109" t="s">
        <v>583</v>
      </c>
      <c r="AM425" s="109" t="s">
        <v>584</v>
      </c>
      <c r="AN425" s="109" t="s">
        <v>585</v>
      </c>
      <c r="AO425" s="109"/>
      <c r="AP425" s="109"/>
      <c r="AQ425" s="142" t="s">
        <v>5695</v>
      </c>
      <c r="AR425" s="133" t="s">
        <v>5696</v>
      </c>
      <c r="AS425" s="109">
        <v>44643.0</v>
      </c>
      <c r="AT425" s="263"/>
    </row>
    <row r="426" ht="14.25" customHeight="1">
      <c r="A426" s="188">
        <v>421.0</v>
      </c>
      <c r="B426" s="229" t="s">
        <v>732</v>
      </c>
      <c r="C426" s="229" t="s">
        <v>731</v>
      </c>
      <c r="D426" s="229" t="s">
        <v>5697</v>
      </c>
      <c r="E426" s="109" t="s">
        <v>577</v>
      </c>
      <c r="F426" s="109" t="s">
        <v>56</v>
      </c>
      <c r="G426" s="109" t="s">
        <v>57</v>
      </c>
      <c r="H426" s="109">
        <v>1.05051843E9</v>
      </c>
      <c r="I426" s="109">
        <v>43225.0</v>
      </c>
      <c r="J426" s="109"/>
      <c r="K426" s="109"/>
      <c r="L426" s="109"/>
      <c r="M426" s="109"/>
      <c r="N426" s="109"/>
      <c r="O426" s="109"/>
      <c r="P426" s="109"/>
      <c r="Q426" s="109"/>
      <c r="R426" s="109"/>
      <c r="S426" s="109"/>
      <c r="T426" s="109"/>
      <c r="U426" s="109"/>
      <c r="V426" s="109"/>
      <c r="W426" s="109"/>
      <c r="X426" s="109">
        <v>43225.0</v>
      </c>
      <c r="Y426" s="109">
        <v>43408.0</v>
      </c>
      <c r="Z426" s="109"/>
      <c r="AA426" s="109"/>
      <c r="AB426" s="137">
        <v>43409.0</v>
      </c>
      <c r="AC426" s="109" t="s">
        <v>62</v>
      </c>
      <c r="AD426" s="109">
        <v>35656.0</v>
      </c>
      <c r="AE426" s="109" t="s">
        <v>5698</v>
      </c>
      <c r="AF426" s="109" t="s">
        <v>4938</v>
      </c>
      <c r="AG426" s="109" t="s">
        <v>5699</v>
      </c>
      <c r="AH426" s="143">
        <v>9.569631431E9</v>
      </c>
      <c r="AI426" s="233" t="s">
        <v>734</v>
      </c>
      <c r="AJ426" s="226" t="s">
        <v>5610</v>
      </c>
      <c r="AK426" s="109" t="s">
        <v>735</v>
      </c>
      <c r="AL426" s="109" t="s">
        <v>736</v>
      </c>
      <c r="AM426" s="109" t="s">
        <v>5700</v>
      </c>
      <c r="AN426" s="109" t="s">
        <v>738</v>
      </c>
      <c r="AO426" s="109"/>
      <c r="AP426" s="109"/>
      <c r="AQ426" s="142" t="s">
        <v>5701</v>
      </c>
      <c r="AR426" s="133" t="s">
        <v>5696</v>
      </c>
      <c r="AS426" s="109">
        <v>44643.0</v>
      </c>
      <c r="AT426" s="263"/>
      <c r="AU426" s="29"/>
    </row>
    <row r="427" ht="14.25" customHeight="1">
      <c r="A427" s="188">
        <v>422.0</v>
      </c>
      <c r="B427" s="229" t="s">
        <v>888</v>
      </c>
      <c r="C427" s="229" t="s">
        <v>889</v>
      </c>
      <c r="D427" s="229" t="s">
        <v>890</v>
      </c>
      <c r="E427" s="109" t="s">
        <v>577</v>
      </c>
      <c r="F427" s="109" t="s">
        <v>537</v>
      </c>
      <c r="G427" s="109" t="s">
        <v>57</v>
      </c>
      <c r="H427" s="109">
        <v>1.081610019E9</v>
      </c>
      <c r="I427" s="109">
        <v>40406.0</v>
      </c>
      <c r="J427" s="109">
        <v>40302.0</v>
      </c>
      <c r="K427" s="109">
        <v>40394.0</v>
      </c>
      <c r="L427" s="109">
        <v>40406.0</v>
      </c>
      <c r="M427" s="109">
        <v>40559.0</v>
      </c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109">
        <v>40603.0</v>
      </c>
      <c r="Y427" s="109">
        <v>40787.0</v>
      </c>
      <c r="Z427" s="109"/>
      <c r="AA427" s="109"/>
      <c r="AB427" s="137">
        <v>40787.0</v>
      </c>
      <c r="AC427" s="109" t="s">
        <v>107</v>
      </c>
      <c r="AD427" s="109">
        <v>32327.0</v>
      </c>
      <c r="AE427" s="109" t="s">
        <v>892</v>
      </c>
      <c r="AF427" s="109" t="s">
        <v>4325</v>
      </c>
      <c r="AG427" s="109" t="s">
        <v>5702</v>
      </c>
      <c r="AH427" s="143">
        <v>9.174706849E9</v>
      </c>
      <c r="AI427" s="233" t="s">
        <v>893</v>
      </c>
      <c r="AJ427" s="226" t="s">
        <v>5703</v>
      </c>
      <c r="AK427" s="109" t="s">
        <v>895</v>
      </c>
      <c r="AL427" s="109" t="s">
        <v>896</v>
      </c>
      <c r="AM427" s="109" t="s">
        <v>897</v>
      </c>
      <c r="AN427" s="109" t="s">
        <v>898</v>
      </c>
      <c r="AO427" s="109"/>
      <c r="AP427" s="109"/>
      <c r="AQ427" s="142">
        <v>9.103178792E9</v>
      </c>
      <c r="AR427" s="133" t="s">
        <v>5696</v>
      </c>
      <c r="AS427" s="109">
        <v>44643.0</v>
      </c>
      <c r="AT427" s="263"/>
    </row>
    <row r="428" ht="14.25" customHeight="1">
      <c r="A428" s="188">
        <v>423.0</v>
      </c>
      <c r="B428" s="229" t="s">
        <v>588</v>
      </c>
      <c r="C428" s="229" t="s">
        <v>589</v>
      </c>
      <c r="D428" s="229" t="s">
        <v>590</v>
      </c>
      <c r="E428" s="109" t="s">
        <v>591</v>
      </c>
      <c r="F428" s="109" t="s">
        <v>493</v>
      </c>
      <c r="G428" s="109" t="s">
        <v>57</v>
      </c>
      <c r="H428" s="109">
        <v>1.080111094E9</v>
      </c>
      <c r="I428" s="109">
        <v>40863.0</v>
      </c>
      <c r="J428" s="109">
        <v>40756.0</v>
      </c>
      <c r="K428" s="109">
        <v>40848.0</v>
      </c>
      <c r="L428" s="109">
        <v>40863.0</v>
      </c>
      <c r="M428" s="109">
        <v>41015.0</v>
      </c>
      <c r="N428" s="109">
        <v>41030.0</v>
      </c>
      <c r="O428" s="109" t="s">
        <v>2462</v>
      </c>
      <c r="P428" s="109"/>
      <c r="Q428" s="109"/>
      <c r="R428" s="109">
        <v>41183.0</v>
      </c>
      <c r="S428" s="109">
        <v>41913.0</v>
      </c>
      <c r="T428" s="109">
        <v>41935.0</v>
      </c>
      <c r="U428" s="109">
        <v>42300.0</v>
      </c>
      <c r="V428" s="109">
        <v>42301.0</v>
      </c>
      <c r="W428" s="109">
        <v>42667.0</v>
      </c>
      <c r="X428" s="109"/>
      <c r="Y428" s="109"/>
      <c r="Z428" s="109"/>
      <c r="AA428" s="109"/>
      <c r="AB428" s="137">
        <v>42668.0</v>
      </c>
      <c r="AC428" s="109" t="s">
        <v>62</v>
      </c>
      <c r="AD428" s="109">
        <v>30209.0</v>
      </c>
      <c r="AE428" s="109" t="s">
        <v>5704</v>
      </c>
      <c r="AF428" s="109" t="s">
        <v>4325</v>
      </c>
      <c r="AG428" s="109"/>
      <c r="AH428" s="143">
        <v>9.101455049E9</v>
      </c>
      <c r="AI428" s="264" t="s">
        <v>593</v>
      </c>
      <c r="AJ428" s="226" t="s">
        <v>5705</v>
      </c>
      <c r="AK428" s="109" t="s">
        <v>595</v>
      </c>
      <c r="AL428" s="109" t="s">
        <v>596</v>
      </c>
      <c r="AM428" s="109" t="s">
        <v>597</v>
      </c>
      <c r="AN428" s="109" t="s">
        <v>598</v>
      </c>
      <c r="AO428" s="109"/>
      <c r="AP428" s="109"/>
      <c r="AQ428" s="142" t="s">
        <v>5706</v>
      </c>
      <c r="AR428" s="133" t="s">
        <v>5696</v>
      </c>
      <c r="AS428" s="109">
        <v>44643.0</v>
      </c>
      <c r="AT428" s="263"/>
    </row>
    <row r="429" ht="14.25" customHeight="1">
      <c r="A429" s="188">
        <v>424.0</v>
      </c>
      <c r="B429" s="229" t="s">
        <v>649</v>
      </c>
      <c r="C429" s="229" t="s">
        <v>650</v>
      </c>
      <c r="D429" s="229" t="s">
        <v>359</v>
      </c>
      <c r="E429" s="109" t="s">
        <v>717</v>
      </c>
      <c r="F429" s="109" t="s">
        <v>493</v>
      </c>
      <c r="G429" s="109" t="s">
        <v>57</v>
      </c>
      <c r="H429" s="109">
        <v>1.030817363E9</v>
      </c>
      <c r="I429" s="109">
        <v>42816.0</v>
      </c>
      <c r="J429" s="109">
        <v>42802.0</v>
      </c>
      <c r="K429" s="109">
        <v>42815.0</v>
      </c>
      <c r="L429" s="109">
        <v>42816.0</v>
      </c>
      <c r="M429" s="109">
        <v>42968.0</v>
      </c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109">
        <v>42816.0</v>
      </c>
      <c r="Y429" s="109">
        <v>42999.0</v>
      </c>
      <c r="Z429" s="109"/>
      <c r="AA429" s="109"/>
      <c r="AB429" s="137">
        <v>43000.0</v>
      </c>
      <c r="AC429" s="109" t="s">
        <v>62</v>
      </c>
      <c r="AD429" s="109">
        <v>34873.0</v>
      </c>
      <c r="AE429" s="109" t="s">
        <v>5707</v>
      </c>
      <c r="AF429" s="109" t="s">
        <v>4325</v>
      </c>
      <c r="AG429" s="109"/>
      <c r="AH429" s="218">
        <v>9.054216274E9</v>
      </c>
      <c r="AI429" s="233" t="s">
        <v>657</v>
      </c>
      <c r="AJ429" s="226" t="s">
        <v>2171</v>
      </c>
      <c r="AK429" s="109" t="s">
        <v>659</v>
      </c>
      <c r="AL429" s="109" t="s">
        <v>660</v>
      </c>
      <c r="AM429" s="109" t="s">
        <v>661</v>
      </c>
      <c r="AN429" s="109" t="s">
        <v>662</v>
      </c>
      <c r="AO429" s="109"/>
      <c r="AP429" s="109"/>
      <c r="AQ429" s="142" t="s">
        <v>5708</v>
      </c>
      <c r="AR429" s="133" t="s">
        <v>5696</v>
      </c>
      <c r="AS429" s="109">
        <v>44643.0</v>
      </c>
      <c r="AT429" s="263"/>
    </row>
    <row r="430" ht="14.25" customHeight="1">
      <c r="A430" s="188">
        <v>425.0</v>
      </c>
      <c r="B430" s="229" t="s">
        <v>638</v>
      </c>
      <c r="C430" s="229" t="s">
        <v>5709</v>
      </c>
      <c r="D430" s="229" t="s">
        <v>5710</v>
      </c>
      <c r="E430" s="109" t="s">
        <v>2855</v>
      </c>
      <c r="F430" s="109" t="s">
        <v>161</v>
      </c>
      <c r="G430" s="109" t="s">
        <v>57</v>
      </c>
      <c r="H430" s="109">
        <v>1.120104028E9</v>
      </c>
      <c r="I430" s="109">
        <v>38322.0</v>
      </c>
      <c r="J430" s="109">
        <v>38292.0</v>
      </c>
      <c r="K430" s="109">
        <v>38322.0</v>
      </c>
      <c r="L430" s="109">
        <v>38322.0</v>
      </c>
      <c r="M430" s="109">
        <v>38108.0</v>
      </c>
      <c r="N430" s="109"/>
      <c r="O430" s="109"/>
      <c r="P430" s="109"/>
      <c r="Q430" s="109"/>
      <c r="R430" s="109"/>
      <c r="S430" s="109"/>
      <c r="T430" s="109"/>
      <c r="U430" s="109"/>
      <c r="V430" s="109"/>
      <c r="W430" s="109"/>
      <c r="X430" s="109"/>
      <c r="Y430" s="109"/>
      <c r="Z430" s="109"/>
      <c r="AA430" s="109"/>
      <c r="AB430" s="137">
        <v>38473.0</v>
      </c>
      <c r="AC430" s="109" t="s">
        <v>107</v>
      </c>
      <c r="AD430" s="109">
        <v>26831.0</v>
      </c>
      <c r="AE430" s="109" t="s">
        <v>5711</v>
      </c>
      <c r="AF430" s="109" t="s">
        <v>5712</v>
      </c>
      <c r="AG430" s="109"/>
      <c r="AH430" s="143">
        <v>9.67347037E9</v>
      </c>
      <c r="AI430" s="233" t="s">
        <v>5713</v>
      </c>
      <c r="AJ430" s="226" t="s">
        <v>5714</v>
      </c>
      <c r="AK430" s="109" t="s">
        <v>5715</v>
      </c>
      <c r="AL430" s="109" t="s">
        <v>5716</v>
      </c>
      <c r="AM430" s="109" t="s">
        <v>5717</v>
      </c>
      <c r="AN430" s="109" t="s">
        <v>5718</v>
      </c>
      <c r="AO430" s="109">
        <v>2.0</v>
      </c>
      <c r="AP430" s="109" t="s">
        <v>5719</v>
      </c>
      <c r="AQ430" s="142" t="s">
        <v>5720</v>
      </c>
      <c r="AR430" s="133" t="s">
        <v>5696</v>
      </c>
      <c r="AS430" s="109">
        <v>44643.0</v>
      </c>
      <c r="AT430" s="263"/>
    </row>
    <row r="431" ht="14.25" customHeight="1">
      <c r="A431" s="188">
        <v>426.0</v>
      </c>
      <c r="B431" s="229" t="s">
        <v>600</v>
      </c>
      <c r="C431" s="229" t="s">
        <v>601</v>
      </c>
      <c r="D431" s="229" t="s">
        <v>602</v>
      </c>
      <c r="E431" s="109" t="s">
        <v>160</v>
      </c>
      <c r="F431" s="109" t="s">
        <v>161</v>
      </c>
      <c r="G431" s="109" t="s">
        <v>57</v>
      </c>
      <c r="H431" s="109">
        <v>1.120108002E9</v>
      </c>
      <c r="I431" s="265">
        <v>39783.0</v>
      </c>
      <c r="J431" s="109">
        <v>39692.0</v>
      </c>
      <c r="K431" s="109">
        <v>39783.0</v>
      </c>
      <c r="L431" s="109">
        <v>39783.0</v>
      </c>
      <c r="M431" s="109">
        <v>39965.0</v>
      </c>
      <c r="N431" s="109">
        <v>39995.0</v>
      </c>
      <c r="O431" s="109">
        <v>40179.0</v>
      </c>
      <c r="P431" s="109"/>
      <c r="Q431" s="109"/>
      <c r="R431" s="109"/>
      <c r="S431" s="109"/>
      <c r="T431" s="109"/>
      <c r="U431" s="109"/>
      <c r="V431" s="109"/>
      <c r="W431" s="109"/>
      <c r="X431" s="109">
        <v>40194.0</v>
      </c>
      <c r="Y431" s="109">
        <v>40375.0</v>
      </c>
      <c r="Z431" s="109"/>
      <c r="AA431" s="109"/>
      <c r="AB431" s="137">
        <v>40375.0</v>
      </c>
      <c r="AC431" s="109" t="s">
        <v>62</v>
      </c>
      <c r="AD431" s="109">
        <v>28057.0</v>
      </c>
      <c r="AE431" s="109" t="s">
        <v>5721</v>
      </c>
      <c r="AF431" s="109" t="s">
        <v>5084</v>
      </c>
      <c r="AG431" s="109" t="s">
        <v>5074</v>
      </c>
      <c r="AH431" s="143">
        <v>9.214092425E9</v>
      </c>
      <c r="AI431" s="233" t="s">
        <v>605</v>
      </c>
      <c r="AJ431" s="226" t="s">
        <v>5722</v>
      </c>
      <c r="AK431" s="109" t="s">
        <v>607</v>
      </c>
      <c r="AL431" s="109" t="s">
        <v>608</v>
      </c>
      <c r="AM431" s="109" t="s">
        <v>609</v>
      </c>
      <c r="AN431" s="109" t="s">
        <v>610</v>
      </c>
      <c r="AO431" s="109"/>
      <c r="AP431" s="109"/>
      <c r="AQ431" s="142" t="s">
        <v>5723</v>
      </c>
      <c r="AR431" s="133" t="s">
        <v>5696</v>
      </c>
      <c r="AS431" s="109">
        <v>44643.0</v>
      </c>
      <c r="AT431" s="263"/>
    </row>
    <row r="432" ht="14.25" customHeight="1">
      <c r="A432" s="188">
        <v>427.0</v>
      </c>
      <c r="B432" s="229" t="s">
        <v>157</v>
      </c>
      <c r="C432" s="229" t="s">
        <v>158</v>
      </c>
      <c r="D432" s="229" t="s">
        <v>159</v>
      </c>
      <c r="E432" s="109" t="s">
        <v>160</v>
      </c>
      <c r="F432" s="109" t="s">
        <v>161</v>
      </c>
      <c r="G432" s="109" t="s">
        <v>57</v>
      </c>
      <c r="H432" s="109">
        <v>1.051616313E9</v>
      </c>
      <c r="I432" s="109">
        <v>42537.0</v>
      </c>
      <c r="J432" s="109"/>
      <c r="K432" s="109"/>
      <c r="L432" s="109">
        <v>42537.0</v>
      </c>
      <c r="M432" s="109">
        <v>42690.0</v>
      </c>
      <c r="N432" s="109"/>
      <c r="O432" s="109"/>
      <c r="P432" s="109"/>
      <c r="Q432" s="109"/>
      <c r="R432" s="109"/>
      <c r="S432" s="109"/>
      <c r="T432" s="109"/>
      <c r="U432" s="109"/>
      <c r="V432" s="109"/>
      <c r="W432" s="109"/>
      <c r="X432" s="109">
        <v>42691.0</v>
      </c>
      <c r="Y432" s="109">
        <v>42872.0</v>
      </c>
      <c r="Z432" s="109"/>
      <c r="AA432" s="109"/>
      <c r="AB432" s="137">
        <v>42873.0</v>
      </c>
      <c r="AC432" s="109" t="s">
        <v>107</v>
      </c>
      <c r="AD432" s="109">
        <v>26106.0</v>
      </c>
      <c r="AE432" s="109" t="s">
        <v>5724</v>
      </c>
      <c r="AF432" s="109" t="s">
        <v>5712</v>
      </c>
      <c r="AG432" s="109" t="s">
        <v>723</v>
      </c>
      <c r="AH432" s="237">
        <v>9.368988368E9</v>
      </c>
      <c r="AI432" s="233" t="s">
        <v>164</v>
      </c>
      <c r="AJ432" s="226" t="s">
        <v>5725</v>
      </c>
      <c r="AK432" s="109" t="s">
        <v>167</v>
      </c>
      <c r="AL432" s="109" t="s">
        <v>168</v>
      </c>
      <c r="AM432" s="109" t="s">
        <v>169</v>
      </c>
      <c r="AN432" s="109" t="s">
        <v>170</v>
      </c>
      <c r="AO432" s="109">
        <v>2.0</v>
      </c>
      <c r="AP432" s="109" t="s">
        <v>5726</v>
      </c>
      <c r="AQ432" s="142" t="s">
        <v>5727</v>
      </c>
      <c r="AR432" s="133" t="s">
        <v>5696</v>
      </c>
      <c r="AS432" s="109">
        <v>44643.0</v>
      </c>
      <c r="AT432" s="263"/>
    </row>
    <row r="433" ht="14.25" customHeight="1">
      <c r="A433" s="188">
        <v>428.0</v>
      </c>
      <c r="B433" s="229" t="s">
        <v>5728</v>
      </c>
      <c r="C433" s="229" t="s">
        <v>5729</v>
      </c>
      <c r="D433" s="229" t="s">
        <v>5730</v>
      </c>
      <c r="E433" s="109" t="s">
        <v>614</v>
      </c>
      <c r="F433" s="109" t="s">
        <v>56</v>
      </c>
      <c r="G433" s="109" t="s">
        <v>57</v>
      </c>
      <c r="H433" s="109">
        <v>1.110607001E9</v>
      </c>
      <c r="I433" s="109">
        <v>39392.0</v>
      </c>
      <c r="J433" s="109"/>
      <c r="K433" s="109"/>
      <c r="L433" s="109">
        <v>39392.0</v>
      </c>
      <c r="M433" s="109">
        <v>39574.0</v>
      </c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109"/>
      <c r="Y433" s="109"/>
      <c r="Z433" s="109"/>
      <c r="AA433" s="109"/>
      <c r="AB433" s="137">
        <v>42828.0</v>
      </c>
      <c r="AC433" s="109" t="s">
        <v>107</v>
      </c>
      <c r="AD433" s="109">
        <v>25940.0</v>
      </c>
      <c r="AE433" s="109" t="s">
        <v>5731</v>
      </c>
      <c r="AF433" s="109" t="s">
        <v>4325</v>
      </c>
      <c r="AG433" s="109"/>
      <c r="AH433" s="218">
        <v>9.293542515E9</v>
      </c>
      <c r="AI433" s="234" t="s">
        <v>5732</v>
      </c>
      <c r="AJ433" s="226" t="s">
        <v>1834</v>
      </c>
      <c r="AK433" s="109" t="s">
        <v>5733</v>
      </c>
      <c r="AL433" s="109" t="s">
        <v>5734</v>
      </c>
      <c r="AM433" s="109" t="s">
        <v>5735</v>
      </c>
      <c r="AN433" s="109" t="s">
        <v>5736</v>
      </c>
      <c r="AO433" s="109">
        <v>1.0</v>
      </c>
      <c r="AP433" s="109" t="s">
        <v>5737</v>
      </c>
      <c r="AQ433" s="142" t="s">
        <v>5738</v>
      </c>
      <c r="AR433" s="133" t="s">
        <v>5696</v>
      </c>
      <c r="AS433" s="109">
        <v>44643.0</v>
      </c>
      <c r="AT433" s="263"/>
    </row>
    <row r="434" ht="14.25" customHeight="1">
      <c r="A434" s="188">
        <v>429.0</v>
      </c>
      <c r="B434" s="229" t="s">
        <v>405</v>
      </c>
      <c r="C434" s="229" t="s">
        <v>612</v>
      </c>
      <c r="D434" s="229" t="s">
        <v>613</v>
      </c>
      <c r="E434" s="109" t="s">
        <v>614</v>
      </c>
      <c r="F434" s="109" t="s">
        <v>56</v>
      </c>
      <c r="G434" s="109" t="s">
        <v>57</v>
      </c>
      <c r="H434" s="109">
        <v>1.072116321E9</v>
      </c>
      <c r="I434" s="109">
        <v>42572.0</v>
      </c>
      <c r="J434" s="109"/>
      <c r="K434" s="109"/>
      <c r="L434" s="109">
        <v>42572.0</v>
      </c>
      <c r="M434" s="109">
        <v>42724.0</v>
      </c>
      <c r="N434" s="109"/>
      <c r="O434" s="109"/>
      <c r="P434" s="109"/>
      <c r="Q434" s="109"/>
      <c r="R434" s="109">
        <v>42726.0</v>
      </c>
      <c r="S434" s="109">
        <v>43456.0</v>
      </c>
      <c r="T434" s="109"/>
      <c r="U434" s="109"/>
      <c r="V434" s="109"/>
      <c r="W434" s="109"/>
      <c r="X434" s="109"/>
      <c r="Y434" s="109"/>
      <c r="Z434" s="109"/>
      <c r="AA434" s="109"/>
      <c r="AB434" s="137">
        <v>42828.0</v>
      </c>
      <c r="AC434" s="109" t="s">
        <v>62</v>
      </c>
      <c r="AD434" s="109">
        <v>26591.0</v>
      </c>
      <c r="AE434" s="109" t="s">
        <v>5739</v>
      </c>
      <c r="AF434" s="109" t="s">
        <v>5740</v>
      </c>
      <c r="AG434" s="109" t="s">
        <v>5741</v>
      </c>
      <c r="AH434" s="143">
        <v>9.559468184E9</v>
      </c>
      <c r="AI434" s="234" t="s">
        <v>617</v>
      </c>
      <c r="AJ434" s="226" t="s">
        <v>2268</v>
      </c>
      <c r="AK434" s="109" t="s">
        <v>618</v>
      </c>
      <c r="AL434" s="202" t="s">
        <v>619</v>
      </c>
      <c r="AM434" s="109" t="s">
        <v>620</v>
      </c>
      <c r="AN434" s="109" t="s">
        <v>621</v>
      </c>
      <c r="AO434" s="109"/>
      <c r="AP434" s="109"/>
      <c r="AQ434" s="142" t="s">
        <v>5742</v>
      </c>
      <c r="AR434" s="133" t="s">
        <v>5696</v>
      </c>
      <c r="AS434" s="109">
        <v>44643.0</v>
      </c>
      <c r="AT434" s="263"/>
    </row>
    <row r="435" ht="14.25" customHeight="1">
      <c r="A435" s="188">
        <v>430.0</v>
      </c>
      <c r="B435" s="229" t="s">
        <v>624</v>
      </c>
      <c r="C435" s="229" t="s">
        <v>625</v>
      </c>
      <c r="D435" s="229" t="s">
        <v>626</v>
      </c>
      <c r="E435" s="109" t="s">
        <v>133</v>
      </c>
      <c r="F435" s="109" t="s">
        <v>56</v>
      </c>
      <c r="G435" s="109" t="s">
        <v>57</v>
      </c>
      <c r="H435" s="109">
        <v>1.120104025E9</v>
      </c>
      <c r="I435" s="109">
        <v>39129.0</v>
      </c>
      <c r="J435" s="109">
        <v>38292.0</v>
      </c>
      <c r="K435" s="109">
        <v>38322.0</v>
      </c>
      <c r="L435" s="109">
        <v>38322.0</v>
      </c>
      <c r="M435" s="109">
        <v>38473.0</v>
      </c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109">
        <v>39129.0</v>
      </c>
      <c r="Y435" s="109">
        <v>39310.0</v>
      </c>
      <c r="Z435" s="109"/>
      <c r="AA435" s="109"/>
      <c r="AB435" s="137"/>
      <c r="AC435" s="109" t="s">
        <v>107</v>
      </c>
      <c r="AD435" s="109">
        <v>31980.0</v>
      </c>
      <c r="AE435" s="109" t="s">
        <v>5743</v>
      </c>
      <c r="AF435" s="109" t="s">
        <v>4325</v>
      </c>
      <c r="AG435" s="109"/>
      <c r="AH435" s="218">
        <v>9.69480078E9</v>
      </c>
      <c r="AI435" s="67" t="s">
        <v>629</v>
      </c>
      <c r="AJ435" s="226" t="s">
        <v>2448</v>
      </c>
      <c r="AK435" s="109" t="s">
        <v>630</v>
      </c>
      <c r="AL435" s="109" t="s">
        <v>631</v>
      </c>
      <c r="AM435" s="109" t="s">
        <v>632</v>
      </c>
      <c r="AN435" s="109" t="s">
        <v>633</v>
      </c>
      <c r="AO435" s="109"/>
      <c r="AP435" s="109"/>
      <c r="AQ435" s="142" t="s">
        <v>5744</v>
      </c>
      <c r="AR435" s="133" t="s">
        <v>5696</v>
      </c>
      <c r="AS435" s="109">
        <v>44643.0</v>
      </c>
      <c r="AT435" s="263"/>
    </row>
    <row r="436" ht="14.25" customHeight="1">
      <c r="A436" s="188">
        <v>431.0</v>
      </c>
      <c r="B436" s="229" t="s">
        <v>5745</v>
      </c>
      <c r="C436" s="229" t="s">
        <v>2778</v>
      </c>
      <c r="D436" s="229" t="s">
        <v>5746</v>
      </c>
      <c r="E436" s="109" t="s">
        <v>133</v>
      </c>
      <c r="F436" s="109" t="s">
        <v>56</v>
      </c>
      <c r="G436" s="109" t="s">
        <v>57</v>
      </c>
      <c r="H436" s="109">
        <v>1.061315232E9</v>
      </c>
      <c r="I436" s="109">
        <v>42189.0</v>
      </c>
      <c r="J436" s="109">
        <v>42168.0</v>
      </c>
      <c r="K436" s="109">
        <v>42188.0</v>
      </c>
      <c r="L436" s="109">
        <v>42189.0</v>
      </c>
      <c r="M436" s="109">
        <v>42341.0</v>
      </c>
      <c r="N436" s="109"/>
      <c r="O436" s="109"/>
      <c r="P436" s="109"/>
      <c r="Q436" s="109"/>
      <c r="R436" s="109">
        <v>42342.0</v>
      </c>
      <c r="S436" s="109">
        <v>43073.0</v>
      </c>
      <c r="T436" s="109"/>
      <c r="U436" s="109"/>
      <c r="V436" s="109"/>
      <c r="W436" s="109"/>
      <c r="X436" s="109"/>
      <c r="Y436" s="109"/>
      <c r="Z436" s="109"/>
      <c r="AA436" s="109"/>
      <c r="AB436" s="137">
        <v>42828.0</v>
      </c>
      <c r="AC436" s="109" t="s">
        <v>62</v>
      </c>
      <c r="AD436" s="109">
        <v>34116.0</v>
      </c>
      <c r="AE436" s="109" t="s">
        <v>5747</v>
      </c>
      <c r="AF436" s="109" t="s">
        <v>1403</v>
      </c>
      <c r="AG436" s="109" t="s">
        <v>5748</v>
      </c>
      <c r="AH436" s="218">
        <v>9.162884316E9</v>
      </c>
      <c r="AI436" s="233" t="s">
        <v>5749</v>
      </c>
      <c r="AJ436" s="226" t="s">
        <v>1847</v>
      </c>
      <c r="AK436" s="109" t="s">
        <v>5750</v>
      </c>
      <c r="AL436" s="109" t="s">
        <v>5751</v>
      </c>
      <c r="AM436" s="109" t="s">
        <v>5752</v>
      </c>
      <c r="AN436" s="109" t="s">
        <v>5753</v>
      </c>
      <c r="AO436" s="109"/>
      <c r="AP436" s="109"/>
      <c r="AQ436" s="142" t="s">
        <v>5754</v>
      </c>
      <c r="AR436" s="133" t="s">
        <v>5696</v>
      </c>
      <c r="AS436" s="109">
        <v>44643.0</v>
      </c>
      <c r="AT436" s="263"/>
      <c r="AU436" s="29"/>
    </row>
    <row r="437" ht="16.5" customHeight="1">
      <c r="A437" s="188">
        <v>432.0</v>
      </c>
      <c r="B437" s="229" t="s">
        <v>2540</v>
      </c>
      <c r="C437" s="229" t="s">
        <v>5755</v>
      </c>
      <c r="D437" s="229" t="s">
        <v>2542</v>
      </c>
      <c r="E437" s="109" t="s">
        <v>133</v>
      </c>
      <c r="F437" s="109" t="s">
        <v>56</v>
      </c>
      <c r="G437" s="109" t="s">
        <v>57</v>
      </c>
      <c r="H437" s="109">
        <v>1.090215255E9</v>
      </c>
      <c r="I437" s="109">
        <v>42264.0</v>
      </c>
      <c r="J437" s="109">
        <v>42249.0</v>
      </c>
      <c r="K437" s="109">
        <v>42263.0</v>
      </c>
      <c r="L437" s="109">
        <v>42264.0</v>
      </c>
      <c r="M437" s="109">
        <v>42417.0</v>
      </c>
      <c r="N437" s="109">
        <v>42569.0</v>
      </c>
      <c r="O437" s="109">
        <v>42722.0</v>
      </c>
      <c r="P437" s="109"/>
      <c r="Q437" s="109"/>
      <c r="R437" s="109">
        <v>42723.0</v>
      </c>
      <c r="S437" s="109">
        <v>43452.0</v>
      </c>
      <c r="T437" s="109"/>
      <c r="U437" s="109"/>
      <c r="V437" s="109"/>
      <c r="W437" s="109"/>
      <c r="X437" s="109"/>
      <c r="Y437" s="109"/>
      <c r="Z437" s="109"/>
      <c r="AA437" s="109"/>
      <c r="AB437" s="137">
        <v>42828.0</v>
      </c>
      <c r="AC437" s="109" t="s">
        <v>62</v>
      </c>
      <c r="AD437" s="109">
        <v>35306.0</v>
      </c>
      <c r="AE437" s="109" t="s">
        <v>5756</v>
      </c>
      <c r="AF437" s="109" t="s">
        <v>5757</v>
      </c>
      <c r="AG437" s="109" t="s">
        <v>5758</v>
      </c>
      <c r="AH437" s="143">
        <v>9.974389822E9</v>
      </c>
      <c r="AI437" s="233" t="s">
        <v>5759</v>
      </c>
      <c r="AJ437" s="226" t="s">
        <v>2545</v>
      </c>
      <c r="AK437" s="109" t="s">
        <v>2546</v>
      </c>
      <c r="AL437" s="109" t="s">
        <v>5760</v>
      </c>
      <c r="AM437" s="109" t="s">
        <v>2548</v>
      </c>
      <c r="AN437" s="109" t="s">
        <v>2547</v>
      </c>
      <c r="AO437" s="109"/>
      <c r="AP437" s="109"/>
      <c r="AQ437" s="142" t="s">
        <v>5761</v>
      </c>
      <c r="AR437" s="133" t="s">
        <v>5696</v>
      </c>
      <c r="AS437" s="109">
        <v>44643.0</v>
      </c>
      <c r="AT437" s="263"/>
      <c r="AU437" s="29"/>
    </row>
    <row r="438" ht="14.25" customHeight="1">
      <c r="A438" s="188">
        <v>433.0</v>
      </c>
      <c r="B438" s="229" t="s">
        <v>5762</v>
      </c>
      <c r="C438" s="229" t="s">
        <v>5763</v>
      </c>
      <c r="D438" s="229" t="s">
        <v>5764</v>
      </c>
      <c r="E438" s="109" t="s">
        <v>133</v>
      </c>
      <c r="F438" s="109" t="s">
        <v>56</v>
      </c>
      <c r="G438" s="109" t="s">
        <v>57</v>
      </c>
      <c r="H438" s="109">
        <v>1.070518451E9</v>
      </c>
      <c r="I438" s="109">
        <v>43286.0</v>
      </c>
      <c r="J438" s="109"/>
      <c r="K438" s="109"/>
      <c r="L438" s="109"/>
      <c r="M438" s="109"/>
      <c r="N438" s="109"/>
      <c r="O438" s="109"/>
      <c r="P438" s="109"/>
      <c r="Q438" s="109"/>
      <c r="R438" s="109"/>
      <c r="S438" s="109"/>
      <c r="T438" s="109"/>
      <c r="U438" s="109"/>
      <c r="V438" s="109"/>
      <c r="W438" s="109"/>
      <c r="X438" s="109">
        <v>43286.0</v>
      </c>
      <c r="Y438" s="109">
        <v>43469.0</v>
      </c>
      <c r="Z438" s="109"/>
      <c r="AA438" s="109"/>
      <c r="AB438" s="137">
        <v>43470.0</v>
      </c>
      <c r="AC438" s="109" t="s">
        <v>62</v>
      </c>
      <c r="AD438" s="109">
        <v>34544.0</v>
      </c>
      <c r="AE438" s="109" t="s">
        <v>5692</v>
      </c>
      <c r="AF438" s="109" t="s">
        <v>4325</v>
      </c>
      <c r="AG438" s="109" t="s">
        <v>5765</v>
      </c>
      <c r="AH438" s="143">
        <v>9.491254709E9</v>
      </c>
      <c r="AI438" s="233" t="s">
        <v>5766</v>
      </c>
      <c r="AJ438" s="226" t="s">
        <v>2237</v>
      </c>
      <c r="AK438" s="109" t="s">
        <v>5767</v>
      </c>
      <c r="AL438" s="109" t="s">
        <v>5768</v>
      </c>
      <c r="AM438" s="109" t="s">
        <v>5769</v>
      </c>
      <c r="AN438" s="109" t="s">
        <v>5770</v>
      </c>
      <c r="AO438" s="109"/>
      <c r="AP438" s="109"/>
      <c r="AQ438" s="142" t="s">
        <v>5771</v>
      </c>
      <c r="AR438" s="133" t="s">
        <v>5696</v>
      </c>
      <c r="AS438" s="109">
        <v>44643.0</v>
      </c>
      <c r="AT438" s="263"/>
      <c r="AU438" s="212"/>
    </row>
    <row r="439" ht="14.25" customHeight="1">
      <c r="A439" s="188">
        <v>434.0</v>
      </c>
      <c r="B439" s="229" t="s">
        <v>636</v>
      </c>
      <c r="C439" s="229" t="s">
        <v>637</v>
      </c>
      <c r="D439" s="229" t="s">
        <v>638</v>
      </c>
      <c r="E439" s="109" t="s">
        <v>639</v>
      </c>
      <c r="F439" s="109" t="s">
        <v>56</v>
      </c>
      <c r="G439" s="109" t="s">
        <v>57</v>
      </c>
      <c r="H439" s="109">
        <v>1.093014214E9</v>
      </c>
      <c r="I439" s="109">
        <v>42004.0</v>
      </c>
      <c r="J439" s="109">
        <v>41912.0</v>
      </c>
      <c r="K439" s="109">
        <v>42003.0</v>
      </c>
      <c r="L439" s="109">
        <v>42004.0</v>
      </c>
      <c r="M439" s="109">
        <v>42154.0</v>
      </c>
      <c r="N439" s="109"/>
      <c r="O439" s="109"/>
      <c r="P439" s="109"/>
      <c r="Q439" s="109"/>
      <c r="R439" s="109">
        <v>42155.0</v>
      </c>
      <c r="S439" s="109">
        <v>42521.0</v>
      </c>
      <c r="T439" s="109">
        <v>42521.0</v>
      </c>
      <c r="U439" s="109">
        <v>42886.0</v>
      </c>
      <c r="V439" s="109"/>
      <c r="W439" s="109"/>
      <c r="X439" s="109"/>
      <c r="Y439" s="109"/>
      <c r="Z439" s="109"/>
      <c r="AA439" s="109"/>
      <c r="AB439" s="137">
        <v>42828.0</v>
      </c>
      <c r="AC439" s="109" t="s">
        <v>62</v>
      </c>
      <c r="AD439" s="109">
        <v>34738.0</v>
      </c>
      <c r="AE439" s="109" t="s">
        <v>5772</v>
      </c>
      <c r="AF439" s="109" t="s">
        <v>4325</v>
      </c>
      <c r="AG439" s="109"/>
      <c r="AH439" s="143">
        <v>9.358810275E9</v>
      </c>
      <c r="AI439" s="234" t="s">
        <v>642</v>
      </c>
      <c r="AJ439" s="226" t="s">
        <v>643</v>
      </c>
      <c r="AK439" s="109" t="s">
        <v>644</v>
      </c>
      <c r="AL439" s="202" t="s">
        <v>645</v>
      </c>
      <c r="AM439" s="202" t="s">
        <v>646</v>
      </c>
      <c r="AN439" s="109" t="s">
        <v>647</v>
      </c>
      <c r="AO439" s="109"/>
      <c r="AP439" s="109" t="s">
        <v>5773</v>
      </c>
      <c r="AQ439" s="142" t="s">
        <v>5774</v>
      </c>
      <c r="AR439" s="133" t="s">
        <v>5696</v>
      </c>
      <c r="AS439" s="109">
        <v>44643.0</v>
      </c>
      <c r="AT439" s="263"/>
      <c r="AU439" s="29"/>
    </row>
    <row r="440" ht="14.25" customHeight="1">
      <c r="A440" s="188">
        <v>435.0</v>
      </c>
      <c r="B440" s="229" t="s">
        <v>74</v>
      </c>
      <c r="C440" s="229" t="s">
        <v>1712</v>
      </c>
      <c r="D440" s="229" t="s">
        <v>847</v>
      </c>
      <c r="E440" s="109" t="s">
        <v>561</v>
      </c>
      <c r="F440" s="109" t="s">
        <v>56</v>
      </c>
      <c r="G440" s="109" t="s">
        <v>57</v>
      </c>
      <c r="H440" s="109">
        <v>1.012216278E9</v>
      </c>
      <c r="I440" s="109">
        <v>42406.0</v>
      </c>
      <c r="J440" s="109">
        <v>42391.0</v>
      </c>
      <c r="K440" s="109">
        <v>42405.0</v>
      </c>
      <c r="L440" s="109">
        <v>42406.0</v>
      </c>
      <c r="M440" s="109">
        <v>42557.0</v>
      </c>
      <c r="N440" s="109"/>
      <c r="O440" s="109"/>
      <c r="P440" s="109"/>
      <c r="Q440" s="109"/>
      <c r="R440" s="109">
        <v>42558.0</v>
      </c>
      <c r="S440" s="109">
        <v>43288.0</v>
      </c>
      <c r="T440" s="109"/>
      <c r="U440" s="109"/>
      <c r="V440" s="109"/>
      <c r="W440" s="109"/>
      <c r="X440" s="109"/>
      <c r="Y440" s="109"/>
      <c r="Z440" s="109"/>
      <c r="AA440" s="109"/>
      <c r="AB440" s="137">
        <v>42828.0</v>
      </c>
      <c r="AC440" s="109" t="s">
        <v>62</v>
      </c>
      <c r="AD440" s="109">
        <v>34843.0</v>
      </c>
      <c r="AE440" s="109" t="s">
        <v>5775</v>
      </c>
      <c r="AF440" s="109" t="s">
        <v>5776</v>
      </c>
      <c r="AG440" s="109" t="s">
        <v>5777</v>
      </c>
      <c r="AH440" s="143">
        <v>9.086265149E9</v>
      </c>
      <c r="AI440" s="233" t="s">
        <v>5778</v>
      </c>
      <c r="AJ440" s="226" t="s">
        <v>5779</v>
      </c>
      <c r="AK440" s="109" t="s">
        <v>1717</v>
      </c>
      <c r="AL440" s="109" t="s">
        <v>1718</v>
      </c>
      <c r="AM440" s="109" t="s">
        <v>1719</v>
      </c>
      <c r="AN440" s="109" t="s">
        <v>1720</v>
      </c>
      <c r="AO440" s="109"/>
      <c r="AP440" s="109"/>
      <c r="AQ440" s="142" t="s">
        <v>5780</v>
      </c>
      <c r="AR440" s="133" t="s">
        <v>5696</v>
      </c>
      <c r="AS440" s="109">
        <v>44643.0</v>
      </c>
      <c r="AT440" s="263"/>
      <c r="AU440" s="29"/>
    </row>
    <row r="441" ht="14.25" customHeight="1">
      <c r="A441" s="188">
        <v>436.0</v>
      </c>
      <c r="B441" s="229" t="s">
        <v>5781</v>
      </c>
      <c r="C441" s="229" t="s">
        <v>5782</v>
      </c>
      <c r="D441" s="229" t="s">
        <v>5783</v>
      </c>
      <c r="E441" s="109" t="s">
        <v>561</v>
      </c>
      <c r="F441" s="109" t="s">
        <v>56</v>
      </c>
      <c r="G441" s="109" t="s">
        <v>57</v>
      </c>
      <c r="H441" s="109">
        <v>1.062716317E9</v>
      </c>
      <c r="I441" s="109">
        <v>42555.0</v>
      </c>
      <c r="J441" s="109">
        <v>42541.0</v>
      </c>
      <c r="K441" s="109">
        <v>42554.0</v>
      </c>
      <c r="L441" s="109">
        <v>42555.0</v>
      </c>
      <c r="M441" s="109">
        <v>42708.0</v>
      </c>
      <c r="N441" s="109"/>
      <c r="O441" s="109"/>
      <c r="P441" s="109"/>
      <c r="Q441" s="109"/>
      <c r="R441" s="109">
        <v>42709.0</v>
      </c>
      <c r="S441" s="109">
        <v>43438.0</v>
      </c>
      <c r="T441" s="109"/>
      <c r="U441" s="109"/>
      <c r="V441" s="109"/>
      <c r="W441" s="109"/>
      <c r="X441" s="109"/>
      <c r="Y441" s="109"/>
      <c r="Z441" s="109"/>
      <c r="AA441" s="109"/>
      <c r="AB441" s="137">
        <v>42828.0</v>
      </c>
      <c r="AC441" s="109" t="s">
        <v>62</v>
      </c>
      <c r="AD441" s="109">
        <v>34776.0</v>
      </c>
      <c r="AE441" s="109" t="s">
        <v>5784</v>
      </c>
      <c r="AF441" s="109" t="s">
        <v>5776</v>
      </c>
      <c r="AG441" s="109" t="s">
        <v>5785</v>
      </c>
      <c r="AH441" s="143">
        <v>9.954995167E9</v>
      </c>
      <c r="AI441" s="233" t="s">
        <v>5786</v>
      </c>
      <c r="AJ441" s="226" t="s">
        <v>5787</v>
      </c>
      <c r="AK441" s="109" t="s">
        <v>5788</v>
      </c>
      <c r="AL441" s="109" t="s">
        <v>5789</v>
      </c>
      <c r="AM441" s="109" t="s">
        <v>5790</v>
      </c>
      <c r="AN441" s="109" t="s">
        <v>5791</v>
      </c>
      <c r="AO441" s="109"/>
      <c r="AP441" s="109"/>
      <c r="AQ441" s="142" t="s">
        <v>5792</v>
      </c>
      <c r="AR441" s="133" t="s">
        <v>5696</v>
      </c>
      <c r="AS441" s="109">
        <v>44643.0</v>
      </c>
      <c r="AT441" s="263"/>
      <c r="AU441" s="29"/>
    </row>
    <row r="442" ht="14.25" customHeight="1">
      <c r="A442" s="188">
        <v>437.0</v>
      </c>
      <c r="B442" s="229" t="s">
        <v>664</v>
      </c>
      <c r="C442" s="229" t="s">
        <v>665</v>
      </c>
      <c r="D442" s="229" t="s">
        <v>86</v>
      </c>
      <c r="E442" s="109" t="s">
        <v>666</v>
      </c>
      <c r="F442" s="109" t="s">
        <v>177</v>
      </c>
      <c r="G442" s="109" t="s">
        <v>57</v>
      </c>
      <c r="H442" s="109">
        <v>1.03161212E9</v>
      </c>
      <c r="I442" s="109">
        <v>40984.0</v>
      </c>
      <c r="J442" s="109"/>
      <c r="K442" s="109"/>
      <c r="L442" s="109">
        <v>40984.0</v>
      </c>
      <c r="M442" s="109">
        <v>41137.0</v>
      </c>
      <c r="N442" s="109">
        <v>41153.0</v>
      </c>
      <c r="O442" s="109">
        <v>41305.0</v>
      </c>
      <c r="P442" s="109"/>
      <c r="Q442" s="109"/>
      <c r="R442" s="109">
        <v>41306.0</v>
      </c>
      <c r="S442" s="109">
        <v>42036.0</v>
      </c>
      <c r="T442" s="109">
        <v>42037.0</v>
      </c>
      <c r="U442" s="109">
        <v>42401.0</v>
      </c>
      <c r="V442" s="109">
        <v>42402.0</v>
      </c>
      <c r="W442" s="109">
        <v>42768.0</v>
      </c>
      <c r="X442" s="109"/>
      <c r="Y442" s="109"/>
      <c r="Z442" s="109"/>
      <c r="AA442" s="109"/>
      <c r="AB442" s="137">
        <v>42828.0</v>
      </c>
      <c r="AC442" s="109" t="s">
        <v>107</v>
      </c>
      <c r="AD442" s="109">
        <v>29167.0</v>
      </c>
      <c r="AE442" s="109" t="s">
        <v>5793</v>
      </c>
      <c r="AF442" s="109" t="s">
        <v>4806</v>
      </c>
      <c r="AG442" s="109" t="s">
        <v>5794</v>
      </c>
      <c r="AH442" s="266">
        <v>9.688839476E9</v>
      </c>
      <c r="AI442" s="233" t="s">
        <v>669</v>
      </c>
      <c r="AJ442" s="226" t="s">
        <v>5795</v>
      </c>
      <c r="AK442" s="109" t="s">
        <v>671</v>
      </c>
      <c r="AL442" s="109" t="s">
        <v>672</v>
      </c>
      <c r="AM442" s="109" t="s">
        <v>673</v>
      </c>
      <c r="AN442" s="109" t="s">
        <v>674</v>
      </c>
      <c r="AO442" s="109">
        <v>2.0</v>
      </c>
      <c r="AP442" s="109" t="s">
        <v>5796</v>
      </c>
      <c r="AQ442" s="142" t="s">
        <v>5797</v>
      </c>
      <c r="AR442" s="133" t="s">
        <v>5696</v>
      </c>
      <c r="AS442" s="109">
        <v>44643.0</v>
      </c>
      <c r="AT442" s="263"/>
      <c r="AU442" s="212"/>
    </row>
    <row r="443" ht="14.25" customHeight="1">
      <c r="A443" s="188">
        <v>438.0</v>
      </c>
      <c r="B443" s="229" t="s">
        <v>1673</v>
      </c>
      <c r="C443" s="229" t="s">
        <v>1674</v>
      </c>
      <c r="D443" s="229" t="s">
        <v>1675</v>
      </c>
      <c r="E443" s="109" t="s">
        <v>5798</v>
      </c>
      <c r="F443" s="109" t="s">
        <v>177</v>
      </c>
      <c r="G443" s="109" t="s">
        <v>57</v>
      </c>
      <c r="H443" s="109">
        <v>1.10241114E9</v>
      </c>
      <c r="I443" s="109">
        <v>41579.0</v>
      </c>
      <c r="J443" s="109"/>
      <c r="K443" s="109"/>
      <c r="L443" s="109">
        <v>41579.0</v>
      </c>
      <c r="M443" s="109">
        <v>41670.0</v>
      </c>
      <c r="N443" s="109">
        <v>41671.0</v>
      </c>
      <c r="O443" s="109">
        <v>41820.0</v>
      </c>
      <c r="P443" s="109"/>
      <c r="Q443" s="109"/>
      <c r="R443" s="109">
        <v>41821.0</v>
      </c>
      <c r="S443" s="109">
        <v>42185.0</v>
      </c>
      <c r="T443" s="109">
        <v>42186.0</v>
      </c>
      <c r="U443" s="109">
        <v>42551.0</v>
      </c>
      <c r="V443" s="109">
        <v>42552.0</v>
      </c>
      <c r="W443" s="109">
        <v>42918.0</v>
      </c>
      <c r="X443" s="109"/>
      <c r="Y443" s="109"/>
      <c r="Z443" s="109"/>
      <c r="AA443" s="109"/>
      <c r="AB443" s="137">
        <v>42828.0</v>
      </c>
      <c r="AC443" s="109" t="s">
        <v>62</v>
      </c>
      <c r="AD443" s="109">
        <v>24477.0</v>
      </c>
      <c r="AE443" s="109" t="s">
        <v>5799</v>
      </c>
      <c r="AF443" s="109" t="s">
        <v>4336</v>
      </c>
      <c r="AG443" s="109" t="s">
        <v>5800</v>
      </c>
      <c r="AH443" s="143">
        <v>9.475871824E9</v>
      </c>
      <c r="AI443" s="234" t="s">
        <v>1679</v>
      </c>
      <c r="AJ443" s="226" t="s">
        <v>1834</v>
      </c>
      <c r="AK443" s="109" t="s">
        <v>1681</v>
      </c>
      <c r="AL443" s="204" t="s">
        <v>1682</v>
      </c>
      <c r="AM443" s="202" t="s">
        <v>1683</v>
      </c>
      <c r="AN443" s="109" t="s">
        <v>1684</v>
      </c>
      <c r="AO443" s="109"/>
      <c r="AP443" s="109"/>
      <c r="AQ443" s="142" t="s">
        <v>5801</v>
      </c>
      <c r="AR443" s="133" t="s">
        <v>5696</v>
      </c>
      <c r="AS443" s="109">
        <v>44643.0</v>
      </c>
      <c r="AT443" s="263"/>
    </row>
    <row r="444" ht="14.25" customHeight="1">
      <c r="A444" s="188">
        <v>439.0</v>
      </c>
      <c r="B444" s="229" t="s">
        <v>676</v>
      </c>
      <c r="C444" s="229" t="s">
        <v>677</v>
      </c>
      <c r="D444" s="229" t="s">
        <v>678</v>
      </c>
      <c r="E444" s="109" t="s">
        <v>679</v>
      </c>
      <c r="F444" s="109" t="s">
        <v>177</v>
      </c>
      <c r="G444" s="109" t="s">
        <v>57</v>
      </c>
      <c r="H444" s="109">
        <v>1.011316347E9</v>
      </c>
      <c r="I444" s="109">
        <v>41691.0</v>
      </c>
      <c r="J444" s="109"/>
      <c r="K444" s="109"/>
      <c r="L444" s="109"/>
      <c r="M444" s="109"/>
      <c r="N444" s="109"/>
      <c r="O444" s="109"/>
      <c r="P444" s="109"/>
      <c r="Q444" s="109"/>
      <c r="R444" s="109">
        <v>42748.0</v>
      </c>
      <c r="S444" s="109">
        <v>43477.0</v>
      </c>
      <c r="T444" s="109"/>
      <c r="U444" s="109"/>
      <c r="V444" s="109"/>
      <c r="W444" s="109"/>
      <c r="X444" s="109"/>
      <c r="Y444" s="109"/>
      <c r="Z444" s="109"/>
      <c r="AA444" s="109"/>
      <c r="AB444" s="137">
        <v>42828.0</v>
      </c>
      <c r="AC444" s="109" t="s">
        <v>107</v>
      </c>
      <c r="AD444" s="109">
        <v>29560.0</v>
      </c>
      <c r="AE444" s="109" t="s">
        <v>5802</v>
      </c>
      <c r="AF444" s="109" t="s">
        <v>4385</v>
      </c>
      <c r="AG444" s="109" t="s">
        <v>5803</v>
      </c>
      <c r="AH444" s="143">
        <v>9.177991057E9</v>
      </c>
      <c r="AI444" s="234" t="s">
        <v>682</v>
      </c>
      <c r="AJ444" s="226" t="s">
        <v>5804</v>
      </c>
      <c r="AK444" s="109" t="s">
        <v>683</v>
      </c>
      <c r="AL444" s="109" t="s">
        <v>684</v>
      </c>
      <c r="AM444" s="109" t="s">
        <v>685</v>
      </c>
      <c r="AN444" s="109" t="s">
        <v>686</v>
      </c>
      <c r="AO444" s="109">
        <v>3.0</v>
      </c>
      <c r="AP444" s="109" t="s">
        <v>5805</v>
      </c>
      <c r="AQ444" s="142" t="s">
        <v>5806</v>
      </c>
      <c r="AR444" s="133" t="s">
        <v>5696</v>
      </c>
      <c r="AS444" s="109">
        <v>44643.0</v>
      </c>
      <c r="AT444" s="263"/>
    </row>
    <row r="445" ht="14.25" customHeight="1">
      <c r="A445" s="188">
        <v>440.0</v>
      </c>
      <c r="B445" s="229" t="s">
        <v>173</v>
      </c>
      <c r="C445" s="229" t="s">
        <v>174</v>
      </c>
      <c r="D445" s="229" t="s">
        <v>175</v>
      </c>
      <c r="E445" s="109" t="s">
        <v>176</v>
      </c>
      <c r="F445" s="109" t="s">
        <v>177</v>
      </c>
      <c r="G445" s="109" t="s">
        <v>57</v>
      </c>
      <c r="H445" s="109">
        <v>1.060319193E9</v>
      </c>
      <c r="I445" s="109">
        <v>43619.0</v>
      </c>
      <c r="J445" s="109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109">
        <v>43619.0</v>
      </c>
      <c r="Y445" s="109">
        <v>43801.0</v>
      </c>
      <c r="Z445" s="109"/>
      <c r="AA445" s="109"/>
      <c r="AB445" s="137">
        <v>43802.0</v>
      </c>
      <c r="AC445" s="109" t="s">
        <v>107</v>
      </c>
      <c r="AD445" s="109">
        <v>25710.0</v>
      </c>
      <c r="AE445" s="109" t="s">
        <v>5807</v>
      </c>
      <c r="AF445" s="109" t="s">
        <v>4385</v>
      </c>
      <c r="AG445" s="109" t="s">
        <v>5808</v>
      </c>
      <c r="AH445" s="143">
        <v>9.16620863E9</v>
      </c>
      <c r="AI445" s="234" t="s">
        <v>5809</v>
      </c>
      <c r="AJ445" s="226"/>
      <c r="AK445" s="109" t="s">
        <v>182</v>
      </c>
      <c r="AL445" s="204" t="s">
        <v>183</v>
      </c>
      <c r="AM445" s="202" t="s">
        <v>184</v>
      </c>
      <c r="AN445" s="109" t="s">
        <v>185</v>
      </c>
      <c r="AO445" s="109">
        <v>3.0</v>
      </c>
      <c r="AP445" s="109" t="s">
        <v>5810</v>
      </c>
      <c r="AQ445" s="142" t="s">
        <v>5811</v>
      </c>
      <c r="AR445" s="133" t="s">
        <v>5696</v>
      </c>
      <c r="AS445" s="109">
        <v>44643.0</v>
      </c>
      <c r="AT445" s="263"/>
    </row>
    <row r="446" ht="14.25" customHeight="1">
      <c r="A446" s="188">
        <v>441.0</v>
      </c>
      <c r="B446" s="229" t="s">
        <v>187</v>
      </c>
      <c r="C446" s="229" t="s">
        <v>188</v>
      </c>
      <c r="D446" s="229" t="s">
        <v>189</v>
      </c>
      <c r="E446" s="109" t="s">
        <v>190</v>
      </c>
      <c r="F446" s="109" t="s">
        <v>4135</v>
      </c>
      <c r="G446" s="109" t="s">
        <v>57</v>
      </c>
      <c r="H446" s="109">
        <v>1.080109035E9</v>
      </c>
      <c r="I446" s="109">
        <v>40026.0</v>
      </c>
      <c r="J446" s="109"/>
      <c r="K446" s="109"/>
      <c r="L446" s="109"/>
      <c r="M446" s="109"/>
      <c r="N446" s="109"/>
      <c r="O446" s="109"/>
      <c r="P446" s="109"/>
      <c r="Q446" s="109"/>
      <c r="R446" s="109"/>
      <c r="S446" s="109"/>
      <c r="T446" s="109"/>
      <c r="U446" s="109"/>
      <c r="V446" s="109"/>
      <c r="W446" s="109"/>
      <c r="X446" s="109">
        <v>40026.0</v>
      </c>
      <c r="Y446" s="109">
        <v>40210.0</v>
      </c>
      <c r="Z446" s="109"/>
      <c r="AA446" s="109"/>
      <c r="AB446" s="137">
        <v>40179.0</v>
      </c>
      <c r="AC446" s="109" t="s">
        <v>107</v>
      </c>
      <c r="AD446" s="109">
        <v>29801.0</v>
      </c>
      <c r="AE446" s="109" t="s">
        <v>5812</v>
      </c>
      <c r="AF446" s="109" t="s">
        <v>4938</v>
      </c>
      <c r="AG446" s="109"/>
      <c r="AH446" s="237">
        <v>9.392721474E9</v>
      </c>
      <c r="AI446" s="67" t="s">
        <v>195</v>
      </c>
      <c r="AJ446" s="226" t="s">
        <v>5813</v>
      </c>
      <c r="AK446" s="109" t="s">
        <v>197</v>
      </c>
      <c r="AL446" s="109" t="s">
        <v>198</v>
      </c>
      <c r="AM446" s="109" t="s">
        <v>199</v>
      </c>
      <c r="AN446" s="109" t="s">
        <v>200</v>
      </c>
      <c r="AO446" s="109">
        <v>2.0</v>
      </c>
      <c r="AP446" s="109" t="s">
        <v>5814</v>
      </c>
      <c r="AQ446" s="142" t="s">
        <v>5815</v>
      </c>
      <c r="AR446" s="133" t="s">
        <v>5696</v>
      </c>
      <c r="AS446" s="109">
        <v>44643.0</v>
      </c>
      <c r="AT446" s="263"/>
    </row>
    <row r="447" ht="14.25" customHeight="1">
      <c r="A447" s="188">
        <v>442.0</v>
      </c>
      <c r="B447" s="229" t="s">
        <v>5816</v>
      </c>
      <c r="C447" s="229" t="s">
        <v>5817</v>
      </c>
      <c r="D447" s="229" t="s">
        <v>5818</v>
      </c>
      <c r="E447" s="109" t="s">
        <v>322</v>
      </c>
      <c r="F447" s="109" t="s">
        <v>4135</v>
      </c>
      <c r="G447" s="109" t="s">
        <v>57</v>
      </c>
      <c r="H447" s="109">
        <v>1.05081213E9</v>
      </c>
      <c r="I447" s="109">
        <v>41153.0</v>
      </c>
      <c r="J447" s="109">
        <v>41037.0</v>
      </c>
      <c r="K447" s="109">
        <v>41129.0</v>
      </c>
      <c r="L447" s="109">
        <v>41153.0</v>
      </c>
      <c r="M447" s="109">
        <v>41305.0</v>
      </c>
      <c r="N447" s="109"/>
      <c r="O447" s="109"/>
      <c r="P447" s="109"/>
      <c r="Q447" s="109"/>
      <c r="R447" s="109">
        <v>41306.0</v>
      </c>
      <c r="S447" s="109">
        <v>42036.0</v>
      </c>
      <c r="T447" s="109"/>
      <c r="U447" s="109"/>
      <c r="V447" s="109"/>
      <c r="W447" s="109"/>
      <c r="X447" s="109">
        <v>41760.0</v>
      </c>
      <c r="Y447" s="109">
        <v>41944.0</v>
      </c>
      <c r="Z447" s="109"/>
      <c r="AA447" s="109"/>
      <c r="AB447" s="137">
        <v>41945.0</v>
      </c>
      <c r="AC447" s="109" t="s">
        <v>62</v>
      </c>
      <c r="AD447" s="109">
        <v>30978.0</v>
      </c>
      <c r="AE447" s="109" t="s">
        <v>5819</v>
      </c>
      <c r="AF447" s="109" t="s">
        <v>5820</v>
      </c>
      <c r="AG447" s="109"/>
      <c r="AH447" s="143">
        <v>9.981718558E9</v>
      </c>
      <c r="AI447" s="233" t="s">
        <v>5821</v>
      </c>
      <c r="AJ447" s="226" t="s">
        <v>5822</v>
      </c>
      <c r="AK447" s="109" t="s">
        <v>5823</v>
      </c>
      <c r="AL447" s="109" t="s">
        <v>5824</v>
      </c>
      <c r="AM447" s="109" t="s">
        <v>5825</v>
      </c>
      <c r="AN447" s="109" t="s">
        <v>5826</v>
      </c>
      <c r="AO447" s="109">
        <v>1.0</v>
      </c>
      <c r="AP447" s="109" t="s">
        <v>5827</v>
      </c>
      <c r="AQ447" s="142" t="s">
        <v>5828</v>
      </c>
      <c r="AR447" s="133" t="s">
        <v>5696</v>
      </c>
      <c r="AS447" s="109">
        <v>44643.0</v>
      </c>
      <c r="AT447" s="263"/>
    </row>
    <row r="448" ht="14.25" customHeight="1">
      <c r="A448" s="188">
        <v>443.0</v>
      </c>
      <c r="B448" s="229" t="s">
        <v>5829</v>
      </c>
      <c r="C448" s="229" t="s">
        <v>4013</v>
      </c>
      <c r="D448" s="229" t="s">
        <v>5830</v>
      </c>
      <c r="E448" s="109" t="s">
        <v>717</v>
      </c>
      <c r="F448" s="109" t="s">
        <v>4135</v>
      </c>
      <c r="G448" s="109" t="s">
        <v>57</v>
      </c>
      <c r="H448" s="109">
        <v>1.071709051E9</v>
      </c>
      <c r="I448" s="109" t="s">
        <v>422</v>
      </c>
      <c r="J448" s="109">
        <v>39888.0</v>
      </c>
      <c r="K448" s="109">
        <v>39980.0</v>
      </c>
      <c r="L448" s="109">
        <v>39981.0</v>
      </c>
      <c r="M448" s="109">
        <v>40164.0</v>
      </c>
      <c r="N448" s="109">
        <v>40163.0</v>
      </c>
      <c r="O448" s="109">
        <v>40345.0</v>
      </c>
      <c r="P448" s="109"/>
      <c r="Q448" s="109"/>
      <c r="R448" s="109">
        <v>40787.0</v>
      </c>
      <c r="S448" s="109">
        <v>41518.0</v>
      </c>
      <c r="T448" s="109">
        <v>41563.0</v>
      </c>
      <c r="U448" s="109">
        <v>41928.0</v>
      </c>
      <c r="V448" s="109">
        <v>41936.0</v>
      </c>
      <c r="W448" s="109">
        <v>42301.0</v>
      </c>
      <c r="X448" s="109"/>
      <c r="Y448" s="109"/>
      <c r="Z448" s="109"/>
      <c r="AA448" s="109"/>
      <c r="AB448" s="137">
        <v>42302.0</v>
      </c>
      <c r="AC448" s="109" t="s">
        <v>62</v>
      </c>
      <c r="AD448" s="109">
        <v>30824.0</v>
      </c>
      <c r="AE448" s="109" t="s">
        <v>5831</v>
      </c>
      <c r="AF448" s="109" t="s">
        <v>4938</v>
      </c>
      <c r="AG448" s="109"/>
      <c r="AH448" s="143">
        <v>9.084511324E9</v>
      </c>
      <c r="AI448" s="234" t="s">
        <v>5832</v>
      </c>
      <c r="AJ448" s="226" t="s">
        <v>5833</v>
      </c>
      <c r="AK448" s="109" t="s">
        <v>5834</v>
      </c>
      <c r="AL448" s="109" t="s">
        <v>5835</v>
      </c>
      <c r="AM448" s="109" t="s">
        <v>5836</v>
      </c>
      <c r="AN448" s="109" t="s">
        <v>5837</v>
      </c>
      <c r="AO448" s="109">
        <v>2.0</v>
      </c>
      <c r="AP448" s="109" t="s">
        <v>5838</v>
      </c>
      <c r="AQ448" s="142" t="s">
        <v>5839</v>
      </c>
      <c r="AR448" s="133" t="s">
        <v>5696</v>
      </c>
      <c r="AS448" s="109">
        <v>44643.0</v>
      </c>
      <c r="AT448" s="263"/>
    </row>
    <row r="449" ht="18.0" customHeight="1">
      <c r="A449" s="188">
        <v>444.0</v>
      </c>
      <c r="B449" s="229" t="s">
        <v>5840</v>
      </c>
      <c r="C449" s="229" t="s">
        <v>5841</v>
      </c>
      <c r="D449" s="229" t="s">
        <v>5842</v>
      </c>
      <c r="E449" s="109" t="s">
        <v>82</v>
      </c>
      <c r="F449" s="109" t="s">
        <v>4135</v>
      </c>
      <c r="G449" s="109" t="s">
        <v>57</v>
      </c>
      <c r="H449" s="109">
        <v>1.090318142E9</v>
      </c>
      <c r="I449" s="109">
        <v>43346.0</v>
      </c>
      <c r="J449" s="109">
        <v>43346.0</v>
      </c>
      <c r="K449" s="109">
        <v>43361.0</v>
      </c>
      <c r="L449" s="109"/>
      <c r="M449" s="109"/>
      <c r="N449" s="109"/>
      <c r="O449" s="109"/>
      <c r="P449" s="109"/>
      <c r="Q449" s="109"/>
      <c r="R449" s="109"/>
      <c r="S449" s="109"/>
      <c r="T449" s="109"/>
      <c r="U449" s="109"/>
      <c r="V449" s="109"/>
      <c r="W449" s="109"/>
      <c r="X449" s="109">
        <v>43346.0</v>
      </c>
      <c r="Y449" s="109">
        <v>43526.0</v>
      </c>
      <c r="Z449" s="109"/>
      <c r="AA449" s="109"/>
      <c r="AB449" s="109">
        <v>43527.0</v>
      </c>
      <c r="AC449" s="162" t="s">
        <v>62</v>
      </c>
      <c r="AD449" s="109">
        <v>34479.0</v>
      </c>
      <c r="AE449" s="109" t="s">
        <v>5843</v>
      </c>
      <c r="AF449" s="109" t="s">
        <v>4336</v>
      </c>
      <c r="AG449" s="109" t="s">
        <v>5844</v>
      </c>
      <c r="AH449" s="143">
        <v>9.95460229E9</v>
      </c>
      <c r="AI449" s="233" t="s">
        <v>5845</v>
      </c>
      <c r="AJ449" s="226" t="s">
        <v>4432</v>
      </c>
      <c r="AK449" s="109" t="s">
        <v>5846</v>
      </c>
      <c r="AL449" s="109" t="s">
        <v>5847</v>
      </c>
      <c r="AM449" s="205" t="s">
        <v>5848</v>
      </c>
      <c r="AN449" s="109" t="s">
        <v>5849</v>
      </c>
      <c r="AO449" s="109"/>
      <c r="AP449" s="109"/>
      <c r="AQ449" s="142" t="s">
        <v>5850</v>
      </c>
      <c r="AR449" s="133" t="s">
        <v>5696</v>
      </c>
      <c r="AS449" s="109">
        <v>44643.0</v>
      </c>
      <c r="AT449" s="212"/>
      <c r="AU449" s="212"/>
      <c r="AV449" s="212"/>
      <c r="AW449" s="212"/>
      <c r="AX449" s="212"/>
      <c r="AY449" s="212"/>
      <c r="AZ449" s="212"/>
      <c r="BA449" s="212"/>
      <c r="BB449" s="212"/>
      <c r="BC449" s="212"/>
    </row>
    <row r="450" ht="14.25" customHeight="1">
      <c r="A450" s="188">
        <v>445.0</v>
      </c>
      <c r="B450" s="229" t="s">
        <v>216</v>
      </c>
      <c r="C450" s="229" t="s">
        <v>1020</v>
      </c>
      <c r="D450" s="229" t="s">
        <v>1021</v>
      </c>
      <c r="E450" s="109" t="s">
        <v>82</v>
      </c>
      <c r="F450" s="109" t="s">
        <v>4135</v>
      </c>
      <c r="G450" s="109" t="s">
        <v>57</v>
      </c>
      <c r="H450" s="213">
        <v>1.021119179E9</v>
      </c>
      <c r="I450" s="109">
        <v>43507.0</v>
      </c>
      <c r="J450" s="109">
        <f>I450</f>
        <v>43507</v>
      </c>
      <c r="K450" s="109">
        <f>J450+15</f>
        <v>43522</v>
      </c>
      <c r="L450" s="109"/>
      <c r="M450" s="109"/>
      <c r="N450" s="109"/>
      <c r="O450" s="109"/>
      <c r="P450" s="109"/>
      <c r="Q450" s="109"/>
      <c r="R450" s="109"/>
      <c r="S450" s="109"/>
      <c r="T450" s="109"/>
      <c r="U450" s="109"/>
      <c r="V450" s="109"/>
      <c r="W450" s="109"/>
      <c r="X450" s="109">
        <f>I450</f>
        <v>43507</v>
      </c>
      <c r="Y450" s="109">
        <f>X450+180</f>
        <v>43687</v>
      </c>
      <c r="Z450" s="109"/>
      <c r="AA450" s="109"/>
      <c r="AB450" s="137">
        <v>43688.0</v>
      </c>
      <c r="AC450" s="109" t="s">
        <v>62</v>
      </c>
      <c r="AD450" s="109">
        <v>34888.0</v>
      </c>
      <c r="AE450" s="109" t="s">
        <v>5851</v>
      </c>
      <c r="AF450" s="109" t="s">
        <v>4325</v>
      </c>
      <c r="AG450" s="109" t="s">
        <v>5852</v>
      </c>
      <c r="AH450" s="237">
        <v>9.262431891E9</v>
      </c>
      <c r="AI450" s="233" t="s">
        <v>1025</v>
      </c>
      <c r="AJ450" s="226" t="s">
        <v>4646</v>
      </c>
      <c r="AK450" s="109" t="s">
        <v>1026</v>
      </c>
      <c r="AL450" s="109" t="s">
        <v>1027</v>
      </c>
      <c r="AM450" s="109" t="s">
        <v>1028</v>
      </c>
      <c r="AN450" s="109" t="s">
        <v>1029</v>
      </c>
      <c r="AO450" s="109"/>
      <c r="AP450" s="109"/>
      <c r="AQ450" s="142" t="s">
        <v>5853</v>
      </c>
      <c r="AR450" s="133" t="s">
        <v>5696</v>
      </c>
      <c r="AS450" s="109">
        <v>44643.0</v>
      </c>
      <c r="AT450" s="263"/>
    </row>
    <row r="451" ht="14.25" customHeight="1">
      <c r="A451" s="188">
        <v>446.0</v>
      </c>
      <c r="B451" s="244" t="s">
        <v>5854</v>
      </c>
      <c r="C451" s="244" t="s">
        <v>5855</v>
      </c>
      <c r="D451" s="244" t="s">
        <v>78</v>
      </c>
      <c r="E451" s="109" t="s">
        <v>82</v>
      </c>
      <c r="F451" s="109" t="s">
        <v>4135</v>
      </c>
      <c r="G451" s="109" t="s">
        <v>57</v>
      </c>
      <c r="H451" s="109">
        <v>1.040619186E9</v>
      </c>
      <c r="I451" s="109">
        <v>43561.0</v>
      </c>
      <c r="J451" s="109">
        <v>43561.0</v>
      </c>
      <c r="K451" s="109" t="s">
        <v>4690</v>
      </c>
      <c r="L451" s="109"/>
      <c r="M451" s="109"/>
      <c r="N451" s="109"/>
      <c r="O451" s="109"/>
      <c r="P451" s="109"/>
      <c r="Q451" s="109"/>
      <c r="R451" s="109"/>
      <c r="S451" s="109"/>
      <c r="T451" s="109"/>
      <c r="U451" s="109"/>
      <c r="V451" s="109"/>
      <c r="W451" s="109"/>
      <c r="X451" s="109">
        <v>43561.0</v>
      </c>
      <c r="Y451" s="109">
        <v>43743.0</v>
      </c>
      <c r="Z451" s="109"/>
      <c r="AA451" s="109"/>
      <c r="AB451" s="137">
        <v>43744.0</v>
      </c>
      <c r="AC451" s="109" t="s">
        <v>62</v>
      </c>
      <c r="AD451" s="109">
        <v>32871.0</v>
      </c>
      <c r="AE451" s="224" t="s">
        <v>5856</v>
      </c>
      <c r="AF451" s="109" t="s">
        <v>4325</v>
      </c>
      <c r="AG451" s="109" t="s">
        <v>5857</v>
      </c>
      <c r="AH451" s="143">
        <v>9.665800946E9</v>
      </c>
      <c r="AI451" s="67" t="s">
        <v>5858</v>
      </c>
      <c r="AJ451" s="226" t="s">
        <v>4646</v>
      </c>
      <c r="AK451" s="109" t="s">
        <v>5859</v>
      </c>
      <c r="AL451" s="109" t="s">
        <v>5860</v>
      </c>
      <c r="AM451" s="109" t="s">
        <v>5861</v>
      </c>
      <c r="AN451" s="109" t="s">
        <v>5862</v>
      </c>
      <c r="AO451" s="109"/>
      <c r="AP451" s="109" t="s">
        <v>5863</v>
      </c>
      <c r="AQ451" s="142" t="s">
        <v>5864</v>
      </c>
      <c r="AR451" s="133" t="s">
        <v>5696</v>
      </c>
      <c r="AS451" s="109">
        <v>44643.0</v>
      </c>
      <c r="AT451" s="263"/>
    </row>
    <row r="452" ht="14.25" customHeight="1">
      <c r="A452" s="188">
        <v>447.0</v>
      </c>
      <c r="B452" s="229" t="s">
        <v>5865</v>
      </c>
      <c r="C452" s="229" t="s">
        <v>5866</v>
      </c>
      <c r="D452" s="229" t="s">
        <v>86</v>
      </c>
      <c r="E452" s="109" t="s">
        <v>1881</v>
      </c>
      <c r="F452" s="109" t="s">
        <v>4135</v>
      </c>
      <c r="G452" s="109" t="s">
        <v>57</v>
      </c>
      <c r="H452" s="109">
        <v>1.022117358E9</v>
      </c>
      <c r="I452" s="109">
        <v>42802.0</v>
      </c>
      <c r="J452" s="109">
        <v>42787.0</v>
      </c>
      <c r="K452" s="109">
        <v>42801.0</v>
      </c>
      <c r="L452" s="109">
        <v>42802.0</v>
      </c>
      <c r="M452" s="109">
        <v>42954.0</v>
      </c>
      <c r="N452" s="109"/>
      <c r="O452" s="109"/>
      <c r="P452" s="109"/>
      <c r="Q452" s="109"/>
      <c r="R452" s="109"/>
      <c r="S452" s="109"/>
      <c r="T452" s="109"/>
      <c r="U452" s="109"/>
      <c r="V452" s="109"/>
      <c r="W452" s="109"/>
      <c r="X452" s="109">
        <v>42802.0</v>
      </c>
      <c r="Y452" s="109">
        <v>42985.0</v>
      </c>
      <c r="Z452" s="109"/>
      <c r="AA452" s="109"/>
      <c r="AB452" s="137">
        <v>42986.0</v>
      </c>
      <c r="AC452" s="109" t="s">
        <v>62</v>
      </c>
      <c r="AD452" s="109">
        <v>33719.0</v>
      </c>
      <c r="AE452" s="109" t="s">
        <v>5867</v>
      </c>
      <c r="AF452" s="109" t="s">
        <v>4385</v>
      </c>
      <c r="AG452" s="109"/>
      <c r="AH452" s="237">
        <v>9.512202406E9</v>
      </c>
      <c r="AI452" s="67" t="s">
        <v>5868</v>
      </c>
      <c r="AJ452" s="226" t="s">
        <v>1847</v>
      </c>
      <c r="AK452" s="109" t="s">
        <v>5869</v>
      </c>
      <c r="AL452" s="109" t="s">
        <v>5870</v>
      </c>
      <c r="AM452" s="109" t="s">
        <v>5871</v>
      </c>
      <c r="AN452" s="109" t="s">
        <v>5872</v>
      </c>
      <c r="AO452" s="109"/>
      <c r="AP452" s="109"/>
      <c r="AQ452" s="142" t="s">
        <v>5873</v>
      </c>
      <c r="AR452" s="133" t="s">
        <v>5696</v>
      </c>
      <c r="AS452" s="109">
        <v>44643.0</v>
      </c>
      <c r="AT452" s="263"/>
    </row>
    <row r="453" ht="14.25" customHeight="1">
      <c r="A453" s="188">
        <v>448.0</v>
      </c>
      <c r="B453" s="229" t="s">
        <v>688</v>
      </c>
      <c r="C453" s="229" t="s">
        <v>689</v>
      </c>
      <c r="D453" s="229" t="s">
        <v>690</v>
      </c>
      <c r="E453" s="109" t="s">
        <v>1881</v>
      </c>
      <c r="F453" s="109" t="s">
        <v>4135</v>
      </c>
      <c r="G453" s="109" t="s">
        <v>57</v>
      </c>
      <c r="H453" s="109">
        <v>1.092519214E9</v>
      </c>
      <c r="I453" s="109">
        <v>43733.0</v>
      </c>
      <c r="J453" s="109">
        <v>43733.0</v>
      </c>
      <c r="K453" s="109">
        <v>43748.0</v>
      </c>
      <c r="L453" s="109"/>
      <c r="M453" s="109"/>
      <c r="N453" s="109"/>
      <c r="O453" s="109"/>
      <c r="P453" s="109"/>
      <c r="Q453" s="109"/>
      <c r="R453" s="109"/>
      <c r="S453" s="109"/>
      <c r="T453" s="109"/>
      <c r="U453" s="109"/>
      <c r="V453" s="109"/>
      <c r="W453" s="109"/>
      <c r="X453" s="109">
        <v>43733.0</v>
      </c>
      <c r="Y453" s="109">
        <v>43914.0</v>
      </c>
      <c r="Z453" s="109"/>
      <c r="AA453" s="109"/>
      <c r="AB453" s="137">
        <v>43914.0</v>
      </c>
      <c r="AC453" s="109" t="s">
        <v>62</v>
      </c>
      <c r="AD453" s="109">
        <v>34693.0</v>
      </c>
      <c r="AE453" s="109" t="s">
        <v>5874</v>
      </c>
      <c r="AF453" s="109" t="s">
        <v>4325</v>
      </c>
      <c r="AG453" s="109" t="s">
        <v>5875</v>
      </c>
      <c r="AH453" s="109">
        <v>9.31141031E9</v>
      </c>
      <c r="AI453" s="67" t="s">
        <v>694</v>
      </c>
      <c r="AJ453" s="109" t="s">
        <v>5876</v>
      </c>
      <c r="AK453" s="109" t="s">
        <v>696</v>
      </c>
      <c r="AL453" s="109" t="s">
        <v>697</v>
      </c>
      <c r="AM453" s="109" t="s">
        <v>698</v>
      </c>
      <c r="AN453" s="109" t="s">
        <v>699</v>
      </c>
      <c r="AO453" s="109"/>
      <c r="AP453" s="109"/>
      <c r="AQ453" s="142" t="s">
        <v>5877</v>
      </c>
      <c r="AR453" s="133" t="s">
        <v>5696</v>
      </c>
      <c r="AS453" s="109">
        <v>44643.0</v>
      </c>
      <c r="AT453" s="263"/>
    </row>
    <row r="454" ht="18.0" customHeight="1">
      <c r="A454" s="188">
        <v>449.0</v>
      </c>
      <c r="B454" s="229" t="s">
        <v>5878</v>
      </c>
      <c r="C454" s="229" t="s">
        <v>5879</v>
      </c>
      <c r="D454" s="229" t="s">
        <v>847</v>
      </c>
      <c r="E454" s="109" t="s">
        <v>4748</v>
      </c>
      <c r="F454" s="109" t="s">
        <v>4749</v>
      </c>
      <c r="G454" s="109" t="s">
        <v>57</v>
      </c>
      <c r="H454" s="109">
        <v>1.092718146E9</v>
      </c>
      <c r="I454" s="109">
        <v>43370.0</v>
      </c>
      <c r="J454" s="207">
        <v>43370.0</v>
      </c>
      <c r="K454" s="207">
        <v>43386.0</v>
      </c>
      <c r="L454" s="188"/>
      <c r="M454" s="188"/>
      <c r="N454" s="188"/>
      <c r="O454" s="188"/>
      <c r="P454" s="188"/>
      <c r="Q454" s="188"/>
      <c r="R454" s="188"/>
      <c r="S454" s="188"/>
      <c r="T454" s="188"/>
      <c r="U454" s="188"/>
      <c r="V454" s="188"/>
      <c r="W454" s="188"/>
      <c r="X454" s="109">
        <v>43370.0</v>
      </c>
      <c r="Y454" s="109">
        <v>43550.0</v>
      </c>
      <c r="Z454" s="188"/>
      <c r="AA454" s="188"/>
      <c r="AB454" s="109">
        <v>43551.0</v>
      </c>
      <c r="AC454" s="162" t="s">
        <v>62</v>
      </c>
      <c r="AD454" s="162">
        <v>33856.0</v>
      </c>
      <c r="AE454" s="162" t="s">
        <v>5880</v>
      </c>
      <c r="AF454" s="162" t="s">
        <v>4325</v>
      </c>
      <c r="AG454" s="162" t="s">
        <v>1328</v>
      </c>
      <c r="AH454" s="267">
        <v>9.518973192E9</v>
      </c>
      <c r="AI454" s="268" t="s">
        <v>5881</v>
      </c>
      <c r="AJ454" s="162" t="s">
        <v>4443</v>
      </c>
      <c r="AK454" s="162" t="s">
        <v>5882</v>
      </c>
      <c r="AL454" s="162" t="s">
        <v>5883</v>
      </c>
      <c r="AM454" s="162" t="s">
        <v>5884</v>
      </c>
      <c r="AN454" s="162" t="s">
        <v>5885</v>
      </c>
      <c r="AO454" s="162"/>
      <c r="AP454" s="162"/>
      <c r="AQ454" s="199" t="s">
        <v>5886</v>
      </c>
      <c r="AR454" s="133" t="s">
        <v>5696</v>
      </c>
      <c r="AS454" s="109">
        <v>44643.0</v>
      </c>
      <c r="AT454" s="210"/>
      <c r="AU454" s="210"/>
      <c r="AV454" s="210"/>
      <c r="AW454" s="210"/>
      <c r="AX454" s="210"/>
      <c r="AY454" s="210"/>
      <c r="AZ454" s="210"/>
      <c r="BA454" s="210"/>
      <c r="BB454" s="210"/>
      <c r="BC454" s="210"/>
      <c r="BD454" s="210"/>
    </row>
    <row r="455" ht="18.0" customHeight="1">
      <c r="A455" s="188">
        <v>450.0</v>
      </c>
      <c r="B455" s="229" t="s">
        <v>740</v>
      </c>
      <c r="C455" s="229" t="s">
        <v>5887</v>
      </c>
      <c r="D455" s="229" t="s">
        <v>5888</v>
      </c>
      <c r="E455" s="109" t="s">
        <v>160</v>
      </c>
      <c r="F455" s="109" t="s">
        <v>161</v>
      </c>
      <c r="G455" s="109" t="s">
        <v>57</v>
      </c>
      <c r="H455" s="109">
        <v>1.101507062E9</v>
      </c>
      <c r="I455" s="109">
        <v>39370.0</v>
      </c>
      <c r="J455" s="109">
        <v>39270.0</v>
      </c>
      <c r="K455" s="109">
        <v>39362.0</v>
      </c>
      <c r="L455" s="109"/>
      <c r="M455" s="109"/>
      <c r="N455" s="109"/>
      <c r="O455" s="109"/>
      <c r="P455" s="188"/>
      <c r="Q455" s="188"/>
      <c r="R455" s="109"/>
      <c r="S455" s="109"/>
      <c r="T455" s="109"/>
      <c r="U455" s="109"/>
      <c r="V455" s="109"/>
      <c r="W455" s="109"/>
      <c r="X455" s="109">
        <v>39370.0</v>
      </c>
      <c r="Y455" s="109">
        <v>39553.0</v>
      </c>
      <c r="Z455" s="109"/>
      <c r="AA455" s="109"/>
      <c r="AB455" s="269">
        <v>39370.0</v>
      </c>
      <c r="AC455" s="109" t="s">
        <v>2919</v>
      </c>
      <c r="AD455" s="109">
        <v>25751.0</v>
      </c>
      <c r="AE455" s="109" t="s">
        <v>5889</v>
      </c>
      <c r="AF455" s="109" t="s">
        <v>4552</v>
      </c>
      <c r="AG455" s="109" t="s">
        <v>5890</v>
      </c>
      <c r="AH455" s="198">
        <v>9.512723572E9</v>
      </c>
      <c r="AI455" s="234" t="s">
        <v>5891</v>
      </c>
      <c r="AJ455" s="109" t="s">
        <v>5892</v>
      </c>
      <c r="AK455" s="109" t="s">
        <v>747</v>
      </c>
      <c r="AL455" s="109" t="s">
        <v>748</v>
      </c>
      <c r="AM455" s="109" t="s">
        <v>749</v>
      </c>
      <c r="AN455" s="109" t="s">
        <v>750</v>
      </c>
      <c r="AO455" s="109">
        <v>3.0</v>
      </c>
      <c r="AP455" s="109" t="s">
        <v>5893</v>
      </c>
      <c r="AQ455" s="142" t="s">
        <v>5894</v>
      </c>
      <c r="AR455" s="133" t="s">
        <v>5696</v>
      </c>
      <c r="AS455" s="109">
        <v>44643.0</v>
      </c>
      <c r="AT455" s="29"/>
      <c r="AU455" s="29"/>
      <c r="AV455" s="29"/>
      <c r="AW455" s="29"/>
      <c r="AX455" s="29"/>
      <c r="AY455" s="29"/>
      <c r="AZ455" s="29"/>
      <c r="BA455" s="29"/>
      <c r="BB455" s="29"/>
      <c r="BC455" s="29"/>
      <c r="BD455" s="29"/>
    </row>
    <row r="456" ht="18.0" customHeight="1">
      <c r="A456" s="188">
        <v>451.0</v>
      </c>
      <c r="B456" s="229" t="s">
        <v>99</v>
      </c>
      <c r="C456" s="229" t="s">
        <v>100</v>
      </c>
      <c r="D456" s="229" t="s">
        <v>101</v>
      </c>
      <c r="E456" s="109" t="s">
        <v>103</v>
      </c>
      <c r="F456" s="109" t="s">
        <v>56</v>
      </c>
      <c r="G456" s="109" t="s">
        <v>57</v>
      </c>
      <c r="H456" s="202">
        <v>1.071618454E9</v>
      </c>
      <c r="I456" s="109">
        <v>43297.0</v>
      </c>
      <c r="J456" s="109"/>
      <c r="K456" s="109"/>
      <c r="L456" s="109"/>
      <c r="M456" s="109"/>
      <c r="N456" s="109"/>
      <c r="O456" s="109"/>
      <c r="P456" s="109"/>
      <c r="Q456" s="109"/>
      <c r="R456" s="109"/>
      <c r="S456" s="109"/>
      <c r="T456" s="109"/>
      <c r="U456" s="109"/>
      <c r="V456" s="109"/>
      <c r="W456" s="109"/>
      <c r="X456" s="109">
        <v>43297.0</v>
      </c>
      <c r="Y456" s="109">
        <v>43480.0</v>
      </c>
      <c r="Z456" s="109"/>
      <c r="AA456" s="109"/>
      <c r="AB456" s="109">
        <v>43481.0</v>
      </c>
      <c r="AC456" s="109" t="s">
        <v>107</v>
      </c>
      <c r="AD456" s="109">
        <v>32106.0</v>
      </c>
      <c r="AE456" s="109" t="s">
        <v>5895</v>
      </c>
      <c r="AF456" s="109" t="s">
        <v>5896</v>
      </c>
      <c r="AG456" s="109" t="s">
        <v>5897</v>
      </c>
      <c r="AH456" s="198">
        <v>9.062854043E9</v>
      </c>
      <c r="AI456" s="270" t="s">
        <v>109</v>
      </c>
      <c r="AJ456" s="109" t="s">
        <v>111</v>
      </c>
      <c r="AK456" s="109" t="s">
        <v>112</v>
      </c>
      <c r="AL456" s="109" t="s">
        <v>113</v>
      </c>
      <c r="AM456" s="109" t="s">
        <v>114</v>
      </c>
      <c r="AN456" s="109" t="s">
        <v>115</v>
      </c>
      <c r="AO456" s="109"/>
      <c r="AP456" s="109"/>
      <c r="AQ456" s="142" t="s">
        <v>5898</v>
      </c>
      <c r="AR456" s="133" t="s">
        <v>5696</v>
      </c>
      <c r="AS456" s="109">
        <v>44643.0</v>
      </c>
    </row>
    <row r="457" ht="14.25" customHeight="1">
      <c r="A457" s="188">
        <v>452.0</v>
      </c>
      <c r="B457" s="231" t="s">
        <v>118</v>
      </c>
      <c r="C457" s="231" t="s">
        <v>119</v>
      </c>
      <c r="D457" s="231" t="s">
        <v>120</v>
      </c>
      <c r="E457" s="109" t="s">
        <v>103</v>
      </c>
      <c r="F457" s="109" t="s">
        <v>56</v>
      </c>
      <c r="G457" s="109" t="s">
        <v>57</v>
      </c>
      <c r="H457" s="109">
        <v>1.021920235E9</v>
      </c>
      <c r="I457" s="109">
        <v>43880.0</v>
      </c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>
        <v>43880.0</v>
      </c>
      <c r="Y457" s="19">
        <v>44061.0</v>
      </c>
      <c r="Z457" s="19"/>
      <c r="AA457" s="19"/>
      <c r="AB457" s="19">
        <v>44197.0</v>
      </c>
      <c r="AC457" s="109" t="s">
        <v>107</v>
      </c>
      <c r="AD457" s="19">
        <v>28680.0</v>
      </c>
      <c r="AE457" s="19" t="s">
        <v>5899</v>
      </c>
      <c r="AF457" s="19" t="s">
        <v>4336</v>
      </c>
      <c r="AG457" s="19"/>
      <c r="AH457" s="162">
        <v>9.566615459E9</v>
      </c>
      <c r="AI457" s="239" t="s">
        <v>122</v>
      </c>
      <c r="AJ457" s="19" t="s">
        <v>123</v>
      </c>
      <c r="AK457" s="19" t="s">
        <v>124</v>
      </c>
      <c r="AL457" s="19" t="s">
        <v>125</v>
      </c>
      <c r="AM457" s="19" t="s">
        <v>126</v>
      </c>
      <c r="AN457" s="19" t="s">
        <v>127</v>
      </c>
      <c r="AO457" s="19">
        <v>2.0</v>
      </c>
      <c r="AP457" s="19" t="s">
        <v>5900</v>
      </c>
      <c r="AQ457" s="26" t="s">
        <v>5901</v>
      </c>
      <c r="AR457" s="133" t="s">
        <v>5696</v>
      </c>
      <c r="AS457" s="109">
        <v>44643.0</v>
      </c>
      <c r="AT457" s="42"/>
      <c r="AU457" s="42"/>
      <c r="AV457" s="42"/>
      <c r="AW457" s="42"/>
      <c r="AX457" s="42"/>
      <c r="AY457" s="42"/>
      <c r="AZ457" s="42"/>
      <c r="BA457" s="42"/>
      <c r="BB457" s="42"/>
      <c r="BC457" s="42"/>
      <c r="BD457" s="42"/>
      <c r="BE457" s="42"/>
      <c r="BF457" s="42"/>
      <c r="BG457" s="42"/>
      <c r="BH457" s="42"/>
      <c r="BI457" s="42"/>
      <c r="BJ457" s="42"/>
      <c r="BK457" s="42"/>
      <c r="BL457" s="42"/>
      <c r="BM457" s="42"/>
    </row>
    <row r="458" ht="18.0" customHeight="1">
      <c r="A458" s="188">
        <v>453.0</v>
      </c>
      <c r="B458" s="271" t="s">
        <v>5902</v>
      </c>
      <c r="C458" s="271" t="s">
        <v>5903</v>
      </c>
      <c r="D458" s="271" t="s">
        <v>5904</v>
      </c>
      <c r="E458" s="214" t="s">
        <v>133</v>
      </c>
      <c r="F458" s="214" t="s">
        <v>56</v>
      </c>
      <c r="G458" s="214" t="s">
        <v>57</v>
      </c>
      <c r="H458" s="214">
        <v>1.011713162E9</v>
      </c>
      <c r="I458" s="214">
        <v>41410.0</v>
      </c>
      <c r="J458" s="214">
        <v>41291.0</v>
      </c>
      <c r="K458" s="214">
        <v>41381.0</v>
      </c>
      <c r="L458" s="214">
        <v>41410.0</v>
      </c>
      <c r="M458" s="214">
        <v>41563.0</v>
      </c>
      <c r="N458" s="214"/>
      <c r="O458" s="214"/>
      <c r="P458" s="214"/>
      <c r="Q458" s="214"/>
      <c r="R458" s="214">
        <v>41579.0</v>
      </c>
      <c r="S458" s="214">
        <v>42309.0</v>
      </c>
      <c r="T458" s="214">
        <v>42310.0</v>
      </c>
      <c r="U458" s="214">
        <v>42676.0</v>
      </c>
      <c r="V458" s="214"/>
      <c r="W458" s="214"/>
      <c r="X458" s="214"/>
      <c r="Y458" s="214"/>
      <c r="Z458" s="214"/>
      <c r="AA458" s="214"/>
      <c r="AB458" s="214">
        <v>42677.0</v>
      </c>
      <c r="AC458" s="272" t="s">
        <v>62</v>
      </c>
      <c r="AD458" s="214">
        <v>32608.0</v>
      </c>
      <c r="AE458" s="214" t="s">
        <v>5905</v>
      </c>
      <c r="AF458" s="214" t="s">
        <v>4325</v>
      </c>
      <c r="AG458" s="214" t="s">
        <v>5906</v>
      </c>
      <c r="AH458" s="273">
        <v>9.29771522E9</v>
      </c>
      <c r="AI458" s="274" t="s">
        <v>5907</v>
      </c>
      <c r="AJ458" s="214" t="s">
        <v>1847</v>
      </c>
      <c r="AK458" s="214" t="s">
        <v>5908</v>
      </c>
      <c r="AL458" s="214" t="s">
        <v>5909</v>
      </c>
      <c r="AM458" s="214" t="s">
        <v>5910</v>
      </c>
      <c r="AN458" s="275" t="s">
        <v>5911</v>
      </c>
      <c r="AO458" s="214"/>
      <c r="AP458" s="214"/>
      <c r="AQ458" s="276" t="s">
        <v>5912</v>
      </c>
      <c r="AR458" s="133" t="s">
        <v>5696</v>
      </c>
      <c r="AS458" s="109">
        <v>44643.0</v>
      </c>
    </row>
    <row r="459" ht="18.0" customHeight="1">
      <c r="A459" s="188">
        <v>454.0</v>
      </c>
      <c r="B459" s="229" t="s">
        <v>5913</v>
      </c>
      <c r="C459" s="229" t="s">
        <v>5914</v>
      </c>
      <c r="D459" s="229" t="s">
        <v>5915</v>
      </c>
      <c r="E459" s="109" t="s">
        <v>133</v>
      </c>
      <c r="F459" s="109" t="s">
        <v>56</v>
      </c>
      <c r="G459" s="109" t="s">
        <v>57</v>
      </c>
      <c r="H459" s="109">
        <v>1.030416289E9</v>
      </c>
      <c r="I459" s="109">
        <v>42448.0</v>
      </c>
      <c r="J459" s="109">
        <v>42433.0</v>
      </c>
      <c r="K459" s="109">
        <v>42447.0</v>
      </c>
      <c r="L459" s="109">
        <v>42448.0</v>
      </c>
      <c r="M459" s="109">
        <v>42601.0</v>
      </c>
      <c r="N459" s="109"/>
      <c r="O459" s="109"/>
      <c r="P459" s="109"/>
      <c r="Q459" s="109"/>
      <c r="R459" s="109">
        <v>42602.0</v>
      </c>
      <c r="S459" s="109">
        <v>43332.0</v>
      </c>
      <c r="T459" s="109"/>
      <c r="U459" s="109"/>
      <c r="V459" s="109"/>
      <c r="W459" s="109"/>
      <c r="X459" s="109"/>
      <c r="Y459" s="109"/>
      <c r="Z459" s="109"/>
      <c r="AA459" s="109"/>
      <c r="AB459" s="109">
        <v>42828.0</v>
      </c>
      <c r="AC459" s="162" t="s">
        <v>62</v>
      </c>
      <c r="AD459" s="109">
        <v>34761.0</v>
      </c>
      <c r="AE459" s="109" t="s">
        <v>5916</v>
      </c>
      <c r="AF459" s="109"/>
      <c r="AG459" s="109" t="s">
        <v>1366</v>
      </c>
      <c r="AH459" s="267">
        <v>9.153637304E9</v>
      </c>
      <c r="AI459" s="246" t="s">
        <v>5917</v>
      </c>
      <c r="AJ459" s="109" t="s">
        <v>975</v>
      </c>
      <c r="AK459" s="109" t="s">
        <v>5918</v>
      </c>
      <c r="AL459" s="109" t="s">
        <v>5919</v>
      </c>
      <c r="AM459" s="109" t="s">
        <v>5920</v>
      </c>
      <c r="AN459" s="109" t="s">
        <v>5921</v>
      </c>
      <c r="AO459" s="109"/>
      <c r="AP459" s="109"/>
      <c r="AQ459" s="142" t="s">
        <v>5922</v>
      </c>
      <c r="AR459" s="133" t="s">
        <v>5696</v>
      </c>
      <c r="AS459" s="109">
        <v>44643.0</v>
      </c>
    </row>
    <row r="460" ht="14.25" customHeight="1">
      <c r="A460" s="188">
        <v>455.0</v>
      </c>
      <c r="B460" s="229" t="s">
        <v>129</v>
      </c>
      <c r="C460" s="244" t="s">
        <v>130</v>
      </c>
      <c r="D460" s="229" t="s">
        <v>131</v>
      </c>
      <c r="E460" s="109" t="s">
        <v>133</v>
      </c>
      <c r="F460" s="109" t="s">
        <v>56</v>
      </c>
      <c r="G460" s="109" t="s">
        <v>57</v>
      </c>
      <c r="H460" s="109">
        <v>1.051619192E9</v>
      </c>
      <c r="I460" s="109">
        <v>43601.0</v>
      </c>
      <c r="J460" s="109">
        <v>43601.0</v>
      </c>
      <c r="K460" s="109">
        <v>43616.0</v>
      </c>
      <c r="L460" s="109"/>
      <c r="M460" s="109"/>
      <c r="N460" s="109"/>
      <c r="O460" s="109"/>
      <c r="P460" s="109"/>
      <c r="Q460" s="109"/>
      <c r="R460" s="109"/>
      <c r="S460" s="109"/>
      <c r="T460" s="109"/>
      <c r="U460" s="109"/>
      <c r="V460" s="109"/>
      <c r="W460" s="109"/>
      <c r="X460" s="109">
        <v>43601.0</v>
      </c>
      <c r="Y460" s="109">
        <v>43784.0</v>
      </c>
      <c r="Z460" s="109"/>
      <c r="AA460" s="109"/>
      <c r="AB460" s="137">
        <v>43785.0</v>
      </c>
      <c r="AC460" s="109" t="s">
        <v>62</v>
      </c>
      <c r="AD460" s="109">
        <v>35806.0</v>
      </c>
      <c r="AE460" s="109" t="s">
        <v>5923</v>
      </c>
      <c r="AF460" s="109" t="s">
        <v>4786</v>
      </c>
      <c r="AG460" s="109" t="s">
        <v>5924</v>
      </c>
      <c r="AH460" s="198">
        <v>9.262330463E9</v>
      </c>
      <c r="AI460" s="233" t="s">
        <v>138</v>
      </c>
      <c r="AJ460" s="109" t="s">
        <v>5925</v>
      </c>
      <c r="AK460" s="109" t="s">
        <v>140</v>
      </c>
      <c r="AL460" s="109" t="s">
        <v>141</v>
      </c>
      <c r="AM460" s="109" t="s">
        <v>142</v>
      </c>
      <c r="AN460" s="109" t="s">
        <v>143</v>
      </c>
      <c r="AO460" s="109"/>
      <c r="AP460" s="109"/>
      <c r="AQ460" s="142" t="s">
        <v>5926</v>
      </c>
      <c r="AR460" s="133" t="s">
        <v>5696</v>
      </c>
      <c r="AS460" s="109">
        <v>44643.0</v>
      </c>
      <c r="AT460" s="263"/>
    </row>
    <row r="461" ht="14.25" customHeight="1">
      <c r="A461" s="188">
        <v>456.0</v>
      </c>
      <c r="B461" s="229" t="s">
        <v>145</v>
      </c>
      <c r="C461" s="229" t="s">
        <v>146</v>
      </c>
      <c r="D461" s="229" t="s">
        <v>147</v>
      </c>
      <c r="E461" s="109" t="s">
        <v>133</v>
      </c>
      <c r="F461" s="109" t="s">
        <v>56</v>
      </c>
      <c r="G461" s="109" t="s">
        <v>57</v>
      </c>
      <c r="H461" s="109">
        <v>1.100217398E9</v>
      </c>
      <c r="I461" s="109">
        <v>43010.0</v>
      </c>
      <c r="J461" s="109"/>
      <c r="K461" s="109"/>
      <c r="L461" s="109"/>
      <c r="M461" s="109"/>
      <c r="N461" s="109"/>
      <c r="O461" s="109"/>
      <c r="P461" s="109"/>
      <c r="Q461" s="109"/>
      <c r="R461" s="109"/>
      <c r="S461" s="109"/>
      <c r="T461" s="109"/>
      <c r="U461" s="109"/>
      <c r="V461" s="109"/>
      <c r="W461" s="109"/>
      <c r="X461" s="109">
        <v>43010.0</v>
      </c>
      <c r="Y461" s="109">
        <v>43191.0</v>
      </c>
      <c r="Z461" s="109"/>
      <c r="AA461" s="109"/>
      <c r="AB461" s="137">
        <v>43192.0</v>
      </c>
      <c r="AC461" s="109" t="s">
        <v>62</v>
      </c>
      <c r="AD461" s="109">
        <v>33991.0</v>
      </c>
      <c r="AE461" s="109" t="s">
        <v>5927</v>
      </c>
      <c r="AF461" s="109" t="s">
        <v>4461</v>
      </c>
      <c r="AG461" s="109" t="s">
        <v>5928</v>
      </c>
      <c r="AH461" s="162">
        <v>9.673124657E9</v>
      </c>
      <c r="AI461" s="234" t="s">
        <v>151</v>
      </c>
      <c r="AJ461" s="109" t="s">
        <v>5929</v>
      </c>
      <c r="AK461" s="109" t="s">
        <v>152</v>
      </c>
      <c r="AL461" s="109" t="s">
        <v>153</v>
      </c>
      <c r="AM461" s="109" t="s">
        <v>154</v>
      </c>
      <c r="AN461" s="109" t="s">
        <v>155</v>
      </c>
      <c r="AO461" s="109"/>
      <c r="AP461" s="109"/>
      <c r="AQ461" s="142" t="s">
        <v>5930</v>
      </c>
      <c r="AR461" s="133" t="s">
        <v>5696</v>
      </c>
      <c r="AS461" s="109">
        <v>44643.0</v>
      </c>
      <c r="AT461" s="263"/>
    </row>
    <row r="462" ht="18.0" customHeight="1">
      <c r="A462" s="188">
        <v>457.0</v>
      </c>
      <c r="B462" s="229" t="s">
        <v>5931</v>
      </c>
      <c r="C462" s="229" t="s">
        <v>3390</v>
      </c>
      <c r="D462" s="229" t="s">
        <v>5932</v>
      </c>
      <c r="E462" s="109" t="s">
        <v>561</v>
      </c>
      <c r="F462" s="109" t="s">
        <v>56</v>
      </c>
      <c r="G462" s="109" t="s">
        <v>57</v>
      </c>
      <c r="H462" s="109">
        <v>1.060609036E9</v>
      </c>
      <c r="I462" s="109">
        <v>40787.0</v>
      </c>
      <c r="J462" s="109">
        <v>39874.0</v>
      </c>
      <c r="K462" s="109">
        <v>39967.0</v>
      </c>
      <c r="L462" s="109">
        <v>39973.0</v>
      </c>
      <c r="M462" s="109">
        <v>40156.0</v>
      </c>
      <c r="N462" s="109">
        <v>40528.0</v>
      </c>
      <c r="O462" s="109">
        <v>40345.0</v>
      </c>
      <c r="P462" s="109"/>
      <c r="Q462" s="109"/>
      <c r="R462" s="109"/>
      <c r="S462" s="109"/>
      <c r="T462" s="109"/>
      <c r="U462" s="109"/>
      <c r="V462" s="109"/>
      <c r="W462" s="109"/>
      <c r="X462" s="109">
        <v>40787.0</v>
      </c>
      <c r="Y462" s="109">
        <v>40603.0</v>
      </c>
      <c r="Z462" s="109"/>
      <c r="AA462" s="109"/>
      <c r="AB462" s="109">
        <v>41000.0</v>
      </c>
      <c r="AC462" s="109" t="s">
        <v>107</v>
      </c>
      <c r="AD462" s="109">
        <v>29140.0</v>
      </c>
      <c r="AE462" s="109" t="s">
        <v>5933</v>
      </c>
      <c r="AF462" s="109" t="s">
        <v>4336</v>
      </c>
      <c r="AG462" s="109"/>
      <c r="AH462" s="198">
        <v>9.176429027E9</v>
      </c>
      <c r="AI462" s="234" t="s">
        <v>5934</v>
      </c>
      <c r="AJ462" s="109" t="s">
        <v>1834</v>
      </c>
      <c r="AK462" s="109" t="s">
        <v>5935</v>
      </c>
      <c r="AL462" s="109" t="s">
        <v>5936</v>
      </c>
      <c r="AM462" s="109" t="s">
        <v>5937</v>
      </c>
      <c r="AN462" s="109" t="s">
        <v>5938</v>
      </c>
      <c r="AO462" s="109">
        <v>1.0</v>
      </c>
      <c r="AP462" s="109" t="s">
        <v>5939</v>
      </c>
      <c r="AQ462" s="142"/>
      <c r="AR462" s="133" t="s">
        <v>5696</v>
      </c>
      <c r="AS462" s="109">
        <v>44643.0</v>
      </c>
    </row>
    <row r="463" ht="18.0" customHeight="1">
      <c r="A463" s="188">
        <v>458.0</v>
      </c>
      <c r="B463" s="229" t="s">
        <v>1314</v>
      </c>
      <c r="C463" s="229" t="s">
        <v>1315</v>
      </c>
      <c r="D463" s="229" t="s">
        <v>1316</v>
      </c>
      <c r="E463" s="109" t="s">
        <v>5940</v>
      </c>
      <c r="F463" s="109" t="s">
        <v>4135</v>
      </c>
      <c r="G463" s="109" t="s">
        <v>57</v>
      </c>
      <c r="H463" s="109">
        <v>1.05091737E9</v>
      </c>
      <c r="I463" s="109">
        <v>42864.0</v>
      </c>
      <c r="J463" s="109"/>
      <c r="K463" s="109"/>
      <c r="L463" s="109"/>
      <c r="M463" s="109"/>
      <c r="N463" s="109"/>
      <c r="O463" s="109"/>
      <c r="P463" s="109"/>
      <c r="Q463" s="109"/>
      <c r="R463" s="109"/>
      <c r="S463" s="109"/>
      <c r="T463" s="109"/>
      <c r="U463" s="109"/>
      <c r="V463" s="109"/>
      <c r="W463" s="109"/>
      <c r="X463" s="109">
        <v>42864.0</v>
      </c>
      <c r="Y463" s="109">
        <v>43047.0</v>
      </c>
      <c r="Z463" s="109"/>
      <c r="AA463" s="109"/>
      <c r="AB463" s="109">
        <v>43048.0</v>
      </c>
      <c r="AC463" s="162" t="s">
        <v>62</v>
      </c>
      <c r="AD463" s="109">
        <v>34792.0</v>
      </c>
      <c r="AE463" s="109" t="s">
        <v>5880</v>
      </c>
      <c r="AF463" s="109" t="s">
        <v>5941</v>
      </c>
      <c r="AG463" s="109" t="s">
        <v>5942</v>
      </c>
      <c r="AH463" s="198">
        <v>9.060424671E9</v>
      </c>
      <c r="AI463" s="274" t="s">
        <v>5943</v>
      </c>
      <c r="AJ463" s="109" t="s">
        <v>975</v>
      </c>
      <c r="AK463" s="109" t="s">
        <v>1320</v>
      </c>
      <c r="AL463" s="109" t="s">
        <v>1321</v>
      </c>
      <c r="AM463" s="109" t="s">
        <v>1322</v>
      </c>
      <c r="AN463" s="109" t="s">
        <v>1323</v>
      </c>
      <c r="AO463" s="109"/>
      <c r="AP463" s="109" t="s">
        <v>5944</v>
      </c>
      <c r="AQ463" s="142" t="s">
        <v>5945</v>
      </c>
      <c r="AR463" s="133" t="s">
        <v>5696</v>
      </c>
      <c r="AS463" s="109">
        <v>44643.0</v>
      </c>
      <c r="AT463" s="212"/>
      <c r="AU463" s="212"/>
      <c r="AV463" s="212"/>
      <c r="AW463" s="212"/>
      <c r="AX463" s="212"/>
      <c r="AY463" s="212"/>
      <c r="AZ463" s="212"/>
      <c r="BA463" s="212"/>
      <c r="BB463" s="212"/>
      <c r="BC463" s="212"/>
      <c r="BD463" s="212"/>
    </row>
    <row r="464" ht="18.0" customHeight="1">
      <c r="A464" s="188">
        <v>459.0</v>
      </c>
      <c r="B464" s="229" t="s">
        <v>902</v>
      </c>
      <c r="C464" s="229" t="s">
        <v>5946</v>
      </c>
      <c r="D464" s="229" t="s">
        <v>280</v>
      </c>
      <c r="E464" s="109" t="s">
        <v>679</v>
      </c>
      <c r="F464" s="109" t="s">
        <v>177</v>
      </c>
      <c r="G464" s="109" t="s">
        <v>57</v>
      </c>
      <c r="H464" s="109">
        <v>1.010106137E9</v>
      </c>
      <c r="I464" s="109">
        <v>41579.0</v>
      </c>
      <c r="J464" s="109"/>
      <c r="K464" s="109"/>
      <c r="L464" s="109">
        <v>41579.0</v>
      </c>
      <c r="M464" s="109">
        <v>41729.0</v>
      </c>
      <c r="N464" s="109"/>
      <c r="O464" s="109"/>
      <c r="P464" s="109"/>
      <c r="Q464" s="109"/>
      <c r="R464" s="109">
        <v>41730.0</v>
      </c>
      <c r="S464" s="109">
        <v>42094.0</v>
      </c>
      <c r="T464" s="109">
        <v>42095.0</v>
      </c>
      <c r="U464" s="109">
        <v>42460.0</v>
      </c>
      <c r="V464" s="109">
        <v>42461.0</v>
      </c>
      <c r="W464" s="109">
        <v>42826.0</v>
      </c>
      <c r="X464" s="109"/>
      <c r="Y464" s="109"/>
      <c r="Z464" s="109"/>
      <c r="AA464" s="109"/>
      <c r="AB464" s="137">
        <v>42828.0</v>
      </c>
      <c r="AC464" s="109" t="s">
        <v>3834</v>
      </c>
      <c r="AD464" s="109">
        <v>29159.0</v>
      </c>
      <c r="AE464" s="109" t="s">
        <v>5947</v>
      </c>
      <c r="AF464" s="109" t="s">
        <v>4613</v>
      </c>
      <c r="AG464" s="109"/>
      <c r="AH464" s="198">
        <v>9.550580778E9</v>
      </c>
      <c r="AI464" s="234" t="s">
        <v>5948</v>
      </c>
      <c r="AJ464" s="109" t="s">
        <v>1834</v>
      </c>
      <c r="AK464" s="109" t="s">
        <v>1113</v>
      </c>
      <c r="AL464" s="109" t="s">
        <v>1114</v>
      </c>
      <c r="AM464" s="109" t="s">
        <v>5949</v>
      </c>
      <c r="AN464" s="109" t="s">
        <v>5950</v>
      </c>
      <c r="AO464" s="109">
        <v>1.0</v>
      </c>
      <c r="AP464" s="109" t="s">
        <v>5951</v>
      </c>
      <c r="AQ464" s="142" t="s">
        <v>5952</v>
      </c>
      <c r="AR464" s="133" t="s">
        <v>5696</v>
      </c>
      <c r="AS464" s="109">
        <v>44643.0</v>
      </c>
    </row>
    <row r="465" ht="18.0" customHeight="1">
      <c r="A465" s="188">
        <v>460.0</v>
      </c>
      <c r="B465" s="229" t="s">
        <v>5953</v>
      </c>
      <c r="C465" s="229" t="s">
        <v>5954</v>
      </c>
      <c r="D465" s="229" t="s">
        <v>807</v>
      </c>
      <c r="E465" s="109" t="s">
        <v>5955</v>
      </c>
      <c r="F465" s="109" t="s">
        <v>177</v>
      </c>
      <c r="G465" s="109" t="s">
        <v>57</v>
      </c>
      <c r="H465" s="109">
        <v>1.091312169E9</v>
      </c>
      <c r="I465" s="109">
        <v>41579.0</v>
      </c>
      <c r="J465" s="109"/>
      <c r="K465" s="109"/>
      <c r="L465" s="109">
        <v>41579.0</v>
      </c>
      <c r="M465" s="109">
        <v>41670.0</v>
      </c>
      <c r="N465" s="109">
        <v>41671.0</v>
      </c>
      <c r="O465" s="109">
        <v>41820.0</v>
      </c>
      <c r="P465" s="109"/>
      <c r="Q465" s="109"/>
      <c r="R465" s="109">
        <v>41821.0</v>
      </c>
      <c r="S465" s="109">
        <v>42185.0</v>
      </c>
      <c r="T465" s="109">
        <v>42186.0</v>
      </c>
      <c r="U465" s="109">
        <v>42551.0</v>
      </c>
      <c r="V465" s="109">
        <v>42552.0</v>
      </c>
      <c r="W465" s="109">
        <v>42918.0</v>
      </c>
      <c r="X465" s="109"/>
      <c r="Y465" s="109"/>
      <c r="Z465" s="109"/>
      <c r="AA465" s="109"/>
      <c r="AB465" s="137">
        <v>42828.0</v>
      </c>
      <c r="AC465" s="109" t="s">
        <v>107</v>
      </c>
      <c r="AD465" s="109">
        <v>25054.0</v>
      </c>
      <c r="AE465" s="109" t="s">
        <v>5956</v>
      </c>
      <c r="AF465" s="109" t="s">
        <v>4385</v>
      </c>
      <c r="AG465" s="109" t="s">
        <v>5957</v>
      </c>
      <c r="AH465" s="198">
        <v>9.202983303E9</v>
      </c>
      <c r="AI465" s="234" t="s">
        <v>5958</v>
      </c>
      <c r="AJ465" s="109" t="s">
        <v>5959</v>
      </c>
      <c r="AK465" s="109" t="s">
        <v>5960</v>
      </c>
      <c r="AL465" s="277" t="s">
        <v>5961</v>
      </c>
      <c r="AM465" s="278" t="s">
        <v>5962</v>
      </c>
      <c r="AN465" s="109" t="s">
        <v>5963</v>
      </c>
      <c r="AO465" s="109">
        <v>6.0</v>
      </c>
      <c r="AP465" s="109" t="s">
        <v>5964</v>
      </c>
      <c r="AQ465" s="142" t="s">
        <v>5965</v>
      </c>
      <c r="AR465" s="133" t="s">
        <v>5696</v>
      </c>
      <c r="AS465" s="109">
        <v>44643.0</v>
      </c>
      <c r="AT465" s="29"/>
      <c r="AU465" s="29"/>
      <c r="AV465" s="29"/>
      <c r="AW465" s="29"/>
      <c r="AX465" s="29"/>
      <c r="AY465" s="29"/>
      <c r="AZ465" s="29"/>
      <c r="BA465" s="29"/>
      <c r="BB465" s="29"/>
      <c r="BC465" s="29"/>
      <c r="BD465" s="29"/>
    </row>
    <row r="466" ht="18.75" customHeight="1">
      <c r="A466" s="188">
        <v>461.0</v>
      </c>
      <c r="B466" s="229" t="s">
        <v>5966</v>
      </c>
      <c r="C466" s="229" t="s">
        <v>5967</v>
      </c>
      <c r="D466" s="229" t="s">
        <v>5968</v>
      </c>
      <c r="E466" s="109" t="s">
        <v>881</v>
      </c>
      <c r="F466" s="109" t="s">
        <v>4135</v>
      </c>
      <c r="G466" s="109" t="s">
        <v>57</v>
      </c>
      <c r="H466" s="109">
        <v>1.051517374E9</v>
      </c>
      <c r="I466" s="109">
        <v>42870.0</v>
      </c>
      <c r="J466" s="109"/>
      <c r="K466" s="109"/>
      <c r="L466" s="109"/>
      <c r="M466" s="109"/>
      <c r="N466" s="109"/>
      <c r="O466" s="109"/>
      <c r="P466" s="109"/>
      <c r="Q466" s="109"/>
      <c r="R466" s="109"/>
      <c r="S466" s="109"/>
      <c r="T466" s="109"/>
      <c r="U466" s="109"/>
      <c r="V466" s="109"/>
      <c r="W466" s="109"/>
      <c r="X466" s="109">
        <v>42870.0</v>
      </c>
      <c r="Y466" s="109">
        <v>43053.0</v>
      </c>
      <c r="Z466" s="109"/>
      <c r="AA466" s="109"/>
      <c r="AB466" s="109">
        <v>43054.0</v>
      </c>
      <c r="AC466" s="162" t="s">
        <v>62</v>
      </c>
      <c r="AD466" s="109">
        <v>33982.0</v>
      </c>
      <c r="AE466" s="109" t="s">
        <v>5880</v>
      </c>
      <c r="AF466" s="109" t="s">
        <v>4325</v>
      </c>
      <c r="AG466" s="109" t="s">
        <v>5969</v>
      </c>
      <c r="AH466" s="198">
        <v>9.309633716E9</v>
      </c>
      <c r="AI466" s="279" t="s">
        <v>5970</v>
      </c>
      <c r="AJ466" s="109" t="s">
        <v>975</v>
      </c>
      <c r="AK466" s="109" t="s">
        <v>5971</v>
      </c>
      <c r="AL466" s="109" t="s">
        <v>5972</v>
      </c>
      <c r="AM466" s="109" t="s">
        <v>5973</v>
      </c>
      <c r="AN466" s="109" t="s">
        <v>5974</v>
      </c>
      <c r="AO466" s="109"/>
      <c r="AP466" s="109"/>
      <c r="AQ466" s="142" t="s">
        <v>5975</v>
      </c>
      <c r="AR466" s="133" t="s">
        <v>5696</v>
      </c>
      <c r="AS466" s="109">
        <v>44643.0</v>
      </c>
      <c r="AT466" s="29"/>
      <c r="AU466" s="29"/>
      <c r="AV466" s="29"/>
      <c r="AW466" s="29"/>
      <c r="AX466" s="29"/>
      <c r="AY466" s="29"/>
      <c r="AZ466" s="29"/>
      <c r="BA466" s="29"/>
      <c r="BB466" s="29"/>
      <c r="BC466" s="29"/>
      <c r="BD466" s="29"/>
    </row>
    <row r="467" ht="18.0" customHeight="1">
      <c r="A467" s="188">
        <v>462.0</v>
      </c>
      <c r="B467" s="229" t="s">
        <v>5976</v>
      </c>
      <c r="C467" s="229" t="s">
        <v>5977</v>
      </c>
      <c r="D467" s="229" t="s">
        <v>5978</v>
      </c>
      <c r="E467" s="109" t="s">
        <v>5979</v>
      </c>
      <c r="F467" s="109" t="s">
        <v>4135</v>
      </c>
      <c r="G467" s="109" t="s">
        <v>57</v>
      </c>
      <c r="H467" s="109">
        <v>1.051517372E9</v>
      </c>
      <c r="I467" s="109">
        <v>42870.0</v>
      </c>
      <c r="J467" s="109"/>
      <c r="K467" s="109"/>
      <c r="L467" s="109"/>
      <c r="M467" s="109"/>
      <c r="N467" s="109"/>
      <c r="O467" s="109"/>
      <c r="P467" s="109"/>
      <c r="Q467" s="109"/>
      <c r="R467" s="109"/>
      <c r="S467" s="109"/>
      <c r="T467" s="109"/>
      <c r="U467" s="109"/>
      <c r="V467" s="109"/>
      <c r="W467" s="109"/>
      <c r="X467" s="109">
        <v>42870.0</v>
      </c>
      <c r="Y467" s="109">
        <v>43053.0</v>
      </c>
      <c r="Z467" s="109"/>
      <c r="AA467" s="109"/>
      <c r="AB467" s="109">
        <v>43054.0</v>
      </c>
      <c r="AC467" s="162" t="s">
        <v>62</v>
      </c>
      <c r="AD467" s="109">
        <v>35100.0</v>
      </c>
      <c r="AE467" s="109" t="s">
        <v>5980</v>
      </c>
      <c r="AF467" s="109" t="s">
        <v>4325</v>
      </c>
      <c r="AG467" s="109" t="s">
        <v>5981</v>
      </c>
      <c r="AH467" s="198">
        <v>9.956613271E9</v>
      </c>
      <c r="AI467" s="234" t="s">
        <v>5982</v>
      </c>
      <c r="AJ467" s="109" t="s">
        <v>975</v>
      </c>
      <c r="AK467" s="109" t="s">
        <v>5983</v>
      </c>
      <c r="AL467" s="109" t="s">
        <v>5984</v>
      </c>
      <c r="AM467" s="109" t="s">
        <v>5985</v>
      </c>
      <c r="AN467" s="109" t="s">
        <v>5986</v>
      </c>
      <c r="AO467" s="109"/>
      <c r="AP467" s="109"/>
      <c r="AQ467" s="142" t="s">
        <v>5987</v>
      </c>
      <c r="AR467" s="133" t="s">
        <v>5696</v>
      </c>
      <c r="AS467" s="109">
        <v>44643.0</v>
      </c>
      <c r="AT467" s="29"/>
      <c r="AU467" s="29"/>
      <c r="AV467" s="29"/>
      <c r="AW467" s="29"/>
      <c r="AX467" s="29"/>
      <c r="AY467" s="29"/>
      <c r="AZ467" s="29"/>
      <c r="BA467" s="29"/>
      <c r="BB467" s="29"/>
      <c r="BC467" s="29"/>
      <c r="BD467" s="29"/>
    </row>
    <row r="468" ht="18.0" customHeight="1">
      <c r="A468" s="188">
        <v>463.0</v>
      </c>
      <c r="B468" s="229" t="s">
        <v>5988</v>
      </c>
      <c r="C468" s="229" t="s">
        <v>5989</v>
      </c>
      <c r="D468" s="229" t="s">
        <v>5990</v>
      </c>
      <c r="E468" s="109" t="s">
        <v>717</v>
      </c>
      <c r="F468" s="109" t="s">
        <v>4135</v>
      </c>
      <c r="G468" s="109" t="s">
        <v>57</v>
      </c>
      <c r="H468" s="109">
        <v>1.072118459E9</v>
      </c>
      <c r="I468" s="109">
        <v>43302.0</v>
      </c>
      <c r="J468" s="109">
        <v>43302.0</v>
      </c>
      <c r="K468" s="109">
        <v>43317.0</v>
      </c>
      <c r="L468" s="109"/>
      <c r="M468" s="109"/>
      <c r="N468" s="109"/>
      <c r="O468" s="109"/>
      <c r="P468" s="109"/>
      <c r="Q468" s="109"/>
      <c r="R468" s="109"/>
      <c r="S468" s="109"/>
      <c r="T468" s="109"/>
      <c r="U468" s="109"/>
      <c r="V468" s="109"/>
      <c r="W468" s="109"/>
      <c r="X468" s="109">
        <v>43302.0</v>
      </c>
      <c r="Y468" s="109">
        <v>43485.0</v>
      </c>
      <c r="Z468" s="109"/>
      <c r="AA468" s="109"/>
      <c r="AB468" s="137">
        <v>43486.0</v>
      </c>
      <c r="AC468" s="109" t="s">
        <v>62</v>
      </c>
      <c r="AD468" s="109">
        <v>32286.0</v>
      </c>
      <c r="AE468" s="109" t="s">
        <v>5991</v>
      </c>
      <c r="AF468" s="109" t="s">
        <v>4325</v>
      </c>
      <c r="AG468" s="109" t="s">
        <v>5992</v>
      </c>
      <c r="AH468" s="267">
        <v>9.154082385E9</v>
      </c>
      <c r="AI468" s="233" t="s">
        <v>5993</v>
      </c>
      <c r="AJ468" s="109" t="s">
        <v>5994</v>
      </c>
      <c r="AK468" s="109" t="s">
        <v>5995</v>
      </c>
      <c r="AL468" s="109" t="s">
        <v>5996</v>
      </c>
      <c r="AM468" s="109" t="s">
        <v>5997</v>
      </c>
      <c r="AN468" s="109" t="s">
        <v>5998</v>
      </c>
      <c r="AO468" s="109"/>
      <c r="AP468" s="109"/>
      <c r="AQ468" s="142" t="s">
        <v>5999</v>
      </c>
      <c r="AR468" s="133" t="s">
        <v>5696</v>
      </c>
      <c r="AS468" s="109">
        <v>44643.0</v>
      </c>
      <c r="AT468" s="263"/>
    </row>
    <row r="469" ht="18.0" customHeight="1">
      <c r="A469" s="188">
        <v>464.0</v>
      </c>
      <c r="B469" s="229" t="s">
        <v>74</v>
      </c>
      <c r="C469" s="229" t="s">
        <v>6000</v>
      </c>
      <c r="D469" s="229" t="s">
        <v>6001</v>
      </c>
      <c r="E469" s="109" t="s">
        <v>82</v>
      </c>
      <c r="F469" s="109" t="s">
        <v>4135</v>
      </c>
      <c r="G469" s="109" t="s">
        <v>57</v>
      </c>
      <c r="H469" s="213">
        <v>1.05051919E9</v>
      </c>
      <c r="I469" s="109">
        <v>43589.0</v>
      </c>
      <c r="J469" s="109">
        <v>43589.0</v>
      </c>
      <c r="K469" s="109">
        <v>43604.0</v>
      </c>
      <c r="L469" s="109"/>
      <c r="M469" s="109"/>
      <c r="N469" s="109"/>
      <c r="O469" s="109"/>
      <c r="P469" s="109"/>
      <c r="Q469" s="109"/>
      <c r="R469" s="109"/>
      <c r="S469" s="109"/>
      <c r="T469" s="109"/>
      <c r="U469" s="109"/>
      <c r="V469" s="109"/>
      <c r="W469" s="109"/>
      <c r="X469" s="109">
        <v>43589.0</v>
      </c>
      <c r="Y469" s="109">
        <v>43772.0</v>
      </c>
      <c r="Z469" s="109"/>
      <c r="AA469" s="109"/>
      <c r="AB469" s="137">
        <v>43772.0</v>
      </c>
      <c r="AC469" s="109" t="s">
        <v>62</v>
      </c>
      <c r="AD469" s="109">
        <v>35061.0</v>
      </c>
      <c r="AE469" s="109" t="s">
        <v>6002</v>
      </c>
      <c r="AF469" s="109" t="s">
        <v>4336</v>
      </c>
      <c r="AG469" s="109" t="s">
        <v>6003</v>
      </c>
      <c r="AH469" s="198">
        <v>9.364137006E9</v>
      </c>
      <c r="AI469" s="246" t="s">
        <v>6004</v>
      </c>
      <c r="AJ469" s="109" t="s">
        <v>6005</v>
      </c>
      <c r="AK469" s="109" t="s">
        <v>6006</v>
      </c>
      <c r="AL469" s="109" t="s">
        <v>6007</v>
      </c>
      <c r="AM469" s="109" t="s">
        <v>6008</v>
      </c>
      <c r="AN469" s="109" t="s">
        <v>6009</v>
      </c>
      <c r="AO469" s="109"/>
      <c r="AP469" s="109"/>
      <c r="AQ469" s="142" t="s">
        <v>6010</v>
      </c>
      <c r="AR469" s="133" t="s">
        <v>5696</v>
      </c>
      <c r="AS469" s="109">
        <v>44643.0</v>
      </c>
    </row>
    <row r="470" ht="14.25" customHeight="1">
      <c r="A470" s="188">
        <v>465.0</v>
      </c>
      <c r="B470" s="229" t="s">
        <v>84</v>
      </c>
      <c r="C470" s="229" t="s">
        <v>702</v>
      </c>
      <c r="D470" s="229" t="s">
        <v>703</v>
      </c>
      <c r="E470" s="109" t="s">
        <v>881</v>
      </c>
      <c r="F470" s="109" t="s">
        <v>4135</v>
      </c>
      <c r="G470" s="109" t="s">
        <v>57</v>
      </c>
      <c r="H470" s="109">
        <v>1.010519167E9</v>
      </c>
      <c r="I470" s="109">
        <v>43470.0</v>
      </c>
      <c r="J470" s="109">
        <v>43470.0</v>
      </c>
      <c r="K470" s="109">
        <v>43485.0</v>
      </c>
      <c r="L470" s="109"/>
      <c r="M470" s="109"/>
      <c r="N470" s="109"/>
      <c r="O470" s="109"/>
      <c r="P470" s="109"/>
      <c r="Q470" s="109"/>
      <c r="R470" s="109"/>
      <c r="S470" s="109"/>
      <c r="T470" s="109"/>
      <c r="U470" s="109"/>
      <c r="V470" s="109"/>
      <c r="W470" s="109"/>
      <c r="X470" s="109">
        <v>43470.0</v>
      </c>
      <c r="Y470" s="109">
        <v>43650.0</v>
      </c>
      <c r="Z470" s="109"/>
      <c r="AA470" s="109"/>
      <c r="AB470" s="137">
        <v>43651.0</v>
      </c>
      <c r="AC470" s="109" t="s">
        <v>62</v>
      </c>
      <c r="AD470" s="109">
        <v>32187.0</v>
      </c>
      <c r="AE470" s="109" t="s">
        <v>6011</v>
      </c>
      <c r="AF470" s="109" t="s">
        <v>5084</v>
      </c>
      <c r="AG470" s="109" t="s">
        <v>6012</v>
      </c>
      <c r="AH470" s="198">
        <v>9.388294725E9</v>
      </c>
      <c r="AI470" s="67" t="s">
        <v>708</v>
      </c>
      <c r="AJ470" s="109" t="s">
        <v>4646</v>
      </c>
      <c r="AK470" s="109" t="s">
        <v>709</v>
      </c>
      <c r="AL470" s="109" t="s">
        <v>710</v>
      </c>
      <c r="AM470" s="109" t="s">
        <v>711</v>
      </c>
      <c r="AN470" s="109" t="s">
        <v>712</v>
      </c>
      <c r="AO470" s="109">
        <v>1.0</v>
      </c>
      <c r="AP470" s="109"/>
      <c r="AQ470" s="142" t="s">
        <v>6013</v>
      </c>
      <c r="AR470" s="133" t="s">
        <v>5696</v>
      </c>
      <c r="AS470" s="109">
        <v>44643.0</v>
      </c>
      <c r="AT470" s="263"/>
      <c r="AU470" s="212"/>
    </row>
    <row r="471" ht="14.25" customHeight="1">
      <c r="A471" s="188">
        <v>466.0</v>
      </c>
      <c r="B471" s="229" t="s">
        <v>1292</v>
      </c>
      <c r="C471" s="244" t="s">
        <v>1293</v>
      </c>
      <c r="D471" s="229"/>
      <c r="E471" s="109" t="s">
        <v>82</v>
      </c>
      <c r="F471" s="109" t="s">
        <v>4135</v>
      </c>
      <c r="G471" s="109" t="s">
        <v>57</v>
      </c>
      <c r="H471" s="109">
        <v>1.080919206E9</v>
      </c>
      <c r="I471" s="109">
        <v>43686.0</v>
      </c>
      <c r="J471" s="109">
        <v>43686.0</v>
      </c>
      <c r="K471" s="109">
        <v>43701.0</v>
      </c>
      <c r="L471" s="109"/>
      <c r="M471" s="109"/>
      <c r="N471" s="109"/>
      <c r="O471" s="109"/>
      <c r="P471" s="109"/>
      <c r="Q471" s="109"/>
      <c r="R471" s="109"/>
      <c r="S471" s="109"/>
      <c r="T471" s="109"/>
      <c r="U471" s="109"/>
      <c r="V471" s="109"/>
      <c r="W471" s="109"/>
      <c r="X471" s="109">
        <v>43686.0</v>
      </c>
      <c r="Y471" s="109">
        <v>43869.0</v>
      </c>
      <c r="Z471" s="109"/>
      <c r="AA471" s="109"/>
      <c r="AB471" s="137">
        <v>43869.0</v>
      </c>
      <c r="AC471" s="109" t="s">
        <v>62</v>
      </c>
      <c r="AD471" s="109">
        <v>34137.0</v>
      </c>
      <c r="AE471" s="109" t="s">
        <v>6014</v>
      </c>
      <c r="AF471" s="109" t="s">
        <v>4385</v>
      </c>
      <c r="AG471" s="109"/>
      <c r="AH471" s="162">
        <v>9.776746024E9</v>
      </c>
      <c r="AI471" s="67" t="s">
        <v>1296</v>
      </c>
      <c r="AJ471" s="109" t="s">
        <v>248</v>
      </c>
      <c r="AK471" s="109" t="s">
        <v>1297</v>
      </c>
      <c r="AL471" s="109" t="s">
        <v>1298</v>
      </c>
      <c r="AM471" s="109" t="s">
        <v>1299</v>
      </c>
      <c r="AN471" s="217" t="s">
        <v>1300</v>
      </c>
      <c r="AO471" s="109"/>
      <c r="AP471" s="109"/>
      <c r="AQ471" s="142" t="s">
        <v>6015</v>
      </c>
      <c r="AR471" s="133" t="s">
        <v>5696</v>
      </c>
      <c r="AS471" s="109">
        <v>44643.0</v>
      </c>
      <c r="AT471" s="263"/>
    </row>
    <row r="472" ht="14.25" customHeight="1">
      <c r="A472" s="188"/>
      <c r="B472" s="109"/>
      <c r="C472" s="142"/>
      <c r="D472" s="142"/>
      <c r="E472" s="189"/>
      <c r="F472" s="189"/>
      <c r="G472" s="189"/>
      <c r="H472" s="189"/>
      <c r="I472" s="189"/>
      <c r="J472" s="189"/>
      <c r="K472" s="189"/>
      <c r="L472" s="189"/>
      <c r="M472" s="189"/>
      <c r="N472" s="189"/>
      <c r="O472" s="189"/>
      <c r="P472" s="189"/>
      <c r="Q472" s="189"/>
      <c r="R472" s="189"/>
      <c r="S472" s="189"/>
      <c r="T472" s="189"/>
      <c r="U472" s="189"/>
      <c r="V472" s="189"/>
      <c r="W472" s="189"/>
      <c r="X472" s="189"/>
      <c r="Y472" s="189"/>
      <c r="Z472" s="189"/>
      <c r="AA472" s="189"/>
      <c r="AB472" s="189"/>
      <c r="AC472" s="189"/>
      <c r="AD472" s="189"/>
      <c r="AE472" s="189"/>
      <c r="AF472" s="189"/>
      <c r="AG472" s="189"/>
      <c r="AH472" s="189"/>
      <c r="AI472" s="189"/>
      <c r="AJ472" s="189"/>
      <c r="AK472" s="189"/>
      <c r="AL472" s="189"/>
      <c r="AM472" s="189"/>
      <c r="AN472" s="189"/>
      <c r="AO472" s="189"/>
      <c r="AP472" s="189"/>
      <c r="AQ472" s="280"/>
      <c r="AR472" s="109"/>
      <c r="AS472" s="133"/>
    </row>
    <row r="473" ht="14.25" customHeight="1">
      <c r="A473" s="188"/>
      <c r="B473" s="109"/>
      <c r="C473" s="142"/>
      <c r="D473" s="142"/>
      <c r="E473" s="189"/>
      <c r="F473" s="189"/>
      <c r="G473" s="189"/>
      <c r="H473" s="189"/>
      <c r="I473" s="189"/>
      <c r="J473" s="189"/>
      <c r="K473" s="189"/>
      <c r="L473" s="189"/>
      <c r="M473" s="189"/>
      <c r="N473" s="189"/>
      <c r="O473" s="189"/>
      <c r="P473" s="189"/>
      <c r="Q473" s="189"/>
      <c r="R473" s="189"/>
      <c r="S473" s="189"/>
      <c r="T473" s="189"/>
      <c r="U473" s="189"/>
      <c r="V473" s="189"/>
      <c r="W473" s="189"/>
      <c r="X473" s="189"/>
      <c r="Y473" s="189"/>
      <c r="Z473" s="189"/>
      <c r="AA473" s="189"/>
      <c r="AB473" s="189"/>
      <c r="AC473" s="189"/>
      <c r="AD473" s="189"/>
      <c r="AE473" s="189"/>
      <c r="AF473" s="189"/>
      <c r="AG473" s="189"/>
      <c r="AH473" s="189"/>
      <c r="AI473" s="189"/>
      <c r="AJ473" s="189"/>
      <c r="AK473" s="189"/>
      <c r="AL473" s="189"/>
      <c r="AM473" s="189"/>
      <c r="AN473" s="189"/>
      <c r="AO473" s="189"/>
      <c r="AP473" s="189"/>
      <c r="AQ473" s="280"/>
      <c r="AR473" s="109"/>
      <c r="AS473" s="109"/>
    </row>
    <row r="474" ht="14.25" customHeight="1">
      <c r="A474" s="188"/>
      <c r="B474" s="109"/>
      <c r="C474" s="142"/>
      <c r="D474" s="142"/>
      <c r="E474" s="189"/>
      <c r="F474" s="189"/>
      <c r="G474" s="189"/>
      <c r="H474" s="189"/>
      <c r="I474" s="189"/>
      <c r="J474" s="189"/>
      <c r="K474" s="189"/>
      <c r="L474" s="189"/>
      <c r="M474" s="189"/>
      <c r="N474" s="189"/>
      <c r="O474" s="189"/>
      <c r="P474" s="189"/>
      <c r="Q474" s="189"/>
      <c r="R474" s="189"/>
      <c r="S474" s="189"/>
      <c r="T474" s="189"/>
      <c r="U474" s="189"/>
      <c r="V474" s="189"/>
      <c r="W474" s="189"/>
      <c r="X474" s="189"/>
      <c r="Y474" s="189"/>
      <c r="Z474" s="189"/>
      <c r="AA474" s="189"/>
      <c r="AB474" s="189"/>
      <c r="AC474" s="189"/>
      <c r="AD474" s="189"/>
      <c r="AE474" s="189"/>
      <c r="AF474" s="189"/>
      <c r="AG474" s="189"/>
      <c r="AH474" s="189"/>
      <c r="AI474" s="189"/>
      <c r="AJ474" s="189"/>
      <c r="AK474" s="189"/>
      <c r="AL474" s="189"/>
      <c r="AM474" s="189"/>
      <c r="AN474" s="189"/>
      <c r="AO474" s="189"/>
      <c r="AP474" s="189"/>
      <c r="AQ474" s="280"/>
      <c r="AR474" s="109"/>
      <c r="AS474" s="133"/>
    </row>
    <row r="475" ht="14.25" customHeight="1">
      <c r="A475" s="188"/>
      <c r="B475" s="109"/>
      <c r="C475" s="142"/>
      <c r="D475" s="142"/>
      <c r="E475" s="189"/>
      <c r="F475" s="189"/>
      <c r="G475" s="189"/>
      <c r="H475" s="189"/>
      <c r="I475" s="189"/>
      <c r="J475" s="189"/>
      <c r="K475" s="189"/>
      <c r="L475" s="189"/>
      <c r="M475" s="189"/>
      <c r="N475" s="189"/>
      <c r="O475" s="189"/>
      <c r="P475" s="189"/>
      <c r="Q475" s="189"/>
      <c r="R475" s="189"/>
      <c r="S475" s="189"/>
      <c r="T475" s="189"/>
      <c r="U475" s="189"/>
      <c r="V475" s="189"/>
      <c r="W475" s="189"/>
      <c r="X475" s="189"/>
      <c r="Y475" s="189"/>
      <c r="Z475" s="189"/>
      <c r="AA475" s="189"/>
      <c r="AB475" s="189"/>
      <c r="AC475" s="189"/>
      <c r="AD475" s="189"/>
      <c r="AE475" s="189"/>
      <c r="AF475" s="189"/>
      <c r="AG475" s="189"/>
      <c r="AH475" s="189"/>
      <c r="AI475" s="189"/>
      <c r="AJ475" s="189"/>
      <c r="AK475" s="189"/>
      <c r="AL475" s="189"/>
      <c r="AM475" s="189"/>
      <c r="AN475" s="189"/>
      <c r="AO475" s="189"/>
      <c r="AP475" s="189"/>
      <c r="AQ475" s="281"/>
      <c r="AR475" s="109"/>
      <c r="AS475" s="133"/>
    </row>
    <row r="476" ht="14.25" customHeight="1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AQ476" s="55"/>
      <c r="AR476" s="54"/>
      <c r="AS476" s="54"/>
    </row>
    <row r="477" ht="14.25" customHeight="1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AQ477" s="55"/>
      <c r="AR477" s="54"/>
      <c r="AS477" s="54"/>
    </row>
  </sheetData>
  <mergeCells count="39">
    <mergeCell ref="L3:Q3"/>
    <mergeCell ref="R3:W3"/>
    <mergeCell ref="T4:U4"/>
    <mergeCell ref="V4:W4"/>
    <mergeCell ref="X4:Y4"/>
    <mergeCell ref="Z4:AA4"/>
    <mergeCell ref="A2:A5"/>
    <mergeCell ref="B2:D5"/>
    <mergeCell ref="E2:E5"/>
    <mergeCell ref="F2:F5"/>
    <mergeCell ref="G2:G5"/>
    <mergeCell ref="H2:H5"/>
    <mergeCell ref="X3:AA3"/>
    <mergeCell ref="I2:AA2"/>
    <mergeCell ref="AC2:AQ2"/>
    <mergeCell ref="AR2:AR5"/>
    <mergeCell ref="AS2:AS5"/>
    <mergeCell ref="I3:I5"/>
    <mergeCell ref="J3:K3"/>
    <mergeCell ref="J4:K4"/>
    <mergeCell ref="AJ3:AJ5"/>
    <mergeCell ref="AK3:AK5"/>
    <mergeCell ref="AL3:AL5"/>
    <mergeCell ref="AM3:AM5"/>
    <mergeCell ref="AN3:AN5"/>
    <mergeCell ref="AO3:AO5"/>
    <mergeCell ref="AP3:AP5"/>
    <mergeCell ref="AQ3:AQ5"/>
    <mergeCell ref="AB2:AB5"/>
    <mergeCell ref="AC3:AC5"/>
    <mergeCell ref="AD3:AD5"/>
    <mergeCell ref="AE3:AF5"/>
    <mergeCell ref="AG3:AG5"/>
    <mergeCell ref="AH3:AH5"/>
    <mergeCell ref="AI3:AI5"/>
    <mergeCell ref="L4:M4"/>
    <mergeCell ref="N4:O4"/>
    <mergeCell ref="P4:Q4"/>
    <mergeCell ref="R4:S4"/>
  </mergeCells>
  <hyperlinks>
    <hyperlink r:id="rId1" ref="AI381"/>
    <hyperlink r:id="rId2" ref="AI382"/>
    <hyperlink r:id="rId3" ref="AI386"/>
    <hyperlink r:id="rId4" ref="AI387"/>
    <hyperlink r:id="rId5" ref="AI388"/>
    <hyperlink r:id="rId6" ref="AI390"/>
    <hyperlink r:id="rId7" ref="AI392"/>
    <hyperlink r:id="rId8" ref="AI393"/>
    <hyperlink r:id="rId9" ref="AI394"/>
    <hyperlink r:id="rId10" ref="AI398"/>
    <hyperlink r:id="rId11" ref="AI399"/>
    <hyperlink r:id="rId12" ref="AI400"/>
    <hyperlink r:id="rId13" ref="AI404"/>
    <hyperlink r:id="rId14" ref="AI409"/>
    <hyperlink r:id="rId15" ref="AI410"/>
    <hyperlink r:id="rId16" ref="AI411"/>
    <hyperlink r:id="rId17" ref="AI413"/>
    <hyperlink r:id="rId18" ref="AI415"/>
    <hyperlink r:id="rId19" ref="AI418"/>
    <hyperlink r:id="rId20" ref="AI419"/>
    <hyperlink r:id="rId21" ref="AI420"/>
    <hyperlink r:id="rId22" ref="AI422"/>
    <hyperlink r:id="rId23" ref="AI423"/>
    <hyperlink r:id="rId24" ref="AI433"/>
    <hyperlink r:id="rId25" ref="AI434"/>
    <hyperlink r:id="rId26" ref="AI435"/>
    <hyperlink r:id="rId27" ref="AI439"/>
    <hyperlink r:id="rId28" ref="AI443"/>
    <hyperlink r:id="rId29" ref="AI444"/>
    <hyperlink r:id="rId30" ref="AI445"/>
    <hyperlink r:id="rId31" ref="AI446"/>
    <hyperlink r:id="rId32" ref="AI448"/>
    <hyperlink r:id="rId33" ref="AI451"/>
    <hyperlink r:id="rId34" ref="AI452"/>
    <hyperlink r:id="rId35" ref="AI453"/>
    <hyperlink r:id="rId36" ref="AI454"/>
    <hyperlink r:id="rId37" ref="AI455"/>
    <hyperlink r:id="rId38" ref="AI456"/>
    <hyperlink r:id="rId39" ref="AI461"/>
    <hyperlink r:id="rId40" ref="AI462"/>
    <hyperlink r:id="rId41" ref="AI464"/>
    <hyperlink r:id="rId42" ref="AI465"/>
    <hyperlink r:id="rId43" ref="AI466"/>
    <hyperlink r:id="rId44" ref="AI467"/>
    <hyperlink r:id="rId45" ref="AI470"/>
    <hyperlink r:id="rId46" ref="AI471"/>
  </hyperlinks>
  <printOptions/>
  <pageMargins bottom="0.75" footer="0.0" header="0.0" left="0.7" right="0.7" top="0.75"/>
  <pageSetup orientation="landscape"/>
  <drawing r:id="rId47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0"/>
    <col customWidth="1" min="2" max="2" width="25.14"/>
    <col customWidth="1" min="3" max="3" width="15.14"/>
    <col customWidth="1" hidden="1" min="4" max="4" width="9.0"/>
    <col customWidth="1" min="5" max="26" width="9.0"/>
  </cols>
  <sheetData>
    <row r="1" ht="24.0" customHeight="1">
      <c r="A1" s="282" t="s">
        <v>6016</v>
      </c>
      <c r="B1" s="282" t="s">
        <v>6017</v>
      </c>
      <c r="C1" s="282" t="s">
        <v>6018</v>
      </c>
    </row>
    <row r="2" ht="14.25" customHeight="1">
      <c r="A2" s="283" t="s">
        <v>6019</v>
      </c>
      <c r="B2" s="284"/>
      <c r="C2" s="285"/>
    </row>
    <row r="3" ht="14.25" customHeight="1">
      <c r="A3" s="85">
        <v>1.0</v>
      </c>
      <c r="B3" s="83" t="s">
        <v>6020</v>
      </c>
      <c r="C3" s="286">
        <v>15711.0</v>
      </c>
      <c r="D3" s="85">
        <v>1.0</v>
      </c>
      <c r="H3" s="54"/>
    </row>
    <row r="4" ht="14.25" customHeight="1">
      <c r="A4" s="85">
        <v>2.0</v>
      </c>
      <c r="B4" s="83" t="s">
        <v>6021</v>
      </c>
      <c r="C4" s="286">
        <v>35806.0</v>
      </c>
      <c r="D4" s="85">
        <v>1.0</v>
      </c>
    </row>
    <row r="5" ht="14.25" customHeight="1">
      <c r="A5" s="85">
        <v>3.0</v>
      </c>
      <c r="B5" s="83" t="s">
        <v>6022</v>
      </c>
      <c r="C5" s="286">
        <v>35811.0</v>
      </c>
      <c r="D5" s="85">
        <v>1.0</v>
      </c>
    </row>
    <row r="6" ht="14.25" customHeight="1">
      <c r="A6" s="85">
        <v>4.0</v>
      </c>
      <c r="B6" s="83" t="s">
        <v>6023</v>
      </c>
      <c r="C6" s="286">
        <v>33991.0</v>
      </c>
      <c r="D6" s="85">
        <v>1.0</v>
      </c>
    </row>
    <row r="7" ht="14.25" customHeight="1">
      <c r="A7" s="85">
        <v>5.0</v>
      </c>
      <c r="B7" s="83" t="s">
        <v>6024</v>
      </c>
      <c r="C7" s="286">
        <v>29244.0</v>
      </c>
      <c r="D7" s="85">
        <v>1.0</v>
      </c>
    </row>
    <row r="8" ht="14.25" customHeight="1">
      <c r="A8" s="85">
        <v>6.0</v>
      </c>
      <c r="B8" s="83" t="s">
        <v>6025</v>
      </c>
      <c r="C8" s="286">
        <v>36919.0</v>
      </c>
    </row>
    <row r="9" ht="14.25" customHeight="1">
      <c r="A9" s="85">
        <v>7.0</v>
      </c>
      <c r="B9" s="83" t="s">
        <v>6026</v>
      </c>
      <c r="C9" s="286" t="s">
        <v>6027</v>
      </c>
    </row>
    <row r="10" ht="14.25" customHeight="1"/>
    <row r="11" ht="14.25" customHeight="1">
      <c r="B11" s="83"/>
      <c r="C11" s="286"/>
      <c r="D11" s="85">
        <v>1.0</v>
      </c>
    </row>
    <row r="12" ht="14.25" customHeight="1">
      <c r="A12" s="283" t="s">
        <v>6028</v>
      </c>
      <c r="B12" s="284"/>
      <c r="C12" s="285"/>
      <c r="D12" s="85">
        <v>1.0</v>
      </c>
    </row>
    <row r="13" ht="14.25" customHeight="1">
      <c r="A13" s="85">
        <v>1.0</v>
      </c>
      <c r="B13" s="83" t="s">
        <v>6029</v>
      </c>
      <c r="C13" s="286">
        <v>34738.0</v>
      </c>
    </row>
    <row r="14" ht="14.25" customHeight="1">
      <c r="A14" s="85">
        <v>2.0</v>
      </c>
      <c r="B14" s="83" t="s">
        <v>6030</v>
      </c>
      <c r="C14" s="286" t="s">
        <v>6031</v>
      </c>
      <c r="D14" s="85">
        <v>2.0</v>
      </c>
    </row>
    <row r="15" ht="14.25" customHeight="1">
      <c r="C15" s="286"/>
    </row>
    <row r="16" ht="14.25" customHeight="1">
      <c r="A16" s="283" t="s">
        <v>6032</v>
      </c>
      <c r="B16" s="284"/>
      <c r="C16" s="285"/>
    </row>
    <row r="17" ht="14.25" customHeight="1">
      <c r="A17" s="85">
        <v>1.0</v>
      </c>
      <c r="B17" s="29" t="s">
        <v>6033</v>
      </c>
      <c r="C17" s="286">
        <v>23439.0</v>
      </c>
    </row>
    <row r="18" ht="14.25" customHeight="1">
      <c r="A18" s="85">
        <v>2.0</v>
      </c>
      <c r="B18" s="85" t="s">
        <v>6034</v>
      </c>
      <c r="C18" s="286">
        <v>37701.0</v>
      </c>
      <c r="D18" s="85">
        <v>3.0</v>
      </c>
    </row>
    <row r="19" ht="14.25" customHeight="1">
      <c r="A19" s="85">
        <v>3.0</v>
      </c>
      <c r="B19" s="85" t="s">
        <v>6035</v>
      </c>
      <c r="C19" s="286" t="s">
        <v>6036</v>
      </c>
    </row>
    <row r="20" ht="14.25" customHeight="1">
      <c r="A20" s="85">
        <v>4.0</v>
      </c>
      <c r="B20" s="29" t="s">
        <v>6037</v>
      </c>
      <c r="C20" s="286" t="s">
        <v>6038</v>
      </c>
      <c r="D20" s="85">
        <v>3.0</v>
      </c>
    </row>
    <row r="21" ht="14.25" customHeight="1">
      <c r="A21" s="283" t="s">
        <v>6039</v>
      </c>
      <c r="B21" s="284"/>
      <c r="C21" s="285"/>
      <c r="D21" s="85">
        <v>3.0</v>
      </c>
    </row>
    <row r="22" ht="14.25" customHeight="1">
      <c r="A22" s="85">
        <v>1.0</v>
      </c>
      <c r="B22" s="83" t="s">
        <v>6040</v>
      </c>
      <c r="C22" s="286">
        <v>35183.0</v>
      </c>
      <c r="D22" s="85">
        <v>4.0</v>
      </c>
    </row>
    <row r="23" ht="14.25" customHeight="1">
      <c r="A23" s="85">
        <v>2.0</v>
      </c>
      <c r="B23" s="83"/>
      <c r="C23" s="286"/>
    </row>
    <row r="24" ht="14.25" customHeight="1">
      <c r="A24" s="85">
        <v>3.0</v>
      </c>
    </row>
    <row r="25" ht="14.25" customHeight="1">
      <c r="D25" s="85">
        <v>4.0</v>
      </c>
    </row>
    <row r="26" ht="14.25" customHeight="1">
      <c r="A26" s="283" t="s">
        <v>6041</v>
      </c>
      <c r="B26" s="284"/>
      <c r="C26" s="285"/>
    </row>
    <row r="27" ht="14.25" customHeight="1">
      <c r="A27" s="85">
        <v>1.0</v>
      </c>
      <c r="B27" s="287" t="s">
        <v>6042</v>
      </c>
      <c r="C27" s="286">
        <v>36282.0</v>
      </c>
    </row>
    <row r="28" ht="14.25" customHeight="1">
      <c r="A28" s="85">
        <v>2.0</v>
      </c>
      <c r="B28" s="83" t="s">
        <v>6043</v>
      </c>
      <c r="C28" s="286">
        <v>27886.0</v>
      </c>
      <c r="D28" s="85">
        <v>5.0</v>
      </c>
    </row>
    <row r="29" ht="14.25" customHeight="1">
      <c r="A29" s="85">
        <v>3.0</v>
      </c>
      <c r="B29" s="287" t="s">
        <v>6044</v>
      </c>
      <c r="C29" s="286" t="s">
        <v>6045</v>
      </c>
      <c r="D29" s="85">
        <v>5.0</v>
      </c>
    </row>
    <row r="30" ht="14.25" customHeight="1">
      <c r="A30" s="85">
        <v>4.0</v>
      </c>
      <c r="B30" s="287" t="s">
        <v>6046</v>
      </c>
      <c r="C30" s="286">
        <v>34830.0</v>
      </c>
    </row>
    <row r="31" ht="14.25" customHeight="1">
      <c r="A31" s="85">
        <v>5.0</v>
      </c>
      <c r="B31" s="287" t="s">
        <v>6047</v>
      </c>
      <c r="C31" s="286">
        <v>25710.0</v>
      </c>
      <c r="D31" s="85">
        <v>5.0</v>
      </c>
    </row>
    <row r="32" ht="14.25" customHeight="1">
      <c r="A32" s="85">
        <v>6.0</v>
      </c>
      <c r="B32" s="287" t="s">
        <v>6048</v>
      </c>
      <c r="C32" s="286">
        <v>34479.0</v>
      </c>
      <c r="D32" s="85">
        <v>5.0</v>
      </c>
    </row>
    <row r="33" ht="14.25" customHeight="1">
      <c r="A33" s="85">
        <v>7.0</v>
      </c>
      <c r="B33" s="287" t="s">
        <v>6049</v>
      </c>
      <c r="C33" s="286">
        <v>34479.0</v>
      </c>
    </row>
    <row r="34" ht="14.25" customHeight="1">
      <c r="A34" s="85">
        <v>8.0</v>
      </c>
      <c r="B34" s="287" t="s">
        <v>6050</v>
      </c>
      <c r="C34" s="286" t="s">
        <v>6051</v>
      </c>
    </row>
    <row r="35" ht="14.25" customHeight="1">
      <c r="A35" s="85">
        <v>9.0</v>
      </c>
      <c r="D35" s="85">
        <v>5.0</v>
      </c>
    </row>
    <row r="36" ht="14.25" customHeight="1">
      <c r="A36" s="283" t="s">
        <v>6052</v>
      </c>
      <c r="B36" s="284"/>
      <c r="C36" s="285"/>
      <c r="D36" s="85">
        <v>5.0</v>
      </c>
    </row>
    <row r="37" ht="14.25" customHeight="1">
      <c r="A37" s="85">
        <v>1.0</v>
      </c>
      <c r="B37" s="83" t="s">
        <v>6053</v>
      </c>
      <c r="C37" s="286">
        <v>37408.0</v>
      </c>
      <c r="D37" s="85">
        <v>5.0</v>
      </c>
    </row>
    <row r="38" ht="14.25" customHeight="1">
      <c r="A38" s="85">
        <v>2.0</v>
      </c>
      <c r="B38" s="83" t="s">
        <v>6054</v>
      </c>
      <c r="C38" s="286">
        <v>36314.0</v>
      </c>
    </row>
    <row r="39" ht="14.25" customHeight="1">
      <c r="A39" s="85">
        <v>3.0</v>
      </c>
      <c r="B39" s="83" t="s">
        <v>6055</v>
      </c>
      <c r="C39" s="286">
        <v>25007.0</v>
      </c>
    </row>
    <row r="40" ht="14.25" customHeight="1">
      <c r="A40" s="85">
        <v>4.0</v>
      </c>
      <c r="B40" s="83" t="s">
        <v>6056</v>
      </c>
      <c r="C40" s="286" t="s">
        <v>6057</v>
      </c>
      <c r="D40" s="85">
        <v>6.0</v>
      </c>
    </row>
    <row r="41" ht="14.25" customHeight="1">
      <c r="A41" s="85">
        <v>5.0</v>
      </c>
      <c r="B41" s="83" t="s">
        <v>6058</v>
      </c>
      <c r="C41" s="286" t="s">
        <v>6059</v>
      </c>
      <c r="D41" s="85">
        <v>6.0</v>
      </c>
    </row>
    <row r="42" ht="14.25" customHeight="1">
      <c r="A42" s="85">
        <v>6.0</v>
      </c>
      <c r="B42" s="83" t="s">
        <v>6060</v>
      </c>
      <c r="C42" s="286">
        <v>26106.0</v>
      </c>
      <c r="D42" s="85">
        <v>6.0</v>
      </c>
    </row>
    <row r="43" ht="14.25" customHeight="1">
      <c r="B43" s="83"/>
      <c r="C43" s="286"/>
    </row>
    <row r="44" ht="14.25" customHeight="1"/>
    <row r="45" ht="14.25" customHeight="1">
      <c r="B45" s="83"/>
      <c r="C45" s="286"/>
    </row>
    <row r="46" ht="14.25" customHeight="1">
      <c r="A46" s="283" t="s">
        <v>6061</v>
      </c>
      <c r="B46" s="284"/>
      <c r="C46" s="285"/>
      <c r="D46" s="85">
        <v>6.0</v>
      </c>
    </row>
    <row r="47" ht="14.25" customHeight="1">
      <c r="A47" s="85">
        <v>1.0</v>
      </c>
      <c r="B47" s="83" t="s">
        <v>6062</v>
      </c>
      <c r="C47" s="286">
        <v>25751.0</v>
      </c>
    </row>
    <row r="48" ht="14.25" customHeight="1">
      <c r="A48" s="85">
        <v>2.0</v>
      </c>
      <c r="B48" s="83" t="s">
        <v>6063</v>
      </c>
      <c r="C48" s="286">
        <v>28680.0</v>
      </c>
    </row>
    <row r="49" ht="14.25" customHeight="1">
      <c r="A49" s="85">
        <v>3.0</v>
      </c>
      <c r="B49" s="83" t="s">
        <v>6064</v>
      </c>
      <c r="C49" s="286">
        <v>37084.0</v>
      </c>
    </row>
    <row r="50" ht="14.25" customHeight="1">
      <c r="A50" s="85">
        <v>4.0</v>
      </c>
      <c r="B50" s="83" t="s">
        <v>6065</v>
      </c>
      <c r="C50" s="286">
        <v>35994.0</v>
      </c>
      <c r="D50" s="85">
        <v>8.0</v>
      </c>
    </row>
    <row r="51" ht="14.25" customHeight="1">
      <c r="A51" s="85">
        <v>5.0</v>
      </c>
      <c r="B51" s="83" t="s">
        <v>6066</v>
      </c>
      <c r="C51" s="286" t="s">
        <v>6067</v>
      </c>
    </row>
    <row r="52" ht="14.25" customHeight="1">
      <c r="D52" s="85">
        <v>7.0</v>
      </c>
    </row>
    <row r="53" ht="14.25" customHeight="1">
      <c r="B53" s="83"/>
      <c r="C53" s="286"/>
    </row>
    <row r="54" ht="14.25" customHeight="1">
      <c r="A54" s="283" t="s">
        <v>6068</v>
      </c>
      <c r="B54" s="284"/>
      <c r="C54" s="285"/>
      <c r="D54" s="85">
        <v>8.0</v>
      </c>
    </row>
    <row r="55" ht="14.25" customHeight="1">
      <c r="A55" s="85">
        <v>1.0</v>
      </c>
      <c r="B55" s="83" t="s">
        <v>6069</v>
      </c>
      <c r="C55" s="286">
        <v>29068.0</v>
      </c>
      <c r="D55" s="85">
        <v>8.0</v>
      </c>
    </row>
    <row r="56" ht="14.25" customHeight="1">
      <c r="A56" s="85">
        <v>2.0</v>
      </c>
      <c r="B56" s="85" t="s">
        <v>6070</v>
      </c>
      <c r="C56" s="286">
        <v>38200.0</v>
      </c>
    </row>
    <row r="57" ht="14.25" customHeight="1">
      <c r="A57" s="85">
        <v>3.0</v>
      </c>
      <c r="B57" s="83" t="s">
        <v>6071</v>
      </c>
      <c r="C57" s="286">
        <v>29801.0</v>
      </c>
      <c r="D57" s="85">
        <v>8.0</v>
      </c>
    </row>
    <row r="58" ht="14.25" customHeight="1">
      <c r="A58" s="85">
        <v>4.0</v>
      </c>
      <c r="B58" s="83" t="s">
        <v>6072</v>
      </c>
      <c r="C58" s="286">
        <v>36376.0</v>
      </c>
      <c r="D58" s="85">
        <v>8.0</v>
      </c>
    </row>
    <row r="59" ht="14.25" customHeight="1">
      <c r="A59" s="85">
        <v>5.0</v>
      </c>
      <c r="B59" s="83" t="s">
        <v>6073</v>
      </c>
      <c r="C59" s="286">
        <v>26151.0</v>
      </c>
      <c r="D59" s="85">
        <v>8.0</v>
      </c>
    </row>
    <row r="60" ht="14.25" customHeight="1">
      <c r="A60" s="85">
        <v>6.0</v>
      </c>
      <c r="B60" s="83" t="s">
        <v>6074</v>
      </c>
      <c r="C60" s="286">
        <v>35656.0</v>
      </c>
    </row>
    <row r="61" ht="14.25" customHeight="1">
      <c r="A61" s="85">
        <v>7.0</v>
      </c>
      <c r="B61" s="83" t="s">
        <v>6075</v>
      </c>
      <c r="C61" s="286" t="s">
        <v>6076</v>
      </c>
    </row>
    <row r="62" ht="14.25" customHeight="1">
      <c r="A62" s="85">
        <v>8.0</v>
      </c>
      <c r="B62" s="83" t="s">
        <v>6077</v>
      </c>
      <c r="C62" s="286">
        <v>37125.0</v>
      </c>
    </row>
    <row r="63" ht="14.25" customHeight="1">
      <c r="A63" s="85">
        <v>9.0</v>
      </c>
      <c r="B63" s="83" t="s">
        <v>6078</v>
      </c>
      <c r="C63" s="286">
        <v>36761.0</v>
      </c>
    </row>
    <row r="64" ht="14.25" customHeight="1">
      <c r="A64" s="85">
        <v>10.0</v>
      </c>
    </row>
    <row r="65" ht="14.25" customHeight="1">
      <c r="B65" s="83"/>
      <c r="C65" s="286"/>
    </row>
    <row r="66" ht="14.25" customHeight="1">
      <c r="B66" s="83"/>
      <c r="C66" s="286"/>
    </row>
    <row r="67" ht="14.25" customHeight="1">
      <c r="A67" s="283" t="s">
        <v>6079</v>
      </c>
      <c r="B67" s="284"/>
      <c r="C67" s="285"/>
      <c r="D67" s="85">
        <v>9.0</v>
      </c>
    </row>
    <row r="68" ht="14.25" customHeight="1">
      <c r="A68" s="85">
        <v>1.0</v>
      </c>
      <c r="B68" s="85" t="s">
        <v>6080</v>
      </c>
      <c r="C68" s="286">
        <v>36773.0</v>
      </c>
      <c r="D68" s="85">
        <v>9.0</v>
      </c>
    </row>
    <row r="69" ht="14.25" customHeight="1">
      <c r="A69" s="85">
        <v>2.0</v>
      </c>
      <c r="B69" s="85" t="s">
        <v>6081</v>
      </c>
      <c r="C69" s="286">
        <v>36780.0</v>
      </c>
    </row>
    <row r="70" ht="14.25" customHeight="1">
      <c r="A70" s="85">
        <v>3.0</v>
      </c>
      <c r="B70" s="85" t="s">
        <v>6082</v>
      </c>
      <c r="C70" s="286">
        <v>37147.0</v>
      </c>
    </row>
    <row r="71" ht="14.25" customHeight="1">
      <c r="A71" s="85">
        <v>4.0</v>
      </c>
      <c r="B71" s="85" t="s">
        <v>6083</v>
      </c>
      <c r="C71" s="286">
        <v>34955.0</v>
      </c>
      <c r="D71" s="85">
        <v>9.0</v>
      </c>
    </row>
    <row r="72" ht="14.25" customHeight="1">
      <c r="A72" s="85">
        <v>5.0</v>
      </c>
      <c r="B72" s="29" t="s">
        <v>6084</v>
      </c>
      <c r="C72" s="286">
        <v>30209.0</v>
      </c>
    </row>
    <row r="73" ht="14.25" customHeight="1">
      <c r="A73" s="85">
        <v>6.0</v>
      </c>
      <c r="B73" s="29"/>
      <c r="C73" s="286"/>
      <c r="D73" s="85">
        <v>9.0</v>
      </c>
    </row>
    <row r="74" ht="14.25" customHeight="1">
      <c r="A74" s="85">
        <v>7.0</v>
      </c>
      <c r="D74" s="85">
        <v>9.0</v>
      </c>
    </row>
    <row r="75" ht="14.25" customHeight="1">
      <c r="A75" s="85">
        <v>8.0</v>
      </c>
      <c r="C75" s="286"/>
    </row>
    <row r="76" ht="14.25" customHeight="1">
      <c r="A76" s="283" t="s">
        <v>6085</v>
      </c>
      <c r="B76" s="284"/>
      <c r="C76" s="285"/>
    </row>
    <row r="77" ht="14.25" customHeight="1">
      <c r="A77" s="85">
        <v>1.0</v>
      </c>
      <c r="B77" s="83" t="s">
        <v>6086</v>
      </c>
      <c r="C77" s="286">
        <v>36803.0</v>
      </c>
    </row>
    <row r="78" ht="14.25" customHeight="1">
      <c r="A78" s="85">
        <v>2.0</v>
      </c>
      <c r="B78" s="83" t="s">
        <v>6087</v>
      </c>
      <c r="C78" s="286">
        <v>24386.0</v>
      </c>
      <c r="D78" s="85">
        <v>10.0</v>
      </c>
    </row>
    <row r="79" ht="14.25" customHeight="1">
      <c r="A79" s="85">
        <v>3.0</v>
      </c>
      <c r="B79" s="83" t="s">
        <v>6088</v>
      </c>
      <c r="C79" s="286">
        <v>26591.0</v>
      </c>
    </row>
    <row r="80" ht="14.25" customHeight="1">
      <c r="A80" s="85">
        <v>4.0</v>
      </c>
      <c r="B80" s="83" t="s">
        <v>6089</v>
      </c>
      <c r="C80" s="286">
        <v>28057.0</v>
      </c>
      <c r="D80" s="85">
        <v>10.0</v>
      </c>
    </row>
    <row r="81" ht="14.25" customHeight="1">
      <c r="A81" s="85">
        <v>5.0</v>
      </c>
      <c r="B81" s="83" t="s">
        <v>6090</v>
      </c>
      <c r="C81" s="286">
        <v>32078.0</v>
      </c>
      <c r="D81" s="85">
        <v>10.0</v>
      </c>
    </row>
    <row r="82" ht="14.25" customHeight="1">
      <c r="A82" s="85">
        <v>6.0</v>
      </c>
      <c r="D82" s="85">
        <v>10.0</v>
      </c>
    </row>
    <row r="83" ht="14.25" customHeight="1"/>
    <row r="84" ht="14.25" customHeight="1">
      <c r="B84" s="29"/>
      <c r="C84" s="286"/>
    </row>
    <row r="85" ht="14.25" customHeight="1">
      <c r="A85" s="283" t="s">
        <v>6091</v>
      </c>
      <c r="B85" s="284"/>
      <c r="C85" s="285"/>
      <c r="D85" s="85">
        <v>10.0</v>
      </c>
    </row>
    <row r="86" ht="14.25" customHeight="1">
      <c r="A86" s="85">
        <v>1.0</v>
      </c>
      <c r="B86" s="29" t="s">
        <v>6092</v>
      </c>
      <c r="C86" s="286">
        <v>31718.0</v>
      </c>
      <c r="D86" s="85">
        <v>11.0</v>
      </c>
    </row>
    <row r="87" ht="14.25" customHeight="1">
      <c r="A87" s="85">
        <v>2.0</v>
      </c>
      <c r="B87" s="29" t="s">
        <v>6093</v>
      </c>
      <c r="C87" s="286">
        <v>29167.0</v>
      </c>
    </row>
    <row r="88" ht="14.25" customHeight="1">
      <c r="A88" s="85">
        <v>3.0</v>
      </c>
      <c r="B88" s="85" t="s">
        <v>6094</v>
      </c>
      <c r="C88" s="54">
        <v>34679.0</v>
      </c>
      <c r="D88" s="85">
        <v>11.0</v>
      </c>
    </row>
    <row r="89" ht="14.25" customHeight="1">
      <c r="A89" s="85">
        <v>4.0</v>
      </c>
      <c r="B89" s="85" t="s">
        <v>6095</v>
      </c>
      <c r="C89" s="54" t="s">
        <v>6096</v>
      </c>
      <c r="D89" s="85">
        <v>11.0</v>
      </c>
    </row>
    <row r="90" ht="14.25" customHeight="1">
      <c r="A90" s="85">
        <v>5.0</v>
      </c>
      <c r="B90" s="85" t="s">
        <v>6097</v>
      </c>
      <c r="C90" s="286">
        <v>32106.0</v>
      </c>
    </row>
    <row r="91" ht="14.25" customHeight="1">
      <c r="A91" s="85">
        <v>6.0</v>
      </c>
    </row>
    <row r="92" ht="14.25" customHeight="1">
      <c r="C92" s="286"/>
    </row>
    <row r="93" ht="14.25" customHeight="1">
      <c r="A93" s="283" t="s">
        <v>6098</v>
      </c>
      <c r="B93" s="284"/>
      <c r="C93" s="285"/>
      <c r="D93" s="85">
        <v>12.0</v>
      </c>
    </row>
    <row r="94" ht="14.25" customHeight="1">
      <c r="A94" s="288"/>
      <c r="B94" s="288"/>
      <c r="C94" s="288"/>
    </row>
    <row r="95" ht="14.25" customHeight="1">
      <c r="A95" s="85">
        <v>1.0</v>
      </c>
      <c r="B95" s="85" t="s">
        <v>6099</v>
      </c>
      <c r="C95" s="286">
        <v>36863.0</v>
      </c>
      <c r="D95" s="85">
        <v>12.0</v>
      </c>
    </row>
    <row r="96" ht="14.25" customHeight="1">
      <c r="A96" s="85">
        <v>2.0</v>
      </c>
      <c r="B96" s="29" t="s">
        <v>6100</v>
      </c>
      <c r="C96" s="286">
        <v>29560.0</v>
      </c>
    </row>
    <row r="97" ht="14.25" customHeight="1">
      <c r="A97" s="85">
        <v>3.0</v>
      </c>
      <c r="B97" s="29" t="s">
        <v>6101</v>
      </c>
      <c r="C97" s="286">
        <v>30666.0</v>
      </c>
      <c r="D97" s="85">
        <v>12.0</v>
      </c>
    </row>
    <row r="98" ht="14.25" customHeight="1">
      <c r="A98" s="85">
        <v>4.0</v>
      </c>
      <c r="B98" s="85" t="s">
        <v>6102</v>
      </c>
      <c r="C98" s="286" t="s">
        <v>6103</v>
      </c>
      <c r="D98" s="85">
        <v>12.0</v>
      </c>
    </row>
    <row r="99" ht="14.25" customHeight="1">
      <c r="A99" s="85">
        <v>5.0</v>
      </c>
      <c r="B99" s="85" t="s">
        <v>6104</v>
      </c>
      <c r="C99" s="286" t="s">
        <v>6105</v>
      </c>
    </row>
    <row r="100" ht="14.25" customHeight="1">
      <c r="A100" s="85">
        <v>6.0</v>
      </c>
      <c r="B100" s="85" t="s">
        <v>6106</v>
      </c>
      <c r="C100" s="286" t="s">
        <v>6107</v>
      </c>
    </row>
    <row r="101" ht="14.25" customHeight="1">
      <c r="A101" s="85">
        <v>7.0</v>
      </c>
      <c r="B101" s="85" t="s">
        <v>6108</v>
      </c>
      <c r="C101" s="286" t="s">
        <v>6109</v>
      </c>
      <c r="D101" s="85">
        <v>12.0</v>
      </c>
    </row>
    <row r="102" ht="14.25" customHeight="1">
      <c r="A102" s="85">
        <v>8.0</v>
      </c>
      <c r="B102" s="85" t="s">
        <v>6110</v>
      </c>
      <c r="C102" s="54">
        <v>37237.0</v>
      </c>
    </row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2">
    <mergeCell ref="A54:C54"/>
    <mergeCell ref="A67:C67"/>
    <mergeCell ref="A76:C76"/>
    <mergeCell ref="A85:C85"/>
    <mergeCell ref="A93:C93"/>
    <mergeCell ref="A2:C2"/>
    <mergeCell ref="A12:C12"/>
    <mergeCell ref="A16:C16"/>
    <mergeCell ref="A21:C21"/>
    <mergeCell ref="A26:C26"/>
    <mergeCell ref="A36:C36"/>
    <mergeCell ref="A46:C46"/>
  </mergeCells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10.29"/>
    <col customWidth="1" min="3" max="3" width="11.0"/>
    <col customWidth="1" min="4" max="4" width="11.14"/>
    <col customWidth="1" min="5" max="5" width="6.57"/>
    <col customWidth="1" min="6" max="6" width="18.71"/>
    <col customWidth="1" min="7" max="8" width="10.0"/>
    <col customWidth="1" min="9" max="9" width="8.14"/>
    <col customWidth="1" min="10" max="10" width="13.0"/>
    <col customWidth="1" min="11" max="11" width="10.14"/>
    <col customWidth="1" min="12" max="12" width="12.0"/>
    <col customWidth="1" min="13" max="13" width="10.71"/>
    <col customWidth="1" min="14" max="14" width="13.29"/>
    <col customWidth="1" min="15" max="15" width="10.14"/>
    <col customWidth="1" min="16" max="26" width="8.86"/>
  </cols>
  <sheetData>
    <row r="1" ht="50.25" customHeight="1">
      <c r="A1" s="289"/>
      <c r="B1" s="289"/>
      <c r="C1" s="290" t="s">
        <v>6111</v>
      </c>
      <c r="D1" s="289"/>
      <c r="E1" s="291"/>
      <c r="F1" s="292"/>
      <c r="G1" s="292"/>
      <c r="H1" s="292"/>
      <c r="I1" s="291"/>
      <c r="J1" s="293"/>
      <c r="K1" s="289"/>
      <c r="L1" s="293"/>
      <c r="M1" s="294"/>
      <c r="N1" s="289"/>
      <c r="O1" s="289"/>
      <c r="P1" s="295"/>
      <c r="Q1" s="295"/>
      <c r="R1" s="295"/>
      <c r="S1" s="295"/>
      <c r="T1" s="295"/>
      <c r="U1" s="295"/>
      <c r="V1" s="295"/>
      <c r="W1" s="295"/>
      <c r="X1" s="295"/>
      <c r="Y1" s="295"/>
      <c r="Z1" s="295"/>
    </row>
    <row r="2" ht="24.0" customHeight="1">
      <c r="A2" s="296" t="s">
        <v>1</v>
      </c>
      <c r="B2" s="296" t="s">
        <v>2</v>
      </c>
      <c r="C2" s="296" t="s">
        <v>3</v>
      </c>
      <c r="D2" s="296" t="s">
        <v>4</v>
      </c>
      <c r="E2" s="297" t="s">
        <v>5</v>
      </c>
      <c r="F2" s="298" t="s">
        <v>8</v>
      </c>
      <c r="G2" s="298" t="s">
        <v>11</v>
      </c>
      <c r="H2" s="298" t="s">
        <v>14</v>
      </c>
      <c r="I2" s="298" t="s">
        <v>30</v>
      </c>
      <c r="J2" s="296" t="s">
        <v>28</v>
      </c>
      <c r="K2" s="296" t="s">
        <v>6112</v>
      </c>
      <c r="L2" s="299" t="s">
        <v>6113</v>
      </c>
      <c r="M2" s="9"/>
      <c r="N2" s="300" t="s">
        <v>6114</v>
      </c>
      <c r="O2" s="300" t="s">
        <v>6112</v>
      </c>
      <c r="P2" s="301"/>
      <c r="Q2" s="301"/>
      <c r="R2" s="301"/>
      <c r="S2" s="301"/>
      <c r="T2" s="301"/>
      <c r="U2" s="301"/>
      <c r="V2" s="301"/>
      <c r="W2" s="301"/>
      <c r="X2" s="301"/>
      <c r="Y2" s="301"/>
      <c r="Z2" s="301"/>
    </row>
    <row r="3" ht="14.25" customHeight="1">
      <c r="A3" s="183"/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302" t="s">
        <v>59</v>
      </c>
      <c r="M3" s="303" t="s">
        <v>178</v>
      </c>
      <c r="N3" s="183"/>
      <c r="O3" s="183"/>
    </row>
    <row r="4" ht="14.25" customHeight="1">
      <c r="A4" s="304"/>
      <c r="B4" s="305" t="s">
        <v>6115</v>
      </c>
      <c r="C4" s="178"/>
      <c r="D4" s="178"/>
      <c r="E4" s="178"/>
      <c r="F4" s="9"/>
      <c r="G4" s="306"/>
      <c r="H4" s="306"/>
      <c r="I4" s="307"/>
      <c r="J4" s="304"/>
      <c r="K4" s="304"/>
      <c r="L4" s="302"/>
      <c r="M4" s="303"/>
      <c r="N4" s="304"/>
      <c r="O4" s="304"/>
    </row>
    <row r="5" ht="14.25" customHeight="1">
      <c r="A5" s="308">
        <v>1.0</v>
      </c>
      <c r="B5" s="164" t="s">
        <v>92</v>
      </c>
      <c r="C5" s="164" t="s">
        <v>434</v>
      </c>
      <c r="D5" s="164" t="s">
        <v>435</v>
      </c>
      <c r="E5" s="309" t="s">
        <v>102</v>
      </c>
      <c r="F5" s="310" t="s">
        <v>436</v>
      </c>
      <c r="G5" s="310" t="s">
        <v>57</v>
      </c>
      <c r="H5" s="311">
        <v>38322.0</v>
      </c>
      <c r="I5" s="310" t="s">
        <v>59</v>
      </c>
      <c r="J5" s="139">
        <v>30720.41</v>
      </c>
      <c r="K5" s="139">
        <f t="shared" ref="K5:K6" si="1">J5*12/365</f>
        <v>1009.986082</v>
      </c>
      <c r="L5" s="312">
        <f>35*365/12+0.01</f>
        <v>1064.593333</v>
      </c>
      <c r="M5" s="312"/>
      <c r="N5" s="312">
        <f t="shared" ref="N5:N6" si="2">SUM(J5+L5+M5)</f>
        <v>31785.00333</v>
      </c>
      <c r="O5" s="312">
        <f t="shared" ref="O5:O6" si="3">N5*12/365</f>
        <v>1044.986411</v>
      </c>
    </row>
    <row r="6" ht="14.25" customHeight="1">
      <c r="A6" s="308">
        <f>+A5+1</f>
        <v>2</v>
      </c>
      <c r="B6" s="164" t="s">
        <v>461</v>
      </c>
      <c r="C6" s="164" t="s">
        <v>462</v>
      </c>
      <c r="D6" s="164" t="s">
        <v>463</v>
      </c>
      <c r="E6" s="309" t="s">
        <v>308</v>
      </c>
      <c r="F6" s="310" t="s">
        <v>6116</v>
      </c>
      <c r="G6" s="310" t="s">
        <v>57</v>
      </c>
      <c r="H6" s="311">
        <v>45474.0</v>
      </c>
      <c r="I6" s="310" t="s">
        <v>59</v>
      </c>
      <c r="J6" s="139">
        <v>40000.0</v>
      </c>
      <c r="K6" s="139">
        <f t="shared" si="1"/>
        <v>1315.068493</v>
      </c>
      <c r="L6" s="312"/>
      <c r="M6" s="312"/>
      <c r="N6" s="312">
        <f t="shared" si="2"/>
        <v>40000</v>
      </c>
      <c r="O6" s="312">
        <f t="shared" si="3"/>
        <v>1315.068493</v>
      </c>
    </row>
    <row r="7" ht="14.25" customHeight="1">
      <c r="A7" s="308"/>
      <c r="B7" s="305" t="s">
        <v>6117</v>
      </c>
      <c r="C7" s="178"/>
      <c r="D7" s="178"/>
      <c r="E7" s="178"/>
      <c r="F7" s="9"/>
      <c r="G7" s="310"/>
      <c r="H7" s="311"/>
      <c r="I7" s="310"/>
      <c r="J7" s="139"/>
      <c r="K7" s="139"/>
      <c r="L7" s="312"/>
      <c r="M7" s="312"/>
      <c r="N7" s="312"/>
      <c r="O7" s="312"/>
    </row>
    <row r="8" ht="14.25" customHeight="1">
      <c r="A8" s="308">
        <f>+A6+1</f>
        <v>3</v>
      </c>
      <c r="B8" s="164" t="s">
        <v>447</v>
      </c>
      <c r="C8" s="164" t="s">
        <v>448</v>
      </c>
      <c r="D8" s="164" t="s">
        <v>449</v>
      </c>
      <c r="E8" s="309" t="s">
        <v>450</v>
      </c>
      <c r="F8" s="310" t="s">
        <v>95</v>
      </c>
      <c r="G8" s="310" t="s">
        <v>57</v>
      </c>
      <c r="H8" s="311">
        <v>39356.0</v>
      </c>
      <c r="I8" s="310" t="s">
        <v>59</v>
      </c>
      <c r="J8" s="139">
        <v>20920.41</v>
      </c>
      <c r="K8" s="139">
        <f t="shared" ref="K8:K12" si="4">J8*12/365</f>
        <v>687.7943014</v>
      </c>
      <c r="L8" s="312">
        <f t="shared" ref="L8:L12" si="5">35*365/12+0.01</f>
        <v>1064.593333</v>
      </c>
      <c r="M8" s="312"/>
      <c r="N8" s="312">
        <f t="shared" ref="N8:N12" si="6">SUM(J8+L8+M8)</f>
        <v>21985.00333</v>
      </c>
      <c r="O8" s="312">
        <f t="shared" ref="O8:O12" si="7">N8*12/365</f>
        <v>722.7946301</v>
      </c>
    </row>
    <row r="9" ht="14.25" customHeight="1">
      <c r="A9" s="308">
        <f t="shared" ref="A9:A12" si="8">+A8+1</f>
        <v>4</v>
      </c>
      <c r="B9" s="164" t="s">
        <v>475</v>
      </c>
      <c r="C9" s="86" t="s">
        <v>476</v>
      </c>
      <c r="D9" s="86" t="s">
        <v>477</v>
      </c>
      <c r="E9" s="309" t="s">
        <v>81</v>
      </c>
      <c r="F9" s="310" t="s">
        <v>478</v>
      </c>
      <c r="G9" s="310" t="s">
        <v>57</v>
      </c>
      <c r="H9" s="311">
        <v>40463.0</v>
      </c>
      <c r="I9" s="310" t="s">
        <v>59</v>
      </c>
      <c r="J9" s="139">
        <v>21036.41</v>
      </c>
      <c r="K9" s="139">
        <f t="shared" si="4"/>
        <v>691.608</v>
      </c>
      <c r="L9" s="312">
        <f t="shared" si="5"/>
        <v>1064.593333</v>
      </c>
      <c r="M9" s="312"/>
      <c r="N9" s="312">
        <f t="shared" si="6"/>
        <v>22101.00333</v>
      </c>
      <c r="O9" s="312">
        <f t="shared" si="7"/>
        <v>726.6083288</v>
      </c>
    </row>
    <row r="10" ht="14.25" customHeight="1">
      <c r="A10" s="308">
        <f t="shared" si="8"/>
        <v>5</v>
      </c>
      <c r="B10" s="164" t="s">
        <v>489</v>
      </c>
      <c r="C10" s="164" t="s">
        <v>490</v>
      </c>
      <c r="D10" s="164" t="s">
        <v>491</v>
      </c>
      <c r="E10" s="309" t="s">
        <v>81</v>
      </c>
      <c r="F10" s="310" t="s">
        <v>492</v>
      </c>
      <c r="G10" s="310" t="s">
        <v>57</v>
      </c>
      <c r="H10" s="311">
        <v>41589.0</v>
      </c>
      <c r="I10" s="310" t="s">
        <v>59</v>
      </c>
      <c r="J10" s="139">
        <v>20720.41</v>
      </c>
      <c r="K10" s="139">
        <f t="shared" si="4"/>
        <v>681.2189589</v>
      </c>
      <c r="L10" s="312">
        <f t="shared" si="5"/>
        <v>1064.593333</v>
      </c>
      <c r="M10" s="312"/>
      <c r="N10" s="312">
        <f t="shared" si="6"/>
        <v>21785.00333</v>
      </c>
      <c r="O10" s="312">
        <f t="shared" si="7"/>
        <v>716.2192877</v>
      </c>
    </row>
    <row r="11" ht="14.25" customHeight="1">
      <c r="A11" s="308">
        <f t="shared" si="8"/>
        <v>6</v>
      </c>
      <c r="B11" s="164" t="s">
        <v>519</v>
      </c>
      <c r="C11" s="164" t="s">
        <v>520</v>
      </c>
      <c r="D11" s="164" t="s">
        <v>521</v>
      </c>
      <c r="E11" s="309" t="s">
        <v>394</v>
      </c>
      <c r="F11" s="310" t="s">
        <v>522</v>
      </c>
      <c r="G11" s="310" t="s">
        <v>57</v>
      </c>
      <c r="H11" s="311">
        <v>43283.0</v>
      </c>
      <c r="I11" s="310" t="s">
        <v>59</v>
      </c>
      <c r="J11" s="139">
        <v>23220.41</v>
      </c>
      <c r="K11" s="139">
        <f t="shared" si="4"/>
        <v>763.4107397</v>
      </c>
      <c r="L11" s="312">
        <f t="shared" si="5"/>
        <v>1064.593333</v>
      </c>
      <c r="M11" s="312"/>
      <c r="N11" s="312">
        <f t="shared" si="6"/>
        <v>24285.00333</v>
      </c>
      <c r="O11" s="312">
        <f t="shared" si="7"/>
        <v>798.4110685</v>
      </c>
    </row>
    <row r="12" ht="14.25" customHeight="1">
      <c r="A12" s="308">
        <f t="shared" si="8"/>
        <v>7</v>
      </c>
      <c r="B12" s="86" t="s">
        <v>740</v>
      </c>
      <c r="C12" s="86" t="s">
        <v>741</v>
      </c>
      <c r="D12" s="86" t="s">
        <v>742</v>
      </c>
      <c r="E12" s="309" t="s">
        <v>379</v>
      </c>
      <c r="F12" s="310" t="s">
        <v>743</v>
      </c>
      <c r="G12" s="310" t="s">
        <v>57</v>
      </c>
      <c r="H12" s="311">
        <v>44896.0</v>
      </c>
      <c r="I12" s="310" t="s">
        <v>59</v>
      </c>
      <c r="J12" s="139">
        <v>20716.66</v>
      </c>
      <c r="K12" s="139">
        <f t="shared" si="4"/>
        <v>681.0956712</v>
      </c>
      <c r="L12" s="312">
        <f t="shared" si="5"/>
        <v>1064.593333</v>
      </c>
      <c r="M12" s="312"/>
      <c r="N12" s="312">
        <f t="shared" si="6"/>
        <v>21781.25333</v>
      </c>
      <c r="O12" s="312">
        <f t="shared" si="7"/>
        <v>716.096</v>
      </c>
    </row>
    <row r="13" ht="14.25" customHeight="1">
      <c r="A13" s="308"/>
      <c r="B13" s="305" t="s">
        <v>6118</v>
      </c>
      <c r="C13" s="178"/>
      <c r="D13" s="178"/>
      <c r="E13" s="178"/>
      <c r="F13" s="9"/>
      <c r="G13" s="310"/>
      <c r="H13" s="311"/>
      <c r="I13" s="310"/>
      <c r="J13" s="139"/>
      <c r="K13" s="139"/>
      <c r="L13" s="312"/>
      <c r="M13" s="312"/>
      <c r="N13" s="312"/>
      <c r="O13" s="312"/>
    </row>
    <row r="14" ht="14.25" customHeight="1">
      <c r="A14" s="308">
        <f>+A12+1</f>
        <v>8</v>
      </c>
      <c r="B14" s="164" t="s">
        <v>504</v>
      </c>
      <c r="C14" s="164" t="s">
        <v>505</v>
      </c>
      <c r="D14" s="164" t="s">
        <v>506</v>
      </c>
      <c r="E14" s="309" t="s">
        <v>54</v>
      </c>
      <c r="F14" s="310" t="s">
        <v>507</v>
      </c>
      <c r="G14" s="310" t="s">
        <v>57</v>
      </c>
      <c r="H14" s="311">
        <v>42302.0</v>
      </c>
      <c r="I14" s="310" t="s">
        <v>59</v>
      </c>
      <c r="J14" s="139">
        <v>20280.41</v>
      </c>
      <c r="K14" s="139">
        <f>J14*12/365</f>
        <v>666.7532055</v>
      </c>
      <c r="L14" s="312">
        <f>35*365/12+0.01</f>
        <v>1064.593333</v>
      </c>
      <c r="M14" s="312"/>
      <c r="N14" s="312">
        <f>SUM(J14+L14+M14)</f>
        <v>21345.00333</v>
      </c>
      <c r="O14" s="312">
        <f>N14*12/365</f>
        <v>701.7535342</v>
      </c>
    </row>
    <row r="15" ht="14.25" customHeight="1">
      <c r="A15" s="308"/>
      <c r="B15" s="305" t="s">
        <v>6119</v>
      </c>
      <c r="C15" s="178"/>
      <c r="D15" s="178"/>
      <c r="E15" s="178"/>
      <c r="F15" s="9"/>
      <c r="G15" s="310"/>
      <c r="H15" s="311"/>
      <c r="I15" s="310"/>
      <c r="J15" s="139"/>
      <c r="K15" s="139"/>
      <c r="L15" s="312"/>
      <c r="M15" s="312"/>
      <c r="N15" s="312"/>
      <c r="O15" s="312"/>
    </row>
    <row r="16" ht="14.25" customHeight="1">
      <c r="A16" s="308">
        <f>+A14+1</f>
        <v>9</v>
      </c>
      <c r="B16" s="164" t="s">
        <v>547</v>
      </c>
      <c r="C16" s="164" t="s">
        <v>548</v>
      </c>
      <c r="D16" s="164" t="s">
        <v>549</v>
      </c>
      <c r="E16" s="309" t="s">
        <v>308</v>
      </c>
      <c r="F16" s="310" t="s">
        <v>550</v>
      </c>
      <c r="G16" s="310" t="s">
        <v>57</v>
      </c>
      <c r="H16" s="311">
        <v>44410.0</v>
      </c>
      <c r="I16" s="310" t="s">
        <v>59</v>
      </c>
      <c r="J16" s="139">
        <v>20120.6</v>
      </c>
      <c r="K16" s="139">
        <f t="shared" ref="K16:K18" si="9">J16*12/365</f>
        <v>661.4991781</v>
      </c>
      <c r="L16" s="312">
        <f t="shared" ref="L16:L18" si="10">35*365/12+0.01</f>
        <v>1064.593333</v>
      </c>
      <c r="M16" s="312"/>
      <c r="N16" s="312">
        <f t="shared" ref="N16:N18" si="11">SUM(J16+L16+M16)</f>
        <v>21185.19333</v>
      </c>
      <c r="O16" s="312">
        <f t="shared" ref="O16:O18" si="12">N16*12/365</f>
        <v>696.4995068</v>
      </c>
    </row>
    <row r="17" ht="14.25" customHeight="1">
      <c r="A17" s="308">
        <f t="shared" ref="A17:A18" si="13">+A16+1</f>
        <v>10</v>
      </c>
      <c r="B17" s="164" t="s">
        <v>824</v>
      </c>
      <c r="C17" s="164" t="s">
        <v>825</v>
      </c>
      <c r="D17" s="164" t="s">
        <v>826</v>
      </c>
      <c r="E17" s="309" t="s">
        <v>87</v>
      </c>
      <c r="F17" s="310" t="s">
        <v>550</v>
      </c>
      <c r="G17" s="310" t="s">
        <v>57</v>
      </c>
      <c r="H17" s="311">
        <v>45224.0</v>
      </c>
      <c r="I17" s="310" t="s">
        <v>59</v>
      </c>
      <c r="J17" s="139">
        <v>19481.87</v>
      </c>
      <c r="K17" s="139">
        <f t="shared" si="9"/>
        <v>640.4998356</v>
      </c>
      <c r="L17" s="312">
        <f t="shared" si="10"/>
        <v>1064.593333</v>
      </c>
      <c r="M17" s="312"/>
      <c r="N17" s="312">
        <f t="shared" si="11"/>
        <v>20546.46333</v>
      </c>
      <c r="O17" s="312">
        <f t="shared" si="12"/>
        <v>675.5001644</v>
      </c>
    </row>
    <row r="18" ht="14.25" customHeight="1">
      <c r="A18" s="308">
        <f t="shared" si="13"/>
        <v>11</v>
      </c>
      <c r="B18" s="164" t="s">
        <v>6120</v>
      </c>
      <c r="C18" s="164" t="s">
        <v>6121</v>
      </c>
      <c r="D18" s="164" t="s">
        <v>6122</v>
      </c>
      <c r="E18" s="309" t="s">
        <v>54</v>
      </c>
      <c r="F18" s="310" t="s">
        <v>550</v>
      </c>
      <c r="G18" s="310" t="s">
        <v>57</v>
      </c>
      <c r="H18" s="311">
        <v>45482.0</v>
      </c>
      <c r="I18" s="310" t="s">
        <v>59</v>
      </c>
      <c r="J18" s="139">
        <v>18554.16</v>
      </c>
      <c r="K18" s="139">
        <f t="shared" si="9"/>
        <v>609.9997808</v>
      </c>
      <c r="L18" s="312">
        <f t="shared" si="10"/>
        <v>1064.593333</v>
      </c>
      <c r="M18" s="312"/>
      <c r="N18" s="312">
        <f t="shared" si="11"/>
        <v>19618.75333</v>
      </c>
      <c r="O18" s="312">
        <f t="shared" si="12"/>
        <v>645.0001096</v>
      </c>
      <c r="P18" s="313"/>
    </row>
    <row r="19" ht="14.25" customHeight="1">
      <c r="A19" s="308"/>
      <c r="B19" s="305" t="s">
        <v>6123</v>
      </c>
      <c r="C19" s="178"/>
      <c r="D19" s="178"/>
      <c r="E19" s="178"/>
      <c r="F19" s="9"/>
      <c r="G19" s="310"/>
      <c r="H19" s="311"/>
      <c r="I19" s="310"/>
      <c r="J19" s="139"/>
      <c r="K19" s="139"/>
      <c r="L19" s="312"/>
      <c r="M19" s="312"/>
      <c r="N19" s="312"/>
      <c r="O19" s="312"/>
    </row>
    <row r="20" ht="14.25" customHeight="1">
      <c r="A20" s="308">
        <f>+A18+1</f>
        <v>12</v>
      </c>
      <c r="B20" s="164" t="s">
        <v>532</v>
      </c>
      <c r="C20" s="164" t="s">
        <v>533</v>
      </c>
      <c r="D20" s="164" t="s">
        <v>534</v>
      </c>
      <c r="E20" s="309" t="s">
        <v>535</v>
      </c>
      <c r="F20" s="309" t="s">
        <v>536</v>
      </c>
      <c r="G20" s="310" t="s">
        <v>57</v>
      </c>
      <c r="H20" s="311">
        <v>43505.0</v>
      </c>
      <c r="I20" s="310" t="s">
        <v>59</v>
      </c>
      <c r="J20" s="139">
        <v>20070.41</v>
      </c>
      <c r="K20" s="139">
        <f>J20*12/365</f>
        <v>659.8490959</v>
      </c>
      <c r="L20" s="312">
        <f>35*365/12+0.01</f>
        <v>1064.593333</v>
      </c>
      <c r="M20" s="312"/>
      <c r="N20" s="312">
        <f>SUM(J20+L20+M20)</f>
        <v>21135.00333</v>
      </c>
      <c r="O20" s="312">
        <f>N20*12/365</f>
        <v>694.8494247</v>
      </c>
    </row>
    <row r="21" ht="14.25" customHeight="1">
      <c r="A21" s="308"/>
      <c r="B21" s="305" t="s">
        <v>6124</v>
      </c>
      <c r="C21" s="178"/>
      <c r="D21" s="178"/>
      <c r="E21" s="178"/>
      <c r="F21" s="9"/>
      <c r="G21" s="310"/>
      <c r="H21" s="311"/>
      <c r="I21" s="310"/>
      <c r="J21" s="139"/>
      <c r="K21" s="139"/>
      <c r="L21" s="312"/>
      <c r="M21" s="312"/>
      <c r="N21" s="312"/>
      <c r="O21" s="312"/>
    </row>
    <row r="22" ht="14.25" customHeight="1">
      <c r="A22" s="308">
        <f>+A20+1</f>
        <v>13</v>
      </c>
      <c r="B22" s="164" t="s">
        <v>624</v>
      </c>
      <c r="C22" s="164" t="s">
        <v>625</v>
      </c>
      <c r="D22" s="164" t="s">
        <v>626</v>
      </c>
      <c r="E22" s="309" t="s">
        <v>132</v>
      </c>
      <c r="F22" s="310" t="s">
        <v>133</v>
      </c>
      <c r="G22" s="310" t="s">
        <v>57</v>
      </c>
      <c r="H22" s="311">
        <v>44697.0</v>
      </c>
      <c r="I22" s="310" t="s">
        <v>59</v>
      </c>
      <c r="J22" s="139">
        <v>20320.41</v>
      </c>
      <c r="K22" s="139">
        <f t="shared" ref="K22:K26" si="14">J22*12/365</f>
        <v>668.068274</v>
      </c>
      <c r="L22" s="312">
        <f t="shared" ref="L22:L26" si="15">35*365/12+0.01</f>
        <v>1064.593333</v>
      </c>
      <c r="M22" s="312"/>
      <c r="N22" s="312">
        <f t="shared" ref="N22:N27" si="16">SUM(J22+L22+M22)</f>
        <v>21385.00333</v>
      </c>
      <c r="O22" s="312">
        <f t="shared" ref="O22:O26" si="17">N22*12/365</f>
        <v>703.0686027</v>
      </c>
    </row>
    <row r="23" ht="14.25" customHeight="1">
      <c r="A23" s="308">
        <f t="shared" ref="A23:A27" si="18">+A22+1</f>
        <v>14</v>
      </c>
      <c r="B23" s="164" t="s">
        <v>588</v>
      </c>
      <c r="C23" s="164" t="s">
        <v>589</v>
      </c>
      <c r="D23" s="164" t="s">
        <v>590</v>
      </c>
      <c r="E23" s="309" t="s">
        <v>54</v>
      </c>
      <c r="F23" s="310" t="s">
        <v>591</v>
      </c>
      <c r="G23" s="310" t="s">
        <v>57</v>
      </c>
      <c r="H23" s="311">
        <v>44697.0</v>
      </c>
      <c r="I23" s="310" t="s">
        <v>59</v>
      </c>
      <c r="J23" s="139">
        <v>19420.41</v>
      </c>
      <c r="K23" s="139">
        <f t="shared" si="14"/>
        <v>638.4792329</v>
      </c>
      <c r="L23" s="312">
        <f t="shared" si="15"/>
        <v>1064.593333</v>
      </c>
      <c r="M23" s="312"/>
      <c r="N23" s="312">
        <f t="shared" si="16"/>
        <v>20485.00333</v>
      </c>
      <c r="O23" s="312">
        <f t="shared" si="17"/>
        <v>673.4795616</v>
      </c>
    </row>
    <row r="24" ht="14.25" customHeight="1">
      <c r="A24" s="308">
        <f t="shared" si="18"/>
        <v>15</v>
      </c>
      <c r="B24" s="164" t="s">
        <v>600</v>
      </c>
      <c r="C24" s="164" t="s">
        <v>601</v>
      </c>
      <c r="D24" s="164" t="s">
        <v>602</v>
      </c>
      <c r="E24" s="309" t="s">
        <v>93</v>
      </c>
      <c r="F24" s="310" t="s">
        <v>160</v>
      </c>
      <c r="G24" s="310" t="s">
        <v>57</v>
      </c>
      <c r="H24" s="311">
        <v>44697.0</v>
      </c>
      <c r="I24" s="310" t="s">
        <v>59</v>
      </c>
      <c r="J24" s="139">
        <v>20420.41</v>
      </c>
      <c r="K24" s="139">
        <f t="shared" si="14"/>
        <v>671.3559452</v>
      </c>
      <c r="L24" s="312">
        <f t="shared" si="15"/>
        <v>1064.593333</v>
      </c>
      <c r="M24" s="312"/>
      <c r="N24" s="312">
        <f t="shared" si="16"/>
        <v>21485.00333</v>
      </c>
      <c r="O24" s="312">
        <f t="shared" si="17"/>
        <v>706.356274</v>
      </c>
    </row>
    <row r="25" ht="14.25" customHeight="1">
      <c r="A25" s="308">
        <f t="shared" si="18"/>
        <v>16</v>
      </c>
      <c r="B25" s="164" t="s">
        <v>574</v>
      </c>
      <c r="C25" s="164" t="s">
        <v>575</v>
      </c>
      <c r="D25" s="164" t="s">
        <v>576</v>
      </c>
      <c r="E25" s="309" t="s">
        <v>379</v>
      </c>
      <c r="F25" s="310" t="s">
        <v>577</v>
      </c>
      <c r="G25" s="310" t="s">
        <v>57</v>
      </c>
      <c r="H25" s="311">
        <v>44697.0</v>
      </c>
      <c r="I25" s="310" t="s">
        <v>59</v>
      </c>
      <c r="J25" s="139">
        <v>19370.41</v>
      </c>
      <c r="K25" s="139">
        <f t="shared" si="14"/>
        <v>636.8353973</v>
      </c>
      <c r="L25" s="312">
        <f t="shared" si="15"/>
        <v>1064.593333</v>
      </c>
      <c r="M25" s="312"/>
      <c r="N25" s="312">
        <f t="shared" si="16"/>
        <v>20435.00333</v>
      </c>
      <c r="O25" s="312">
        <f t="shared" si="17"/>
        <v>671.835726</v>
      </c>
    </row>
    <row r="26" ht="14.25" customHeight="1">
      <c r="A26" s="308">
        <f t="shared" si="18"/>
        <v>17</v>
      </c>
      <c r="B26" s="86" t="s">
        <v>730</v>
      </c>
      <c r="C26" s="86" t="s">
        <v>731</v>
      </c>
      <c r="D26" s="86" t="s">
        <v>732</v>
      </c>
      <c r="E26" s="310" t="s">
        <v>217</v>
      </c>
      <c r="F26" s="310" t="s">
        <v>577</v>
      </c>
      <c r="G26" s="310" t="s">
        <v>57</v>
      </c>
      <c r="H26" s="311">
        <v>44768.0</v>
      </c>
      <c r="I26" s="310" t="s">
        <v>59</v>
      </c>
      <c r="J26" s="139">
        <v>19370.41</v>
      </c>
      <c r="K26" s="139">
        <f t="shared" si="14"/>
        <v>636.8353973</v>
      </c>
      <c r="L26" s="312">
        <f t="shared" si="15"/>
        <v>1064.593333</v>
      </c>
      <c r="M26" s="312"/>
      <c r="N26" s="312">
        <f t="shared" si="16"/>
        <v>20435.00333</v>
      </c>
      <c r="O26" s="312">
        <f t="shared" si="17"/>
        <v>671.835726</v>
      </c>
    </row>
    <row r="27" ht="15.0" customHeight="1">
      <c r="A27" s="308">
        <f t="shared" si="18"/>
        <v>18</v>
      </c>
      <c r="B27" s="164" t="s">
        <v>847</v>
      </c>
      <c r="C27" s="86" t="s">
        <v>52</v>
      </c>
      <c r="D27" s="86" t="s">
        <v>477</v>
      </c>
      <c r="E27" s="309" t="s">
        <v>81</v>
      </c>
      <c r="F27" s="310" t="s">
        <v>1059</v>
      </c>
      <c r="G27" s="310" t="s">
        <v>16</v>
      </c>
      <c r="H27" s="311">
        <v>45420.0</v>
      </c>
      <c r="I27" s="310" t="s">
        <v>178</v>
      </c>
      <c r="J27" s="139">
        <v>20000.0</v>
      </c>
      <c r="K27" s="139">
        <f>J27*12/313</f>
        <v>766.7731629</v>
      </c>
      <c r="L27" s="312"/>
      <c r="M27" s="312"/>
      <c r="N27" s="312">
        <f t="shared" si="16"/>
        <v>20000</v>
      </c>
      <c r="O27" s="312">
        <f>N27*12/313</f>
        <v>766.7731629</v>
      </c>
    </row>
    <row r="28" ht="14.25" customHeight="1">
      <c r="A28" s="308"/>
      <c r="B28" s="305" t="s">
        <v>6125</v>
      </c>
      <c r="C28" s="178"/>
      <c r="D28" s="178"/>
      <c r="E28" s="178"/>
      <c r="F28" s="9"/>
      <c r="G28" s="310"/>
      <c r="H28" s="311"/>
      <c r="I28" s="310"/>
      <c r="J28" s="139"/>
      <c r="K28" s="139"/>
      <c r="L28" s="312"/>
      <c r="M28" s="312"/>
      <c r="N28" s="312"/>
      <c r="O28" s="312"/>
    </row>
    <row r="29" ht="14.25" customHeight="1">
      <c r="A29" s="308">
        <f>+A27+1</f>
        <v>19</v>
      </c>
      <c r="B29" s="86" t="s">
        <v>558</v>
      </c>
      <c r="C29" s="132" t="s">
        <v>559</v>
      </c>
      <c r="D29" s="86" t="s">
        <v>560</v>
      </c>
      <c r="E29" s="310" t="s">
        <v>132</v>
      </c>
      <c r="F29" s="310" t="s">
        <v>561</v>
      </c>
      <c r="G29" s="310" t="s">
        <v>57</v>
      </c>
      <c r="H29" s="311">
        <v>44685.0</v>
      </c>
      <c r="I29" s="310" t="s">
        <v>59</v>
      </c>
      <c r="J29" s="139">
        <v>18554.16</v>
      </c>
      <c r="K29" s="139">
        <f t="shared" ref="K29:K40" si="19">J29*12/365</f>
        <v>609.9997808</v>
      </c>
      <c r="L29" s="312">
        <f t="shared" ref="L29:L40" si="20">35*365/12+0.01</f>
        <v>1064.593333</v>
      </c>
      <c r="M29" s="312"/>
      <c r="N29" s="312">
        <f t="shared" ref="N29:N40" si="21">SUM(J29+L29+M29)</f>
        <v>19618.75333</v>
      </c>
      <c r="O29" s="312">
        <f t="shared" ref="O29:O40" si="22">N29*12/365</f>
        <v>645.0001096</v>
      </c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4.25" customHeight="1">
      <c r="A30" s="308">
        <f t="shared" ref="A30:A40" si="23">+A29+1</f>
        <v>20</v>
      </c>
      <c r="B30" s="164" t="s">
        <v>405</v>
      </c>
      <c r="C30" s="164" t="s">
        <v>612</v>
      </c>
      <c r="D30" s="164" t="s">
        <v>613</v>
      </c>
      <c r="E30" s="309" t="s">
        <v>217</v>
      </c>
      <c r="F30" s="310" t="s">
        <v>614</v>
      </c>
      <c r="G30" s="310" t="s">
        <v>57</v>
      </c>
      <c r="H30" s="311">
        <v>44697.0</v>
      </c>
      <c r="I30" s="310" t="s">
        <v>59</v>
      </c>
      <c r="J30" s="139">
        <v>18554.16</v>
      </c>
      <c r="K30" s="139">
        <f t="shared" si="19"/>
        <v>609.9997808</v>
      </c>
      <c r="L30" s="312">
        <f t="shared" si="20"/>
        <v>1064.593333</v>
      </c>
      <c r="M30" s="312"/>
      <c r="N30" s="312">
        <f t="shared" si="21"/>
        <v>19618.75333</v>
      </c>
      <c r="O30" s="312">
        <f t="shared" si="22"/>
        <v>645.0001096</v>
      </c>
    </row>
    <row r="31" ht="14.25" customHeight="1">
      <c r="A31" s="308">
        <f t="shared" si="23"/>
        <v>21</v>
      </c>
      <c r="B31" s="164" t="s">
        <v>636</v>
      </c>
      <c r="C31" s="164" t="s">
        <v>637</v>
      </c>
      <c r="D31" s="164" t="s">
        <v>638</v>
      </c>
      <c r="E31" s="309" t="s">
        <v>132</v>
      </c>
      <c r="F31" s="310" t="s">
        <v>639</v>
      </c>
      <c r="G31" s="310" t="s">
        <v>57</v>
      </c>
      <c r="H31" s="311">
        <v>44697.0</v>
      </c>
      <c r="I31" s="310" t="s">
        <v>59</v>
      </c>
      <c r="J31" s="139">
        <v>18554.16</v>
      </c>
      <c r="K31" s="139">
        <f t="shared" si="19"/>
        <v>609.9997808</v>
      </c>
      <c r="L31" s="312">
        <f t="shared" si="20"/>
        <v>1064.593333</v>
      </c>
      <c r="M31" s="312"/>
      <c r="N31" s="312">
        <f t="shared" si="21"/>
        <v>19618.75333</v>
      </c>
      <c r="O31" s="312">
        <f t="shared" si="22"/>
        <v>645.0001096</v>
      </c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4.25" customHeight="1">
      <c r="A32" s="308">
        <f t="shared" si="23"/>
        <v>22</v>
      </c>
      <c r="B32" s="164" t="s">
        <v>649</v>
      </c>
      <c r="C32" s="86" t="s">
        <v>650</v>
      </c>
      <c r="D32" s="86" t="s">
        <v>359</v>
      </c>
      <c r="E32" s="309" t="s">
        <v>54</v>
      </c>
      <c r="F32" s="310" t="s">
        <v>651</v>
      </c>
      <c r="G32" s="310" t="s">
        <v>57</v>
      </c>
      <c r="H32" s="311">
        <v>44697.0</v>
      </c>
      <c r="I32" s="310" t="s">
        <v>59</v>
      </c>
      <c r="J32" s="139">
        <v>18554.16</v>
      </c>
      <c r="K32" s="139">
        <f t="shared" si="19"/>
        <v>609.9997808</v>
      </c>
      <c r="L32" s="312">
        <f t="shared" si="20"/>
        <v>1064.593333</v>
      </c>
      <c r="M32" s="312"/>
      <c r="N32" s="312">
        <f t="shared" si="21"/>
        <v>19618.75333</v>
      </c>
      <c r="O32" s="312">
        <f t="shared" si="22"/>
        <v>645.0001096</v>
      </c>
    </row>
    <row r="33" ht="14.25" customHeight="1">
      <c r="A33" s="308">
        <f t="shared" si="23"/>
        <v>23</v>
      </c>
      <c r="B33" s="164" t="s">
        <v>664</v>
      </c>
      <c r="C33" s="86" t="s">
        <v>665</v>
      </c>
      <c r="D33" s="86" t="s">
        <v>86</v>
      </c>
      <c r="E33" s="309" t="s">
        <v>87</v>
      </c>
      <c r="F33" s="310" t="s">
        <v>666</v>
      </c>
      <c r="G33" s="310" t="s">
        <v>57</v>
      </c>
      <c r="H33" s="311">
        <v>44697.0</v>
      </c>
      <c r="I33" s="310" t="s">
        <v>59</v>
      </c>
      <c r="J33" s="139">
        <v>18554.16</v>
      </c>
      <c r="K33" s="139">
        <f t="shared" si="19"/>
        <v>609.9997808</v>
      </c>
      <c r="L33" s="312">
        <f t="shared" si="20"/>
        <v>1064.593333</v>
      </c>
      <c r="M33" s="312"/>
      <c r="N33" s="312">
        <f t="shared" si="21"/>
        <v>19618.75333</v>
      </c>
      <c r="O33" s="312">
        <f t="shared" si="22"/>
        <v>645.0001096</v>
      </c>
    </row>
    <row r="34" ht="14.25" customHeight="1">
      <c r="A34" s="308">
        <f t="shared" si="23"/>
        <v>24</v>
      </c>
      <c r="B34" s="164" t="s">
        <v>688</v>
      </c>
      <c r="C34" s="164" t="s">
        <v>689</v>
      </c>
      <c r="D34" s="164" t="s">
        <v>690</v>
      </c>
      <c r="E34" s="309" t="s">
        <v>93</v>
      </c>
      <c r="F34" s="310" t="s">
        <v>691</v>
      </c>
      <c r="G34" s="310" t="s">
        <v>57</v>
      </c>
      <c r="H34" s="311">
        <v>44697.0</v>
      </c>
      <c r="I34" s="310" t="s">
        <v>59</v>
      </c>
      <c r="J34" s="139">
        <v>18554.16</v>
      </c>
      <c r="K34" s="139">
        <f t="shared" si="19"/>
        <v>609.9997808</v>
      </c>
      <c r="L34" s="312">
        <f t="shared" si="20"/>
        <v>1064.593333</v>
      </c>
      <c r="M34" s="312"/>
      <c r="N34" s="312">
        <f t="shared" si="21"/>
        <v>19618.75333</v>
      </c>
      <c r="O34" s="312">
        <f t="shared" si="22"/>
        <v>645.0001096</v>
      </c>
    </row>
    <row r="35" ht="15.0" customHeight="1">
      <c r="A35" s="308">
        <f t="shared" si="23"/>
        <v>25</v>
      </c>
      <c r="B35" s="86" t="s">
        <v>84</v>
      </c>
      <c r="C35" s="86" t="s">
        <v>702</v>
      </c>
      <c r="D35" s="86" t="s">
        <v>703</v>
      </c>
      <c r="E35" s="309" t="s">
        <v>217</v>
      </c>
      <c r="F35" s="310" t="s">
        <v>704</v>
      </c>
      <c r="G35" s="310" t="s">
        <v>57</v>
      </c>
      <c r="H35" s="311">
        <v>44697.0</v>
      </c>
      <c r="I35" s="310" t="s">
        <v>59</v>
      </c>
      <c r="J35" s="139">
        <v>18554.16</v>
      </c>
      <c r="K35" s="139">
        <f t="shared" si="19"/>
        <v>609.9997808</v>
      </c>
      <c r="L35" s="312">
        <f t="shared" si="20"/>
        <v>1064.593333</v>
      </c>
      <c r="M35" s="312"/>
      <c r="N35" s="312">
        <f t="shared" si="21"/>
        <v>19618.75333</v>
      </c>
      <c r="O35" s="312">
        <f t="shared" si="22"/>
        <v>645.0001096</v>
      </c>
    </row>
    <row r="36" ht="14.25" customHeight="1">
      <c r="A36" s="308">
        <f t="shared" si="23"/>
        <v>26</v>
      </c>
      <c r="B36" s="86" t="s">
        <v>51</v>
      </c>
      <c r="C36" s="86" t="s">
        <v>52</v>
      </c>
      <c r="D36" s="86" t="s">
        <v>53</v>
      </c>
      <c r="E36" s="309" t="s">
        <v>54</v>
      </c>
      <c r="F36" s="310" t="s">
        <v>561</v>
      </c>
      <c r="G36" s="310" t="s">
        <v>57</v>
      </c>
      <c r="H36" s="311">
        <v>44708.0</v>
      </c>
      <c r="I36" s="310" t="s">
        <v>59</v>
      </c>
      <c r="J36" s="139">
        <v>18554.16</v>
      </c>
      <c r="K36" s="139">
        <f t="shared" si="19"/>
        <v>609.9997808</v>
      </c>
      <c r="L36" s="312">
        <f t="shared" si="20"/>
        <v>1064.593333</v>
      </c>
      <c r="M36" s="312"/>
      <c r="N36" s="312">
        <f t="shared" si="21"/>
        <v>19618.75333</v>
      </c>
      <c r="O36" s="312">
        <f t="shared" si="22"/>
        <v>645.0001096</v>
      </c>
    </row>
    <row r="37" ht="14.25" customHeight="1">
      <c r="A37" s="308">
        <f t="shared" si="23"/>
        <v>27</v>
      </c>
      <c r="B37" s="86" t="s">
        <v>1082</v>
      </c>
      <c r="C37" s="86" t="s">
        <v>1083</v>
      </c>
      <c r="D37" s="86" t="s">
        <v>1084</v>
      </c>
      <c r="E37" s="309" t="s">
        <v>77</v>
      </c>
      <c r="F37" s="310" t="s">
        <v>133</v>
      </c>
      <c r="G37" s="310" t="s">
        <v>57</v>
      </c>
      <c r="H37" s="311">
        <v>44790.0</v>
      </c>
      <c r="I37" s="310" t="s">
        <v>59</v>
      </c>
      <c r="J37" s="139">
        <v>18554.16</v>
      </c>
      <c r="K37" s="160">
        <f t="shared" si="19"/>
        <v>609.9997808</v>
      </c>
      <c r="L37" s="312">
        <f t="shared" si="20"/>
        <v>1064.593333</v>
      </c>
      <c r="M37" s="312"/>
      <c r="N37" s="312">
        <f t="shared" si="21"/>
        <v>19618.75333</v>
      </c>
      <c r="O37" s="312">
        <f t="shared" si="22"/>
        <v>645.0001096</v>
      </c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4.25" customHeight="1">
      <c r="A38" s="308">
        <f t="shared" si="23"/>
        <v>28</v>
      </c>
      <c r="B38" s="86" t="s">
        <v>752</v>
      </c>
      <c r="C38" s="86" t="s">
        <v>753</v>
      </c>
      <c r="D38" s="86" t="s">
        <v>754</v>
      </c>
      <c r="E38" s="310" t="s">
        <v>217</v>
      </c>
      <c r="F38" s="310" t="s">
        <v>561</v>
      </c>
      <c r="G38" s="310" t="s">
        <v>57</v>
      </c>
      <c r="H38" s="314">
        <v>44896.0</v>
      </c>
      <c r="I38" s="310" t="s">
        <v>59</v>
      </c>
      <c r="J38" s="139">
        <v>18554.16</v>
      </c>
      <c r="K38" s="139">
        <f t="shared" si="19"/>
        <v>609.9997808</v>
      </c>
      <c r="L38" s="312">
        <f t="shared" si="20"/>
        <v>1064.593333</v>
      </c>
      <c r="M38" s="312"/>
      <c r="N38" s="312">
        <f t="shared" si="21"/>
        <v>19618.75333</v>
      </c>
      <c r="O38" s="312">
        <f t="shared" si="22"/>
        <v>645.0001096</v>
      </c>
    </row>
    <row r="39" ht="14.25" customHeight="1">
      <c r="A39" s="308">
        <f t="shared" si="23"/>
        <v>29</v>
      </c>
      <c r="B39" s="86" t="s">
        <v>779</v>
      </c>
      <c r="C39" s="86" t="s">
        <v>780</v>
      </c>
      <c r="D39" s="86" t="s">
        <v>781</v>
      </c>
      <c r="E39" s="309" t="s">
        <v>217</v>
      </c>
      <c r="F39" s="310" t="s">
        <v>133</v>
      </c>
      <c r="G39" s="310" t="s">
        <v>57</v>
      </c>
      <c r="H39" s="311">
        <v>44946.0</v>
      </c>
      <c r="I39" s="310" t="s">
        <v>59</v>
      </c>
      <c r="J39" s="139">
        <v>18554.16</v>
      </c>
      <c r="K39" s="139">
        <f t="shared" si="19"/>
        <v>609.9997808</v>
      </c>
      <c r="L39" s="312">
        <f t="shared" si="20"/>
        <v>1064.593333</v>
      </c>
      <c r="M39" s="312"/>
      <c r="N39" s="312">
        <f t="shared" si="21"/>
        <v>19618.75333</v>
      </c>
      <c r="O39" s="312">
        <f t="shared" si="22"/>
        <v>645.0001096</v>
      </c>
    </row>
    <row r="40" ht="14.25" customHeight="1">
      <c r="A40" s="308">
        <f t="shared" si="23"/>
        <v>30</v>
      </c>
      <c r="B40" s="86" t="s">
        <v>815</v>
      </c>
      <c r="C40" s="86" t="s">
        <v>816</v>
      </c>
      <c r="D40" s="86" t="s">
        <v>78</v>
      </c>
      <c r="E40" s="309" t="s">
        <v>54</v>
      </c>
      <c r="F40" s="310" t="s">
        <v>133</v>
      </c>
      <c r="G40" s="310" t="s">
        <v>57</v>
      </c>
      <c r="H40" s="311">
        <v>45212.0</v>
      </c>
      <c r="I40" s="310" t="s">
        <v>59</v>
      </c>
      <c r="J40" s="139">
        <v>18554.16</v>
      </c>
      <c r="K40" s="139">
        <f t="shared" si="19"/>
        <v>609.9997808</v>
      </c>
      <c r="L40" s="312">
        <f t="shared" si="20"/>
        <v>1064.593333</v>
      </c>
      <c r="M40" s="312"/>
      <c r="N40" s="312">
        <f t="shared" si="21"/>
        <v>19618.75333</v>
      </c>
      <c r="O40" s="312">
        <f t="shared" si="22"/>
        <v>645.0001096</v>
      </c>
    </row>
    <row r="41" ht="14.25" customHeight="1">
      <c r="A41" s="308"/>
      <c r="B41" s="305" t="s">
        <v>6126</v>
      </c>
      <c r="C41" s="178"/>
      <c r="D41" s="178"/>
      <c r="E41" s="178"/>
      <c r="F41" s="9"/>
      <c r="G41" s="310"/>
      <c r="H41" s="311"/>
      <c r="I41" s="310"/>
      <c r="J41" s="139"/>
      <c r="K41" s="139"/>
      <c r="L41" s="312"/>
      <c r="M41" s="312"/>
      <c r="N41" s="312"/>
      <c r="O41" s="312"/>
    </row>
    <row r="42" ht="14.25" customHeight="1">
      <c r="A42" s="308">
        <f>+A40+1</f>
        <v>31</v>
      </c>
      <c r="B42" s="164" t="s">
        <v>676</v>
      </c>
      <c r="C42" s="86" t="s">
        <v>677</v>
      </c>
      <c r="D42" s="86" t="s">
        <v>678</v>
      </c>
      <c r="E42" s="309" t="s">
        <v>87</v>
      </c>
      <c r="F42" s="310" t="s">
        <v>679</v>
      </c>
      <c r="G42" s="310" t="s">
        <v>57</v>
      </c>
      <c r="H42" s="311">
        <v>44697.0</v>
      </c>
      <c r="I42" s="310" t="s">
        <v>178</v>
      </c>
      <c r="J42" s="139">
        <v>15910.83</v>
      </c>
      <c r="K42" s="139">
        <f t="shared" ref="K42:K47" si="24">J42*12/313</f>
        <v>609.9998722</v>
      </c>
      <c r="L42" s="312"/>
      <c r="M42" s="312">
        <f t="shared" ref="M42:M47" si="25">35*313/12</f>
        <v>912.9166667</v>
      </c>
      <c r="N42" s="312">
        <f t="shared" ref="N42:N47" si="26">SUM(J42+L42+M42)</f>
        <v>16823.74667</v>
      </c>
      <c r="O42" s="312">
        <f t="shared" ref="O42:O47" si="27">N42*12/313</f>
        <v>644.9998722</v>
      </c>
    </row>
    <row r="43" ht="14.25" customHeight="1">
      <c r="A43" s="308">
        <f t="shared" ref="A43:A47" si="28">+A42+1</f>
        <v>32</v>
      </c>
      <c r="B43" s="86" t="s">
        <v>714</v>
      </c>
      <c r="C43" s="86" t="s">
        <v>715</v>
      </c>
      <c r="D43" s="86" t="s">
        <v>716</v>
      </c>
      <c r="E43" s="310" t="s">
        <v>132</v>
      </c>
      <c r="F43" s="310" t="s">
        <v>717</v>
      </c>
      <c r="G43" s="310" t="s">
        <v>57</v>
      </c>
      <c r="H43" s="310">
        <v>44738.0</v>
      </c>
      <c r="I43" s="310" t="s">
        <v>178</v>
      </c>
      <c r="J43" s="139">
        <v>15910.83</v>
      </c>
      <c r="K43" s="160">
        <f t="shared" si="24"/>
        <v>609.9998722</v>
      </c>
      <c r="L43" s="312"/>
      <c r="M43" s="312">
        <f t="shared" si="25"/>
        <v>912.9166667</v>
      </c>
      <c r="N43" s="312">
        <f t="shared" si="26"/>
        <v>16823.74667</v>
      </c>
      <c r="O43" s="312">
        <f t="shared" si="27"/>
        <v>644.9998722</v>
      </c>
    </row>
    <row r="44" ht="14.25" customHeight="1">
      <c r="A44" s="308">
        <f t="shared" si="28"/>
        <v>33</v>
      </c>
      <c r="B44" s="86" t="s">
        <v>319</v>
      </c>
      <c r="C44" s="86" t="s">
        <v>320</v>
      </c>
      <c r="D44" s="86" t="s">
        <v>321</v>
      </c>
      <c r="E44" s="309" t="s">
        <v>132</v>
      </c>
      <c r="F44" s="310" t="s">
        <v>82</v>
      </c>
      <c r="G44" s="310" t="s">
        <v>57</v>
      </c>
      <c r="H44" s="311">
        <v>45252.0</v>
      </c>
      <c r="I44" s="310" t="s">
        <v>178</v>
      </c>
      <c r="J44" s="139">
        <v>15910.83</v>
      </c>
      <c r="K44" s="139">
        <f t="shared" si="24"/>
        <v>609.9998722</v>
      </c>
      <c r="L44" s="312"/>
      <c r="M44" s="312">
        <f t="shared" si="25"/>
        <v>912.9166667</v>
      </c>
      <c r="N44" s="312">
        <f t="shared" si="26"/>
        <v>16823.74667</v>
      </c>
      <c r="O44" s="312">
        <f t="shared" si="27"/>
        <v>644.9998722</v>
      </c>
    </row>
    <row r="45" ht="14.25" customHeight="1">
      <c r="A45" s="308">
        <f t="shared" si="28"/>
        <v>34</v>
      </c>
      <c r="B45" s="86" t="s">
        <v>836</v>
      </c>
      <c r="C45" s="86" t="s">
        <v>837</v>
      </c>
      <c r="D45" s="86" t="s">
        <v>838</v>
      </c>
      <c r="E45" s="309" t="s">
        <v>308</v>
      </c>
      <c r="F45" s="310" t="s">
        <v>82</v>
      </c>
      <c r="G45" s="310" t="s">
        <v>16</v>
      </c>
      <c r="H45" s="311">
        <v>45410.0</v>
      </c>
      <c r="I45" s="310" t="s">
        <v>178</v>
      </c>
      <c r="J45" s="139">
        <v>15910.83</v>
      </c>
      <c r="K45" s="139">
        <f t="shared" si="24"/>
        <v>609.9998722</v>
      </c>
      <c r="L45" s="312"/>
      <c r="M45" s="312">
        <f t="shared" si="25"/>
        <v>912.9166667</v>
      </c>
      <c r="N45" s="312">
        <f t="shared" si="26"/>
        <v>16823.74667</v>
      </c>
      <c r="O45" s="312">
        <f t="shared" si="27"/>
        <v>644.9998722</v>
      </c>
    </row>
    <row r="46" ht="14.25" customHeight="1">
      <c r="A46" s="308">
        <f t="shared" si="28"/>
        <v>35</v>
      </c>
      <c r="B46" s="86" t="s">
        <v>857</v>
      </c>
      <c r="C46" s="86" t="s">
        <v>858</v>
      </c>
      <c r="D46" s="86" t="s">
        <v>859</v>
      </c>
      <c r="E46" s="309" t="s">
        <v>217</v>
      </c>
      <c r="F46" s="310" t="s">
        <v>82</v>
      </c>
      <c r="G46" s="310" t="s">
        <v>16</v>
      </c>
      <c r="H46" s="311">
        <v>45438.0</v>
      </c>
      <c r="I46" s="310" t="s">
        <v>178</v>
      </c>
      <c r="J46" s="139">
        <v>15910.83</v>
      </c>
      <c r="K46" s="139">
        <f t="shared" si="24"/>
        <v>609.9998722</v>
      </c>
      <c r="L46" s="312"/>
      <c r="M46" s="312">
        <f t="shared" si="25"/>
        <v>912.9166667</v>
      </c>
      <c r="N46" s="312">
        <f t="shared" si="26"/>
        <v>16823.74667</v>
      </c>
      <c r="O46" s="312">
        <f t="shared" si="27"/>
        <v>644.9998722</v>
      </c>
    </row>
    <row r="47" ht="14.25" customHeight="1">
      <c r="A47" s="308">
        <f t="shared" si="28"/>
        <v>36</v>
      </c>
      <c r="B47" s="86" t="s">
        <v>1176</v>
      </c>
      <c r="C47" s="86" t="s">
        <v>1177</v>
      </c>
      <c r="D47" s="86" t="s">
        <v>1178</v>
      </c>
      <c r="E47" s="309" t="s">
        <v>379</v>
      </c>
      <c r="F47" s="310" t="s">
        <v>82</v>
      </c>
      <c r="G47" s="310" t="s">
        <v>16</v>
      </c>
      <c r="H47" s="311">
        <v>45453.0</v>
      </c>
      <c r="I47" s="310" t="s">
        <v>178</v>
      </c>
      <c r="J47" s="139">
        <v>15910.83</v>
      </c>
      <c r="K47" s="139">
        <f t="shared" si="24"/>
        <v>609.9998722</v>
      </c>
      <c r="L47" s="312"/>
      <c r="M47" s="312">
        <f t="shared" si="25"/>
        <v>912.9166667</v>
      </c>
      <c r="N47" s="312">
        <f t="shared" si="26"/>
        <v>16823.74667</v>
      </c>
      <c r="O47" s="312">
        <f t="shared" si="27"/>
        <v>644.9998722</v>
      </c>
    </row>
    <row r="48" ht="14.25" customHeight="1">
      <c r="E48" s="315"/>
      <c r="F48" s="315"/>
      <c r="G48" s="316" t="s">
        <v>6127</v>
      </c>
      <c r="H48" s="174"/>
      <c r="I48" s="175"/>
      <c r="J48" s="317">
        <f>SUM(J5:J47)</f>
        <v>712859.11</v>
      </c>
      <c r="K48" s="317"/>
      <c r="L48" s="317">
        <f t="shared" ref="L48:N48" si="29">SUM(L5:L47)</f>
        <v>29808.61333</v>
      </c>
      <c r="M48" s="317">
        <f t="shared" si="29"/>
        <v>5477.5</v>
      </c>
      <c r="N48" s="317">
        <f t="shared" si="29"/>
        <v>748145.2233</v>
      </c>
      <c r="O48" s="317"/>
    </row>
    <row r="49" ht="14.25" customHeight="1">
      <c r="E49" s="315"/>
      <c r="F49" s="315"/>
      <c r="G49" s="184"/>
      <c r="H49" s="185"/>
      <c r="I49" s="186"/>
      <c r="J49" s="183"/>
      <c r="K49" s="183"/>
      <c r="L49" s="183"/>
      <c r="M49" s="183"/>
      <c r="N49" s="183"/>
      <c r="O49" s="183"/>
    </row>
    <row r="50" ht="14.25" customHeight="1">
      <c r="E50" s="315"/>
      <c r="F50" s="315"/>
      <c r="G50" s="315"/>
      <c r="H50" s="315"/>
      <c r="I50" s="318"/>
      <c r="J50" s="54"/>
      <c r="L50" s="54"/>
      <c r="M50" s="313"/>
    </row>
    <row r="51" ht="14.25" customHeight="1">
      <c r="A51" s="85" t="s">
        <v>6128</v>
      </c>
      <c r="G51" s="85" t="s">
        <v>6129</v>
      </c>
      <c r="H51" s="29"/>
      <c r="I51" s="54"/>
      <c r="J51" s="54"/>
      <c r="L51" s="54"/>
      <c r="M51" s="313"/>
    </row>
    <row r="52" ht="14.25" customHeight="1">
      <c r="H52" s="29"/>
      <c r="I52" s="54"/>
      <c r="J52" s="54"/>
      <c r="L52" s="54"/>
      <c r="M52" s="313"/>
    </row>
    <row r="53" ht="14.25" customHeight="1">
      <c r="A53" s="319" t="s">
        <v>6130</v>
      </c>
      <c r="B53" s="319"/>
      <c r="C53" s="319"/>
      <c r="D53" s="319"/>
      <c r="E53" s="319"/>
      <c r="F53" s="319"/>
      <c r="G53" s="319" t="s">
        <v>6131</v>
      </c>
      <c r="H53" s="319"/>
      <c r="I53" s="320"/>
      <c r="J53" s="320"/>
      <c r="K53" s="319"/>
      <c r="L53" s="320"/>
      <c r="M53" s="321"/>
      <c r="N53" s="319"/>
      <c r="O53" s="319"/>
      <c r="P53" s="319"/>
      <c r="Q53" s="319"/>
      <c r="R53" s="319"/>
      <c r="S53" s="319"/>
      <c r="T53" s="319"/>
      <c r="U53" s="319"/>
      <c r="V53" s="319"/>
      <c r="W53" s="319"/>
      <c r="X53" s="319"/>
      <c r="Y53" s="319"/>
      <c r="Z53" s="319"/>
    </row>
    <row r="54" ht="14.25" customHeight="1">
      <c r="A54" s="319" t="s">
        <v>6132</v>
      </c>
      <c r="B54" s="319"/>
      <c r="C54" s="319"/>
      <c r="D54" s="319"/>
      <c r="E54" s="319"/>
      <c r="F54" s="319"/>
      <c r="G54" s="319" t="s">
        <v>6133</v>
      </c>
      <c r="H54" s="319"/>
      <c r="I54" s="320"/>
      <c r="J54" s="320"/>
      <c r="K54" s="319"/>
      <c r="L54" s="320"/>
      <c r="M54" s="321"/>
      <c r="N54" s="319"/>
      <c r="O54" s="319"/>
      <c r="P54" s="319"/>
      <c r="Q54" s="319"/>
      <c r="R54" s="319"/>
      <c r="S54" s="319"/>
      <c r="T54" s="319"/>
      <c r="U54" s="319"/>
      <c r="V54" s="319"/>
      <c r="W54" s="319"/>
      <c r="X54" s="319"/>
      <c r="Y54" s="319"/>
      <c r="Z54" s="319"/>
    </row>
    <row r="55" ht="14.25" customHeight="1">
      <c r="H55" s="29"/>
      <c r="I55" s="54"/>
      <c r="J55" s="54"/>
      <c r="L55" s="54"/>
      <c r="M55" s="313"/>
    </row>
    <row r="56" ht="14.25" customHeight="1">
      <c r="E56" s="315"/>
      <c r="F56" s="315"/>
      <c r="G56" s="315"/>
      <c r="H56" s="315"/>
      <c r="I56" s="318"/>
      <c r="J56" s="54"/>
      <c r="L56" s="54"/>
      <c r="M56" s="313"/>
    </row>
    <row r="57" ht="14.25" customHeight="1">
      <c r="E57" s="315"/>
      <c r="F57" s="315"/>
      <c r="G57" s="315"/>
      <c r="H57" s="315"/>
      <c r="I57" s="318"/>
      <c r="J57" s="54"/>
      <c r="L57" s="54"/>
      <c r="M57" s="313"/>
    </row>
    <row r="58" ht="14.25" customHeight="1">
      <c r="E58" s="315"/>
      <c r="F58" s="315"/>
      <c r="G58" s="315"/>
      <c r="H58" s="315"/>
      <c r="I58" s="318"/>
      <c r="J58" s="54"/>
      <c r="L58" s="54"/>
      <c r="M58" s="313"/>
    </row>
    <row r="59" ht="14.25" customHeight="1">
      <c r="E59" s="315"/>
      <c r="F59" s="315"/>
      <c r="G59" s="315"/>
      <c r="H59" s="315"/>
      <c r="I59" s="318"/>
      <c r="J59" s="54"/>
      <c r="L59" s="54"/>
      <c r="M59" s="313"/>
    </row>
    <row r="60" ht="14.25" customHeight="1">
      <c r="E60" s="315"/>
      <c r="F60" s="315"/>
      <c r="G60" s="315"/>
      <c r="H60" s="315"/>
      <c r="I60" s="318"/>
      <c r="J60" s="54"/>
      <c r="L60" s="54"/>
      <c r="M60" s="313"/>
    </row>
    <row r="61" ht="14.25" customHeight="1">
      <c r="E61" s="315"/>
      <c r="F61" s="315"/>
      <c r="G61" s="315"/>
      <c r="H61" s="315"/>
      <c r="I61" s="318"/>
      <c r="J61" s="54"/>
      <c r="L61" s="54"/>
      <c r="M61" s="313"/>
    </row>
    <row r="62" ht="14.25" customHeight="1">
      <c r="E62" s="315"/>
      <c r="F62" s="315"/>
      <c r="G62" s="315"/>
      <c r="H62" s="315"/>
      <c r="I62" s="318"/>
      <c r="J62" s="54"/>
      <c r="L62" s="54"/>
      <c r="M62" s="313"/>
    </row>
    <row r="63" ht="14.25" customHeight="1">
      <c r="E63" s="322"/>
      <c r="F63" s="315"/>
      <c r="G63" s="315"/>
      <c r="H63" s="315"/>
      <c r="I63" s="318"/>
      <c r="J63" s="54"/>
      <c r="L63" s="54"/>
      <c r="M63" s="313"/>
    </row>
    <row r="64" ht="14.25" customHeight="1">
      <c r="E64" s="322"/>
      <c r="F64" s="315"/>
      <c r="G64" s="315"/>
      <c r="H64" s="315"/>
      <c r="I64" s="318"/>
      <c r="J64" s="54"/>
      <c r="L64" s="54"/>
      <c r="M64" s="313"/>
    </row>
    <row r="65" ht="14.25" customHeight="1">
      <c r="E65" s="322"/>
      <c r="F65" s="315"/>
      <c r="G65" s="315"/>
      <c r="H65" s="315"/>
      <c r="I65" s="318"/>
      <c r="J65" s="54"/>
      <c r="L65" s="54"/>
      <c r="M65" s="313"/>
    </row>
    <row r="66" ht="14.25" customHeight="1">
      <c r="E66" s="322"/>
      <c r="F66" s="315"/>
      <c r="G66" s="315"/>
      <c r="H66" s="315"/>
      <c r="I66" s="318"/>
      <c r="J66" s="54"/>
      <c r="L66" s="54"/>
      <c r="M66" s="313"/>
    </row>
    <row r="67" ht="14.25" customHeight="1">
      <c r="E67" s="322"/>
      <c r="F67" s="315"/>
      <c r="G67" s="315"/>
      <c r="H67" s="315"/>
      <c r="I67" s="318"/>
      <c r="J67" s="54"/>
      <c r="L67" s="54"/>
      <c r="M67" s="313"/>
    </row>
    <row r="68" ht="14.25" customHeight="1">
      <c r="E68" s="322"/>
      <c r="F68" s="315"/>
      <c r="G68" s="315"/>
      <c r="H68" s="315"/>
      <c r="I68" s="318"/>
      <c r="J68" s="54"/>
      <c r="L68" s="54"/>
      <c r="M68" s="313"/>
    </row>
    <row r="69" ht="14.25" customHeight="1">
      <c r="E69" s="322"/>
      <c r="F69" s="315"/>
      <c r="G69" s="315"/>
      <c r="H69" s="315"/>
      <c r="I69" s="318"/>
      <c r="J69" s="54"/>
      <c r="L69" s="54"/>
      <c r="M69" s="313"/>
    </row>
    <row r="70" ht="14.25" customHeight="1">
      <c r="E70" s="322"/>
      <c r="F70" s="315"/>
      <c r="G70" s="315"/>
      <c r="H70" s="315"/>
      <c r="I70" s="318"/>
      <c r="J70" s="54"/>
      <c r="L70" s="54"/>
      <c r="M70" s="313"/>
    </row>
    <row r="71" ht="14.25" customHeight="1">
      <c r="E71" s="322"/>
      <c r="F71" s="315"/>
      <c r="G71" s="315"/>
      <c r="H71" s="315"/>
      <c r="I71" s="318"/>
      <c r="J71" s="54"/>
      <c r="L71" s="54"/>
      <c r="M71" s="313"/>
    </row>
    <row r="72" ht="14.25" customHeight="1">
      <c r="E72" s="322"/>
      <c r="F72" s="315"/>
      <c r="G72" s="315"/>
      <c r="H72" s="315"/>
      <c r="I72" s="318"/>
      <c r="J72" s="54"/>
      <c r="L72" s="54"/>
      <c r="M72" s="313"/>
    </row>
    <row r="73" ht="14.25" customHeight="1">
      <c r="E73" s="322"/>
      <c r="F73" s="315"/>
      <c r="G73" s="315"/>
      <c r="H73" s="315"/>
      <c r="I73" s="318"/>
      <c r="J73" s="54"/>
      <c r="L73" s="54"/>
      <c r="M73" s="313"/>
    </row>
    <row r="74" ht="14.25" customHeight="1">
      <c r="E74" s="322"/>
      <c r="F74" s="315"/>
      <c r="G74" s="315"/>
      <c r="H74" s="315"/>
      <c r="I74" s="318"/>
      <c r="J74" s="54"/>
      <c r="L74" s="54"/>
      <c r="M74" s="313"/>
    </row>
    <row r="75" ht="14.25" customHeight="1">
      <c r="E75" s="322"/>
      <c r="F75" s="315"/>
      <c r="G75" s="315"/>
      <c r="H75" s="315"/>
      <c r="I75" s="318"/>
      <c r="J75" s="54"/>
      <c r="L75" s="54"/>
      <c r="M75" s="313"/>
    </row>
    <row r="76" ht="14.25" customHeight="1">
      <c r="E76" s="322"/>
      <c r="F76" s="315"/>
      <c r="G76" s="315"/>
      <c r="H76" s="315"/>
      <c r="I76" s="318"/>
      <c r="J76" s="54"/>
      <c r="L76" s="54"/>
      <c r="M76" s="313"/>
    </row>
    <row r="77" ht="14.25" customHeight="1">
      <c r="E77" s="322"/>
      <c r="F77" s="315"/>
      <c r="G77" s="315"/>
      <c r="H77" s="315"/>
      <c r="I77" s="318"/>
      <c r="J77" s="54"/>
      <c r="L77" s="54"/>
      <c r="M77" s="313"/>
    </row>
    <row r="78" ht="14.25" customHeight="1">
      <c r="E78" s="322"/>
      <c r="F78" s="315"/>
      <c r="G78" s="315"/>
      <c r="H78" s="315"/>
      <c r="I78" s="318"/>
      <c r="J78" s="54"/>
      <c r="L78" s="54"/>
      <c r="M78" s="313"/>
    </row>
    <row r="79" ht="14.25" customHeight="1">
      <c r="E79" s="322"/>
      <c r="F79" s="315"/>
      <c r="G79" s="315"/>
      <c r="H79" s="315"/>
      <c r="I79" s="318"/>
      <c r="J79" s="54"/>
      <c r="L79" s="54"/>
      <c r="M79" s="313"/>
    </row>
    <row r="80" ht="14.25" customHeight="1">
      <c r="E80" s="322"/>
      <c r="F80" s="315"/>
      <c r="G80" s="315"/>
      <c r="H80" s="315"/>
      <c r="I80" s="318"/>
      <c r="J80" s="54"/>
      <c r="L80" s="54"/>
      <c r="M80" s="313"/>
    </row>
    <row r="81" ht="14.25" customHeight="1">
      <c r="E81" s="322"/>
      <c r="F81" s="315"/>
      <c r="G81" s="315"/>
      <c r="H81" s="315"/>
      <c r="I81" s="318"/>
      <c r="J81" s="54"/>
      <c r="L81" s="54"/>
      <c r="M81" s="313"/>
    </row>
    <row r="82" ht="14.25" customHeight="1">
      <c r="E82" s="322"/>
      <c r="F82" s="315"/>
      <c r="G82" s="315"/>
      <c r="H82" s="315"/>
      <c r="I82" s="318"/>
      <c r="J82" s="54"/>
      <c r="L82" s="54"/>
      <c r="M82" s="313"/>
    </row>
    <row r="83" ht="14.25" customHeight="1">
      <c r="E83" s="322"/>
      <c r="F83" s="315"/>
      <c r="G83" s="315"/>
      <c r="H83" s="315"/>
      <c r="I83" s="318"/>
      <c r="J83" s="54"/>
      <c r="L83" s="54"/>
      <c r="M83" s="313"/>
    </row>
    <row r="84" ht="14.25" customHeight="1">
      <c r="E84" s="322"/>
      <c r="F84" s="315"/>
      <c r="G84" s="315"/>
      <c r="H84" s="315"/>
      <c r="I84" s="318"/>
      <c r="J84" s="54"/>
      <c r="L84" s="54"/>
      <c r="M84" s="313"/>
    </row>
    <row r="85" ht="14.25" customHeight="1">
      <c r="E85" s="322"/>
      <c r="F85" s="315"/>
      <c r="G85" s="315"/>
      <c r="H85" s="315"/>
      <c r="I85" s="318"/>
      <c r="J85" s="54"/>
      <c r="L85" s="54"/>
      <c r="M85" s="313"/>
    </row>
    <row r="86" ht="14.25" customHeight="1">
      <c r="E86" s="322"/>
      <c r="F86" s="315"/>
      <c r="G86" s="315"/>
      <c r="H86" s="315"/>
      <c r="I86" s="318"/>
      <c r="J86" s="54"/>
      <c r="L86" s="54"/>
      <c r="M86" s="313"/>
    </row>
    <row r="87" ht="14.25" customHeight="1">
      <c r="E87" s="322"/>
      <c r="F87" s="315"/>
      <c r="G87" s="315"/>
      <c r="H87" s="315"/>
      <c r="I87" s="318"/>
      <c r="J87" s="54"/>
      <c r="L87" s="54"/>
      <c r="M87" s="313"/>
    </row>
    <row r="88" ht="14.25" customHeight="1">
      <c r="E88" s="322"/>
      <c r="F88" s="315"/>
      <c r="G88" s="315"/>
      <c r="H88" s="315"/>
      <c r="I88" s="318"/>
      <c r="J88" s="54"/>
      <c r="L88" s="54"/>
      <c r="M88" s="313"/>
    </row>
    <row r="89" ht="14.25" customHeight="1">
      <c r="E89" s="322"/>
      <c r="F89" s="315"/>
      <c r="G89" s="315"/>
      <c r="H89" s="315"/>
      <c r="I89" s="318"/>
      <c r="J89" s="54"/>
      <c r="L89" s="54"/>
      <c r="M89" s="313"/>
    </row>
    <row r="90" ht="14.25" customHeight="1">
      <c r="E90" s="322"/>
      <c r="F90" s="315"/>
      <c r="G90" s="315"/>
      <c r="H90" s="315"/>
      <c r="I90" s="318"/>
      <c r="J90" s="54"/>
      <c r="L90" s="54"/>
      <c r="M90" s="313"/>
    </row>
    <row r="91" ht="14.25" customHeight="1">
      <c r="E91" s="322"/>
      <c r="F91" s="315"/>
      <c r="G91" s="315"/>
      <c r="H91" s="315"/>
      <c r="I91" s="318"/>
      <c r="J91" s="54"/>
      <c r="L91" s="54"/>
      <c r="M91" s="313"/>
    </row>
    <row r="92" ht="14.25" customHeight="1">
      <c r="E92" s="322"/>
      <c r="F92" s="315"/>
      <c r="G92" s="315"/>
      <c r="H92" s="315"/>
      <c r="I92" s="318"/>
      <c r="J92" s="54"/>
      <c r="L92" s="54"/>
      <c r="M92" s="313"/>
    </row>
    <row r="93" ht="14.25" customHeight="1">
      <c r="E93" s="322"/>
      <c r="F93" s="315"/>
      <c r="G93" s="315"/>
      <c r="H93" s="315"/>
      <c r="I93" s="318"/>
      <c r="J93" s="54"/>
      <c r="L93" s="54"/>
      <c r="M93" s="313"/>
    </row>
    <row r="94" ht="14.25" customHeight="1">
      <c r="E94" s="322"/>
      <c r="F94" s="315"/>
      <c r="G94" s="315"/>
      <c r="H94" s="315"/>
      <c r="I94" s="318"/>
      <c r="J94" s="54"/>
      <c r="L94" s="54"/>
      <c r="M94" s="313"/>
    </row>
    <row r="95" ht="14.25" customHeight="1">
      <c r="E95" s="322"/>
      <c r="F95" s="315"/>
      <c r="G95" s="315"/>
      <c r="H95" s="315"/>
      <c r="I95" s="318"/>
      <c r="J95" s="54"/>
      <c r="L95" s="54"/>
      <c r="M95" s="313"/>
    </row>
    <row r="96" ht="14.25" customHeight="1">
      <c r="E96" s="322"/>
      <c r="F96" s="315"/>
      <c r="G96" s="315"/>
      <c r="H96" s="315"/>
      <c r="I96" s="318"/>
      <c r="J96" s="54"/>
      <c r="L96" s="54"/>
      <c r="M96" s="313"/>
    </row>
    <row r="97" ht="14.25" customHeight="1">
      <c r="E97" s="322"/>
      <c r="F97" s="315"/>
      <c r="G97" s="315"/>
      <c r="H97" s="315"/>
      <c r="I97" s="318"/>
      <c r="J97" s="54"/>
      <c r="L97" s="54"/>
      <c r="M97" s="313"/>
    </row>
    <row r="98" ht="14.25" customHeight="1">
      <c r="E98" s="322"/>
      <c r="F98" s="315"/>
      <c r="G98" s="315"/>
      <c r="H98" s="315"/>
      <c r="I98" s="318"/>
      <c r="J98" s="54"/>
      <c r="L98" s="54"/>
      <c r="M98" s="313"/>
    </row>
    <row r="99" ht="14.25" customHeight="1">
      <c r="E99" s="322"/>
      <c r="F99" s="315"/>
      <c r="G99" s="315"/>
      <c r="H99" s="315"/>
      <c r="I99" s="318"/>
      <c r="J99" s="54"/>
      <c r="L99" s="54"/>
      <c r="M99" s="313"/>
    </row>
    <row r="100" ht="14.25" customHeight="1">
      <c r="E100" s="322"/>
      <c r="F100" s="315"/>
      <c r="G100" s="315"/>
      <c r="H100" s="315"/>
      <c r="I100" s="318"/>
      <c r="J100" s="54"/>
      <c r="L100" s="54"/>
      <c r="M100" s="313"/>
    </row>
    <row r="101" ht="14.25" customHeight="1">
      <c r="E101" s="322"/>
      <c r="F101" s="315"/>
      <c r="G101" s="315"/>
      <c r="H101" s="315"/>
      <c r="I101" s="318"/>
      <c r="J101" s="54"/>
      <c r="L101" s="54"/>
      <c r="M101" s="313"/>
    </row>
    <row r="102" ht="14.25" customHeight="1">
      <c r="E102" s="322"/>
      <c r="F102" s="315"/>
      <c r="G102" s="315"/>
      <c r="H102" s="315"/>
      <c r="I102" s="318"/>
      <c r="J102" s="54"/>
      <c r="L102" s="54"/>
      <c r="M102" s="313"/>
    </row>
    <row r="103" ht="14.25" customHeight="1">
      <c r="E103" s="322"/>
      <c r="F103" s="315"/>
      <c r="G103" s="315"/>
      <c r="H103" s="315"/>
      <c r="I103" s="318"/>
      <c r="J103" s="54"/>
      <c r="L103" s="54"/>
      <c r="M103" s="313"/>
    </row>
    <row r="104" ht="14.25" customHeight="1">
      <c r="E104" s="322"/>
      <c r="F104" s="315"/>
      <c r="G104" s="315"/>
      <c r="H104" s="315"/>
      <c r="I104" s="318"/>
      <c r="J104" s="54"/>
      <c r="L104" s="54"/>
      <c r="M104" s="313"/>
    </row>
    <row r="105" ht="14.25" customHeight="1">
      <c r="E105" s="322"/>
      <c r="F105" s="315"/>
      <c r="G105" s="315"/>
      <c r="H105" s="315"/>
      <c r="I105" s="318"/>
      <c r="J105" s="54"/>
      <c r="L105" s="54"/>
      <c r="M105" s="313"/>
    </row>
    <row r="106" ht="14.25" customHeight="1">
      <c r="E106" s="322"/>
      <c r="F106" s="315"/>
      <c r="G106" s="315"/>
      <c r="H106" s="315"/>
      <c r="I106" s="318"/>
      <c r="J106" s="54"/>
      <c r="L106" s="54"/>
      <c r="M106" s="313"/>
    </row>
    <row r="107" ht="14.25" customHeight="1">
      <c r="E107" s="322"/>
      <c r="F107" s="315"/>
      <c r="G107" s="315"/>
      <c r="H107" s="315"/>
      <c r="I107" s="318"/>
      <c r="J107" s="54"/>
      <c r="L107" s="54"/>
      <c r="M107" s="313"/>
    </row>
    <row r="108" ht="14.25" customHeight="1">
      <c r="E108" s="322"/>
      <c r="F108" s="315"/>
      <c r="G108" s="315"/>
      <c r="H108" s="315"/>
      <c r="I108" s="318"/>
      <c r="J108" s="54"/>
      <c r="L108" s="54"/>
      <c r="M108" s="313"/>
    </row>
    <row r="109" ht="14.25" customHeight="1">
      <c r="E109" s="322"/>
      <c r="F109" s="315"/>
      <c r="G109" s="315"/>
      <c r="H109" s="315"/>
      <c r="I109" s="318"/>
      <c r="J109" s="54"/>
      <c r="L109" s="54"/>
      <c r="M109" s="313"/>
    </row>
    <row r="110" ht="14.25" customHeight="1">
      <c r="E110" s="322"/>
      <c r="F110" s="315"/>
      <c r="G110" s="315"/>
      <c r="H110" s="315"/>
      <c r="I110" s="318"/>
      <c r="J110" s="54"/>
      <c r="L110" s="54"/>
      <c r="M110" s="313"/>
    </row>
    <row r="111" ht="14.25" customHeight="1">
      <c r="E111" s="322"/>
      <c r="F111" s="315"/>
      <c r="G111" s="315"/>
      <c r="H111" s="315"/>
      <c r="I111" s="318"/>
      <c r="J111" s="54"/>
      <c r="L111" s="54"/>
      <c r="M111" s="313"/>
    </row>
    <row r="112" ht="14.25" customHeight="1">
      <c r="E112" s="322"/>
      <c r="F112" s="315"/>
      <c r="G112" s="315"/>
      <c r="H112" s="315"/>
      <c r="I112" s="318"/>
      <c r="J112" s="54"/>
      <c r="L112" s="54"/>
      <c r="M112" s="313"/>
    </row>
    <row r="113" ht="14.25" customHeight="1">
      <c r="E113" s="322"/>
      <c r="F113" s="315"/>
      <c r="G113" s="315"/>
      <c r="H113" s="315"/>
      <c r="I113" s="318"/>
      <c r="J113" s="54"/>
      <c r="L113" s="54"/>
      <c r="M113" s="313"/>
    </row>
    <row r="114" ht="14.25" customHeight="1">
      <c r="E114" s="322"/>
      <c r="F114" s="315"/>
      <c r="G114" s="315"/>
      <c r="H114" s="315"/>
      <c r="I114" s="318"/>
      <c r="J114" s="54"/>
      <c r="L114" s="54"/>
      <c r="M114" s="313"/>
    </row>
    <row r="115" ht="14.25" customHeight="1">
      <c r="E115" s="322"/>
      <c r="F115" s="315"/>
      <c r="G115" s="315"/>
      <c r="H115" s="315"/>
      <c r="I115" s="318"/>
      <c r="J115" s="54"/>
      <c r="L115" s="54"/>
      <c r="M115" s="313"/>
    </row>
    <row r="116" ht="14.25" customHeight="1">
      <c r="E116" s="322"/>
      <c r="F116" s="315"/>
      <c r="G116" s="315"/>
      <c r="H116" s="315"/>
      <c r="I116" s="318"/>
      <c r="J116" s="54"/>
      <c r="L116" s="54"/>
      <c r="M116" s="313"/>
    </row>
    <row r="117" ht="14.25" customHeight="1">
      <c r="E117" s="322"/>
      <c r="F117" s="315"/>
      <c r="G117" s="315"/>
      <c r="H117" s="315"/>
      <c r="I117" s="318"/>
      <c r="J117" s="54"/>
      <c r="L117" s="54"/>
      <c r="M117" s="313"/>
    </row>
    <row r="118" ht="14.25" customHeight="1">
      <c r="E118" s="322"/>
      <c r="F118" s="315"/>
      <c r="G118" s="315"/>
      <c r="H118" s="315"/>
      <c r="I118" s="318"/>
      <c r="J118" s="54"/>
      <c r="L118" s="54"/>
      <c r="M118" s="313"/>
    </row>
    <row r="119" ht="14.25" customHeight="1">
      <c r="E119" s="322"/>
      <c r="F119" s="315"/>
      <c r="G119" s="315"/>
      <c r="H119" s="315"/>
      <c r="I119" s="318"/>
      <c r="J119" s="54"/>
      <c r="L119" s="54"/>
      <c r="M119" s="313"/>
    </row>
    <row r="120" ht="14.25" customHeight="1">
      <c r="E120" s="322"/>
      <c r="F120" s="315"/>
      <c r="G120" s="315"/>
      <c r="H120" s="315"/>
      <c r="I120" s="318"/>
      <c r="J120" s="54"/>
      <c r="L120" s="54"/>
      <c r="M120" s="313"/>
    </row>
    <row r="121" ht="14.25" customHeight="1">
      <c r="E121" s="322"/>
      <c r="F121" s="315"/>
      <c r="G121" s="315"/>
      <c r="H121" s="315"/>
      <c r="I121" s="318"/>
      <c r="J121" s="54"/>
      <c r="L121" s="54"/>
      <c r="M121" s="313"/>
    </row>
    <row r="122" ht="14.25" customHeight="1">
      <c r="E122" s="322"/>
      <c r="F122" s="315"/>
      <c r="G122" s="315"/>
      <c r="H122" s="315"/>
      <c r="I122" s="318"/>
      <c r="J122" s="54"/>
      <c r="L122" s="54"/>
      <c r="M122" s="313"/>
    </row>
    <row r="123" ht="14.25" customHeight="1">
      <c r="E123" s="322"/>
      <c r="F123" s="315"/>
      <c r="G123" s="315"/>
      <c r="H123" s="315"/>
      <c r="I123" s="318"/>
      <c r="J123" s="54"/>
      <c r="L123" s="54"/>
      <c r="M123" s="313"/>
    </row>
    <row r="124" ht="14.25" customHeight="1">
      <c r="E124" s="322"/>
      <c r="F124" s="315"/>
      <c r="G124" s="315"/>
      <c r="H124" s="315"/>
      <c r="I124" s="318"/>
      <c r="J124" s="54"/>
      <c r="L124" s="54"/>
      <c r="M124" s="313"/>
    </row>
    <row r="125" ht="14.25" customHeight="1">
      <c r="E125" s="322"/>
      <c r="F125" s="315"/>
      <c r="G125" s="315"/>
      <c r="H125" s="315"/>
      <c r="I125" s="318"/>
      <c r="J125" s="54"/>
      <c r="L125" s="54"/>
      <c r="M125" s="313"/>
    </row>
    <row r="126" ht="14.25" customHeight="1">
      <c r="E126" s="322"/>
      <c r="F126" s="315"/>
      <c r="G126" s="315"/>
      <c r="H126" s="315"/>
      <c r="I126" s="318"/>
      <c r="J126" s="54"/>
      <c r="L126" s="54"/>
      <c r="M126" s="313"/>
    </row>
    <row r="127" ht="14.25" customHeight="1">
      <c r="E127" s="322"/>
      <c r="F127" s="315"/>
      <c r="G127" s="315"/>
      <c r="H127" s="315"/>
      <c r="I127" s="318"/>
      <c r="J127" s="54"/>
      <c r="L127" s="54"/>
      <c r="M127" s="313"/>
    </row>
    <row r="128" ht="14.25" customHeight="1">
      <c r="E128" s="322"/>
      <c r="F128" s="315"/>
      <c r="G128" s="315"/>
      <c r="H128" s="315"/>
      <c r="I128" s="318"/>
      <c r="J128" s="54"/>
      <c r="L128" s="54"/>
      <c r="M128" s="313"/>
    </row>
    <row r="129" ht="14.25" customHeight="1">
      <c r="E129" s="322"/>
      <c r="F129" s="315"/>
      <c r="G129" s="315"/>
      <c r="H129" s="315"/>
      <c r="I129" s="318"/>
      <c r="J129" s="54"/>
      <c r="L129" s="54"/>
      <c r="M129" s="313"/>
    </row>
    <row r="130" ht="14.25" customHeight="1">
      <c r="E130" s="322"/>
      <c r="F130" s="315"/>
      <c r="G130" s="315"/>
      <c r="H130" s="315"/>
      <c r="I130" s="318"/>
      <c r="J130" s="54"/>
      <c r="L130" s="54"/>
      <c r="M130" s="313"/>
    </row>
    <row r="131" ht="14.25" customHeight="1">
      <c r="E131" s="322"/>
      <c r="F131" s="315"/>
      <c r="G131" s="315"/>
      <c r="H131" s="315"/>
      <c r="I131" s="318"/>
      <c r="J131" s="54"/>
      <c r="L131" s="54"/>
      <c r="M131" s="313"/>
    </row>
    <row r="132" ht="14.25" customHeight="1">
      <c r="E132" s="322"/>
      <c r="F132" s="315"/>
      <c r="G132" s="315"/>
      <c r="H132" s="315"/>
      <c r="I132" s="318"/>
      <c r="J132" s="54"/>
      <c r="L132" s="54"/>
      <c r="M132" s="313"/>
    </row>
    <row r="133" ht="14.25" customHeight="1">
      <c r="E133" s="322"/>
      <c r="F133" s="315"/>
      <c r="G133" s="315"/>
      <c r="H133" s="315"/>
      <c r="I133" s="318"/>
      <c r="J133" s="54"/>
      <c r="L133" s="54"/>
      <c r="M133" s="313"/>
    </row>
    <row r="134" ht="14.25" customHeight="1">
      <c r="E134" s="322"/>
      <c r="F134" s="315"/>
      <c r="G134" s="315"/>
      <c r="H134" s="315"/>
      <c r="I134" s="318"/>
      <c r="J134" s="54"/>
      <c r="L134" s="54"/>
      <c r="M134" s="313"/>
    </row>
    <row r="135" ht="14.25" customHeight="1">
      <c r="E135" s="322"/>
      <c r="F135" s="315"/>
      <c r="G135" s="315"/>
      <c r="H135" s="315"/>
      <c r="I135" s="318"/>
      <c r="J135" s="54"/>
      <c r="L135" s="54"/>
      <c r="M135" s="313"/>
    </row>
    <row r="136" ht="14.25" customHeight="1">
      <c r="E136" s="322"/>
      <c r="F136" s="315"/>
      <c r="G136" s="315"/>
      <c r="H136" s="315"/>
      <c r="I136" s="318"/>
      <c r="J136" s="54"/>
      <c r="L136" s="54"/>
      <c r="M136" s="313"/>
    </row>
    <row r="137" ht="14.25" customHeight="1">
      <c r="E137" s="322"/>
      <c r="F137" s="315"/>
      <c r="G137" s="315"/>
      <c r="H137" s="315"/>
      <c r="I137" s="318"/>
      <c r="J137" s="54"/>
      <c r="L137" s="54"/>
      <c r="M137" s="313"/>
    </row>
    <row r="138" ht="14.25" customHeight="1">
      <c r="E138" s="322"/>
      <c r="F138" s="315"/>
      <c r="G138" s="315"/>
      <c r="H138" s="315"/>
      <c r="I138" s="318"/>
      <c r="J138" s="54"/>
      <c r="L138" s="54"/>
      <c r="M138" s="313"/>
    </row>
    <row r="139" ht="14.25" customHeight="1">
      <c r="E139" s="322"/>
      <c r="F139" s="315"/>
      <c r="G139" s="315"/>
      <c r="H139" s="315"/>
      <c r="I139" s="318"/>
      <c r="J139" s="54"/>
      <c r="L139" s="54"/>
      <c r="M139" s="313"/>
    </row>
    <row r="140" ht="14.25" customHeight="1">
      <c r="E140" s="322"/>
      <c r="F140" s="315"/>
      <c r="G140" s="315"/>
      <c r="H140" s="315"/>
      <c r="I140" s="318"/>
      <c r="J140" s="54"/>
      <c r="L140" s="54"/>
      <c r="M140" s="313"/>
    </row>
    <row r="141" ht="14.25" customHeight="1">
      <c r="E141" s="322"/>
      <c r="F141" s="315"/>
      <c r="G141" s="315"/>
      <c r="H141" s="315"/>
      <c r="I141" s="318"/>
      <c r="J141" s="54"/>
      <c r="L141" s="54"/>
      <c r="M141" s="313"/>
    </row>
    <row r="142" ht="14.25" customHeight="1">
      <c r="E142" s="322"/>
      <c r="F142" s="315"/>
      <c r="G142" s="315"/>
      <c r="H142" s="315"/>
      <c r="I142" s="318"/>
      <c r="J142" s="54"/>
      <c r="L142" s="54"/>
      <c r="M142" s="313"/>
    </row>
    <row r="143" ht="14.25" customHeight="1">
      <c r="E143" s="322"/>
      <c r="F143" s="315"/>
      <c r="G143" s="315"/>
      <c r="H143" s="315"/>
      <c r="I143" s="318"/>
      <c r="J143" s="54"/>
      <c r="L143" s="54"/>
      <c r="M143" s="313"/>
    </row>
    <row r="144" ht="14.25" customHeight="1">
      <c r="E144" s="322"/>
      <c r="F144" s="315"/>
      <c r="G144" s="315"/>
      <c r="H144" s="315"/>
      <c r="I144" s="318"/>
      <c r="J144" s="54"/>
      <c r="L144" s="54"/>
      <c r="M144" s="313"/>
    </row>
    <row r="145" ht="14.25" customHeight="1">
      <c r="E145" s="322"/>
      <c r="F145" s="315"/>
      <c r="G145" s="315"/>
      <c r="H145" s="315"/>
      <c r="I145" s="318"/>
      <c r="J145" s="54"/>
      <c r="L145" s="54"/>
      <c r="M145" s="313"/>
    </row>
    <row r="146" ht="14.25" customHeight="1">
      <c r="E146" s="322"/>
      <c r="F146" s="315"/>
      <c r="G146" s="315"/>
      <c r="H146" s="315"/>
      <c r="I146" s="318"/>
      <c r="J146" s="54"/>
      <c r="L146" s="54"/>
      <c r="M146" s="313"/>
    </row>
    <row r="147" ht="14.25" customHeight="1">
      <c r="E147" s="322"/>
      <c r="F147" s="315"/>
      <c r="G147" s="315"/>
      <c r="H147" s="315"/>
      <c r="I147" s="318"/>
      <c r="J147" s="54"/>
      <c r="L147" s="54"/>
      <c r="M147" s="313"/>
    </row>
    <row r="148" ht="14.25" customHeight="1">
      <c r="E148" s="322"/>
      <c r="F148" s="315"/>
      <c r="G148" s="315"/>
      <c r="H148" s="315"/>
      <c r="I148" s="318"/>
      <c r="J148" s="54"/>
      <c r="L148" s="54"/>
      <c r="M148" s="313"/>
    </row>
    <row r="149" ht="14.25" customHeight="1">
      <c r="E149" s="322"/>
      <c r="F149" s="315"/>
      <c r="G149" s="315"/>
      <c r="H149" s="315"/>
      <c r="I149" s="318"/>
      <c r="J149" s="54"/>
      <c r="L149" s="54"/>
      <c r="M149" s="313"/>
    </row>
    <row r="150" ht="14.25" customHeight="1">
      <c r="E150" s="322"/>
      <c r="F150" s="315"/>
      <c r="G150" s="315"/>
      <c r="H150" s="315"/>
      <c r="I150" s="318"/>
      <c r="J150" s="54"/>
      <c r="L150" s="54"/>
      <c r="M150" s="313"/>
    </row>
    <row r="151" ht="14.25" customHeight="1">
      <c r="E151" s="322"/>
      <c r="F151" s="315"/>
      <c r="G151" s="315"/>
      <c r="H151" s="315"/>
      <c r="I151" s="318"/>
      <c r="J151" s="54"/>
      <c r="L151" s="54"/>
      <c r="M151" s="313"/>
    </row>
    <row r="152" ht="14.25" customHeight="1">
      <c r="E152" s="322"/>
      <c r="F152" s="315"/>
      <c r="G152" s="315"/>
      <c r="H152" s="315"/>
      <c r="I152" s="318"/>
      <c r="J152" s="54"/>
      <c r="L152" s="54"/>
      <c r="M152" s="313"/>
    </row>
    <row r="153" ht="14.25" customHeight="1">
      <c r="E153" s="322"/>
      <c r="F153" s="315"/>
      <c r="G153" s="315"/>
      <c r="H153" s="315"/>
      <c r="I153" s="318"/>
      <c r="J153" s="54"/>
      <c r="L153" s="54"/>
      <c r="M153" s="313"/>
    </row>
    <row r="154" ht="14.25" customHeight="1">
      <c r="E154" s="322"/>
      <c r="F154" s="315"/>
      <c r="G154" s="315"/>
      <c r="H154" s="315"/>
      <c r="I154" s="318"/>
      <c r="J154" s="54"/>
      <c r="L154" s="54"/>
      <c r="M154" s="313"/>
    </row>
    <row r="155" ht="14.25" customHeight="1">
      <c r="E155" s="322"/>
      <c r="F155" s="315"/>
      <c r="G155" s="315"/>
      <c r="H155" s="315"/>
      <c r="I155" s="318"/>
      <c r="J155" s="54"/>
      <c r="L155" s="54"/>
      <c r="M155" s="313"/>
    </row>
    <row r="156" ht="14.25" customHeight="1">
      <c r="E156" s="322"/>
      <c r="F156" s="315"/>
      <c r="G156" s="315"/>
      <c r="H156" s="315"/>
      <c r="I156" s="318"/>
      <c r="J156" s="54"/>
      <c r="L156" s="54"/>
      <c r="M156" s="313"/>
    </row>
    <row r="157" ht="14.25" customHeight="1">
      <c r="E157" s="322"/>
      <c r="F157" s="315"/>
      <c r="G157" s="315"/>
      <c r="H157" s="315"/>
      <c r="I157" s="318"/>
      <c r="J157" s="54"/>
      <c r="L157" s="54"/>
      <c r="M157" s="313"/>
    </row>
    <row r="158" ht="14.25" customHeight="1">
      <c r="E158" s="322"/>
      <c r="F158" s="315"/>
      <c r="G158" s="315"/>
      <c r="H158" s="315"/>
      <c r="I158" s="318"/>
      <c r="J158" s="54"/>
      <c r="L158" s="54"/>
      <c r="M158" s="313"/>
    </row>
    <row r="159" ht="14.25" customHeight="1">
      <c r="E159" s="322"/>
      <c r="F159" s="315"/>
      <c r="G159" s="315"/>
      <c r="H159" s="315"/>
      <c r="I159" s="318"/>
      <c r="J159" s="54"/>
      <c r="L159" s="54"/>
      <c r="M159" s="313"/>
    </row>
    <row r="160" ht="14.25" customHeight="1">
      <c r="E160" s="322"/>
      <c r="F160" s="315"/>
      <c r="G160" s="315"/>
      <c r="H160" s="315"/>
      <c r="I160" s="318"/>
      <c r="J160" s="54"/>
      <c r="L160" s="54"/>
      <c r="M160" s="313"/>
    </row>
    <row r="161" ht="14.25" customHeight="1">
      <c r="E161" s="322"/>
      <c r="F161" s="315"/>
      <c r="G161" s="315"/>
      <c r="H161" s="315"/>
      <c r="I161" s="318"/>
      <c r="J161" s="54"/>
      <c r="L161" s="54"/>
      <c r="M161" s="313"/>
    </row>
    <row r="162" ht="14.25" customHeight="1">
      <c r="E162" s="322"/>
      <c r="F162" s="315"/>
      <c r="G162" s="315"/>
      <c r="H162" s="315"/>
      <c r="I162" s="318"/>
      <c r="J162" s="54"/>
      <c r="L162" s="54"/>
      <c r="M162" s="313"/>
    </row>
    <row r="163" ht="14.25" customHeight="1">
      <c r="E163" s="322"/>
      <c r="F163" s="315"/>
      <c r="G163" s="315"/>
      <c r="H163" s="315"/>
      <c r="I163" s="318"/>
      <c r="J163" s="54"/>
      <c r="L163" s="54"/>
      <c r="M163" s="313"/>
    </row>
    <row r="164" ht="14.25" customHeight="1">
      <c r="E164" s="322"/>
      <c r="F164" s="315"/>
      <c r="G164" s="315"/>
      <c r="H164" s="315"/>
      <c r="I164" s="318"/>
      <c r="J164" s="54"/>
      <c r="L164" s="54"/>
      <c r="M164" s="313"/>
    </row>
    <row r="165" ht="14.25" customHeight="1">
      <c r="E165" s="322"/>
      <c r="F165" s="315"/>
      <c r="G165" s="315"/>
      <c r="H165" s="315"/>
      <c r="I165" s="318"/>
      <c r="J165" s="54"/>
      <c r="L165" s="54"/>
      <c r="M165" s="313"/>
    </row>
    <row r="166" ht="14.25" customHeight="1">
      <c r="E166" s="322"/>
      <c r="F166" s="315"/>
      <c r="G166" s="315"/>
      <c r="H166" s="315"/>
      <c r="I166" s="318"/>
      <c r="J166" s="54"/>
      <c r="L166" s="54"/>
      <c r="M166" s="313"/>
    </row>
    <row r="167" ht="14.25" customHeight="1">
      <c r="E167" s="322"/>
      <c r="F167" s="315"/>
      <c r="G167" s="315"/>
      <c r="H167" s="315"/>
      <c r="I167" s="318"/>
      <c r="J167" s="54"/>
      <c r="L167" s="54"/>
      <c r="M167" s="313"/>
    </row>
    <row r="168" ht="14.25" customHeight="1">
      <c r="E168" s="322"/>
      <c r="F168" s="315"/>
      <c r="G168" s="315"/>
      <c r="H168" s="315"/>
      <c r="I168" s="318"/>
      <c r="J168" s="54"/>
      <c r="L168" s="54"/>
      <c r="M168" s="313"/>
    </row>
    <row r="169" ht="14.25" customHeight="1">
      <c r="E169" s="322"/>
      <c r="F169" s="315"/>
      <c r="G169" s="315"/>
      <c r="H169" s="315"/>
      <c r="I169" s="318"/>
      <c r="J169" s="54"/>
      <c r="L169" s="54"/>
      <c r="M169" s="313"/>
    </row>
    <row r="170" ht="14.25" customHeight="1">
      <c r="E170" s="322"/>
      <c r="F170" s="315"/>
      <c r="G170" s="315"/>
      <c r="H170" s="315"/>
      <c r="I170" s="318"/>
      <c r="J170" s="54"/>
      <c r="L170" s="54"/>
      <c r="M170" s="313"/>
    </row>
    <row r="171" ht="14.25" customHeight="1">
      <c r="E171" s="322"/>
      <c r="F171" s="315"/>
      <c r="G171" s="315"/>
      <c r="H171" s="315"/>
      <c r="I171" s="318"/>
      <c r="J171" s="54"/>
      <c r="L171" s="54"/>
      <c r="M171" s="313"/>
    </row>
    <row r="172" ht="14.25" customHeight="1">
      <c r="E172" s="322"/>
      <c r="F172" s="315"/>
      <c r="G172" s="315"/>
      <c r="H172" s="315"/>
      <c r="I172" s="318"/>
      <c r="J172" s="54"/>
      <c r="L172" s="54"/>
      <c r="M172" s="313"/>
    </row>
    <row r="173" ht="14.25" customHeight="1">
      <c r="E173" s="322"/>
      <c r="F173" s="315"/>
      <c r="G173" s="315"/>
      <c r="H173" s="315"/>
      <c r="I173" s="318"/>
      <c r="J173" s="54"/>
      <c r="L173" s="54"/>
      <c r="M173" s="313"/>
    </row>
    <row r="174" ht="14.25" customHeight="1">
      <c r="E174" s="322"/>
      <c r="F174" s="315"/>
      <c r="G174" s="315"/>
      <c r="H174" s="315"/>
      <c r="I174" s="318"/>
      <c r="J174" s="54"/>
      <c r="L174" s="54"/>
      <c r="M174" s="313"/>
    </row>
    <row r="175" ht="14.25" customHeight="1">
      <c r="E175" s="322"/>
      <c r="F175" s="315"/>
      <c r="G175" s="315"/>
      <c r="H175" s="315"/>
      <c r="I175" s="318"/>
      <c r="J175" s="54"/>
      <c r="L175" s="54"/>
      <c r="M175" s="313"/>
    </row>
    <row r="176" ht="14.25" customHeight="1">
      <c r="E176" s="322"/>
      <c r="F176" s="315"/>
      <c r="G176" s="315"/>
      <c r="H176" s="315"/>
      <c r="I176" s="318"/>
      <c r="J176" s="54"/>
      <c r="L176" s="54"/>
      <c r="M176" s="313"/>
    </row>
    <row r="177" ht="14.25" customHeight="1">
      <c r="E177" s="322"/>
      <c r="F177" s="315"/>
      <c r="G177" s="315"/>
      <c r="H177" s="315"/>
      <c r="I177" s="318"/>
      <c r="J177" s="54"/>
      <c r="L177" s="54"/>
      <c r="M177" s="313"/>
    </row>
    <row r="178" ht="14.25" customHeight="1">
      <c r="E178" s="322"/>
      <c r="F178" s="315"/>
      <c r="G178" s="315"/>
      <c r="H178" s="315"/>
      <c r="I178" s="318"/>
      <c r="J178" s="54"/>
      <c r="L178" s="54"/>
      <c r="M178" s="313"/>
    </row>
    <row r="179" ht="14.25" customHeight="1">
      <c r="E179" s="322"/>
      <c r="F179" s="315"/>
      <c r="G179" s="315"/>
      <c r="H179" s="315"/>
      <c r="I179" s="318"/>
      <c r="J179" s="54"/>
      <c r="L179" s="54"/>
      <c r="M179" s="313"/>
    </row>
    <row r="180" ht="14.25" customHeight="1">
      <c r="E180" s="322"/>
      <c r="F180" s="315"/>
      <c r="G180" s="315"/>
      <c r="H180" s="315"/>
      <c r="I180" s="318"/>
      <c r="J180" s="54"/>
      <c r="L180" s="54"/>
      <c r="M180" s="313"/>
    </row>
    <row r="181" ht="14.25" customHeight="1">
      <c r="E181" s="322"/>
      <c r="F181" s="315"/>
      <c r="G181" s="315"/>
      <c r="H181" s="315"/>
      <c r="I181" s="318"/>
      <c r="J181" s="54"/>
      <c r="L181" s="54"/>
      <c r="M181" s="313"/>
    </row>
    <row r="182" ht="14.25" customHeight="1">
      <c r="E182" s="322"/>
      <c r="F182" s="315"/>
      <c r="G182" s="315"/>
      <c r="H182" s="315"/>
      <c r="I182" s="318"/>
      <c r="J182" s="54"/>
      <c r="L182" s="54"/>
      <c r="M182" s="313"/>
    </row>
    <row r="183" ht="14.25" customHeight="1">
      <c r="E183" s="322"/>
      <c r="F183" s="315"/>
      <c r="G183" s="315"/>
      <c r="H183" s="315"/>
      <c r="I183" s="318"/>
      <c r="J183" s="54"/>
      <c r="L183" s="54"/>
      <c r="M183" s="313"/>
    </row>
    <row r="184" ht="14.25" customHeight="1">
      <c r="E184" s="322"/>
      <c r="F184" s="315"/>
      <c r="G184" s="315"/>
      <c r="H184" s="315"/>
      <c r="I184" s="318"/>
      <c r="J184" s="54"/>
      <c r="L184" s="54"/>
      <c r="M184" s="313"/>
    </row>
    <row r="185" ht="14.25" customHeight="1">
      <c r="E185" s="322"/>
      <c r="F185" s="315"/>
      <c r="G185" s="315"/>
      <c r="H185" s="315"/>
      <c r="I185" s="318"/>
      <c r="J185" s="54"/>
      <c r="L185" s="54"/>
      <c r="M185" s="313"/>
    </row>
    <row r="186" ht="14.25" customHeight="1">
      <c r="E186" s="322"/>
      <c r="F186" s="315"/>
      <c r="G186" s="315"/>
      <c r="H186" s="315"/>
      <c r="I186" s="318"/>
      <c r="J186" s="54"/>
      <c r="L186" s="54"/>
      <c r="M186" s="313"/>
    </row>
    <row r="187" ht="14.25" customHeight="1">
      <c r="E187" s="322"/>
      <c r="F187" s="315"/>
      <c r="G187" s="315"/>
      <c r="H187" s="315"/>
      <c r="I187" s="318"/>
      <c r="J187" s="54"/>
      <c r="L187" s="54"/>
      <c r="M187" s="313"/>
    </row>
    <row r="188" ht="14.25" customHeight="1">
      <c r="E188" s="322"/>
      <c r="F188" s="315"/>
      <c r="G188" s="315"/>
      <c r="H188" s="315"/>
      <c r="I188" s="318"/>
      <c r="J188" s="54"/>
      <c r="L188" s="54"/>
      <c r="M188" s="313"/>
    </row>
    <row r="189" ht="14.25" customHeight="1">
      <c r="E189" s="322"/>
      <c r="F189" s="315"/>
      <c r="G189" s="315"/>
      <c r="H189" s="315"/>
      <c r="I189" s="318"/>
      <c r="J189" s="54"/>
      <c r="L189" s="54"/>
      <c r="M189" s="313"/>
    </row>
    <row r="190" ht="14.25" customHeight="1">
      <c r="E190" s="322"/>
      <c r="F190" s="315"/>
      <c r="G190" s="315"/>
      <c r="H190" s="315"/>
      <c r="I190" s="318"/>
      <c r="J190" s="54"/>
      <c r="L190" s="54"/>
      <c r="M190" s="313"/>
    </row>
    <row r="191" ht="14.25" customHeight="1">
      <c r="E191" s="322"/>
      <c r="F191" s="315"/>
      <c r="G191" s="315"/>
      <c r="H191" s="315"/>
      <c r="I191" s="318"/>
      <c r="J191" s="54"/>
      <c r="L191" s="54"/>
      <c r="M191" s="313"/>
    </row>
    <row r="192" ht="14.25" customHeight="1">
      <c r="E192" s="322"/>
      <c r="F192" s="315"/>
      <c r="G192" s="315"/>
      <c r="H192" s="315"/>
      <c r="I192" s="318"/>
      <c r="J192" s="54"/>
      <c r="L192" s="54"/>
      <c r="M192" s="313"/>
    </row>
    <row r="193" ht="14.25" customHeight="1">
      <c r="E193" s="322"/>
      <c r="F193" s="315"/>
      <c r="G193" s="315"/>
      <c r="H193" s="315"/>
      <c r="I193" s="318"/>
      <c r="J193" s="54"/>
      <c r="L193" s="54"/>
      <c r="M193" s="313"/>
    </row>
    <row r="194" ht="14.25" customHeight="1">
      <c r="E194" s="322"/>
      <c r="F194" s="315"/>
      <c r="G194" s="315"/>
      <c r="H194" s="315"/>
      <c r="I194" s="318"/>
      <c r="J194" s="54"/>
      <c r="L194" s="54"/>
      <c r="M194" s="313"/>
    </row>
    <row r="195" ht="14.25" customHeight="1">
      <c r="E195" s="322"/>
      <c r="F195" s="315"/>
      <c r="G195" s="315"/>
      <c r="H195" s="315"/>
      <c r="I195" s="318"/>
      <c r="J195" s="54"/>
      <c r="L195" s="54"/>
      <c r="M195" s="313"/>
    </row>
    <row r="196" ht="14.25" customHeight="1">
      <c r="E196" s="322"/>
      <c r="F196" s="315"/>
      <c r="G196" s="315"/>
      <c r="H196" s="315"/>
      <c r="I196" s="318"/>
      <c r="J196" s="54"/>
      <c r="L196" s="54"/>
      <c r="M196" s="313"/>
    </row>
    <row r="197" ht="14.25" customHeight="1">
      <c r="E197" s="322"/>
      <c r="F197" s="315"/>
      <c r="G197" s="315"/>
      <c r="H197" s="315"/>
      <c r="I197" s="318"/>
      <c r="J197" s="54"/>
      <c r="L197" s="54"/>
      <c r="M197" s="313"/>
    </row>
    <row r="198" ht="14.25" customHeight="1">
      <c r="E198" s="322"/>
      <c r="F198" s="315"/>
      <c r="G198" s="315"/>
      <c r="H198" s="315"/>
      <c r="I198" s="318"/>
      <c r="J198" s="54"/>
      <c r="L198" s="54"/>
      <c r="M198" s="313"/>
    </row>
    <row r="199" ht="14.25" customHeight="1">
      <c r="E199" s="322"/>
      <c r="F199" s="315"/>
      <c r="G199" s="315"/>
      <c r="H199" s="315"/>
      <c r="I199" s="318"/>
      <c r="J199" s="54"/>
      <c r="L199" s="54"/>
      <c r="M199" s="313"/>
    </row>
    <row r="200" ht="14.25" customHeight="1">
      <c r="E200" s="322"/>
      <c r="F200" s="315"/>
      <c r="G200" s="315"/>
      <c r="H200" s="315"/>
      <c r="I200" s="318"/>
      <c r="J200" s="54"/>
      <c r="L200" s="54"/>
      <c r="M200" s="313"/>
    </row>
    <row r="201" ht="14.25" customHeight="1">
      <c r="E201" s="322"/>
      <c r="F201" s="315"/>
      <c r="G201" s="315"/>
      <c r="H201" s="315"/>
      <c r="I201" s="318"/>
      <c r="J201" s="54"/>
      <c r="L201" s="54"/>
      <c r="M201" s="313"/>
    </row>
    <row r="202" ht="14.25" customHeight="1">
      <c r="E202" s="322"/>
      <c r="F202" s="315"/>
      <c r="G202" s="315"/>
      <c r="H202" s="315"/>
      <c r="I202" s="318"/>
      <c r="J202" s="54"/>
      <c r="L202" s="54"/>
      <c r="M202" s="313"/>
    </row>
    <row r="203" ht="14.25" customHeight="1">
      <c r="E203" s="322"/>
      <c r="F203" s="315"/>
      <c r="G203" s="315"/>
      <c r="H203" s="315"/>
      <c r="I203" s="318"/>
      <c r="J203" s="54"/>
      <c r="L203" s="54"/>
      <c r="M203" s="313"/>
    </row>
    <row r="204" ht="14.25" customHeight="1">
      <c r="E204" s="322"/>
      <c r="F204" s="315"/>
      <c r="G204" s="315"/>
      <c r="H204" s="315"/>
      <c r="I204" s="318"/>
      <c r="J204" s="54"/>
      <c r="L204" s="54"/>
      <c r="M204" s="313"/>
    </row>
    <row r="205" ht="14.25" customHeight="1">
      <c r="E205" s="322"/>
      <c r="F205" s="315"/>
      <c r="G205" s="315"/>
      <c r="H205" s="315"/>
      <c r="I205" s="318"/>
      <c r="J205" s="54"/>
      <c r="L205" s="54"/>
      <c r="M205" s="313"/>
    </row>
    <row r="206" ht="14.25" customHeight="1">
      <c r="E206" s="322"/>
      <c r="F206" s="315"/>
      <c r="G206" s="315"/>
      <c r="H206" s="315"/>
      <c r="I206" s="318"/>
      <c r="J206" s="54"/>
      <c r="L206" s="54"/>
      <c r="M206" s="313"/>
    </row>
    <row r="207" ht="14.25" customHeight="1">
      <c r="E207" s="322"/>
      <c r="F207" s="315"/>
      <c r="G207" s="315"/>
      <c r="H207" s="315"/>
      <c r="I207" s="318"/>
      <c r="J207" s="54"/>
      <c r="L207" s="54"/>
      <c r="M207" s="313"/>
    </row>
    <row r="208" ht="14.25" customHeight="1">
      <c r="E208" s="322"/>
      <c r="F208" s="315"/>
      <c r="G208" s="315"/>
      <c r="H208" s="315"/>
      <c r="I208" s="318"/>
      <c r="J208" s="54"/>
      <c r="L208" s="54"/>
      <c r="M208" s="313"/>
    </row>
    <row r="209" ht="14.25" customHeight="1">
      <c r="E209" s="322"/>
      <c r="F209" s="315"/>
      <c r="G209" s="315"/>
      <c r="H209" s="315"/>
      <c r="I209" s="318"/>
      <c r="J209" s="54"/>
      <c r="L209" s="54"/>
      <c r="M209" s="313"/>
    </row>
    <row r="210" ht="14.25" customHeight="1">
      <c r="E210" s="322"/>
      <c r="F210" s="315"/>
      <c r="G210" s="315"/>
      <c r="H210" s="315"/>
      <c r="I210" s="318"/>
      <c r="J210" s="54"/>
      <c r="L210" s="54"/>
      <c r="M210" s="313"/>
    </row>
    <row r="211" ht="14.25" customHeight="1">
      <c r="E211" s="322"/>
      <c r="F211" s="315"/>
      <c r="G211" s="315"/>
      <c r="H211" s="315"/>
      <c r="I211" s="318"/>
      <c r="J211" s="54"/>
      <c r="L211" s="54"/>
      <c r="M211" s="313"/>
    </row>
    <row r="212" ht="14.25" customHeight="1">
      <c r="E212" s="322"/>
      <c r="F212" s="315"/>
      <c r="G212" s="315"/>
      <c r="H212" s="315"/>
      <c r="I212" s="318"/>
      <c r="J212" s="54"/>
      <c r="L212" s="54"/>
      <c r="M212" s="313"/>
    </row>
    <row r="213" ht="14.25" customHeight="1">
      <c r="E213" s="322"/>
      <c r="F213" s="315"/>
      <c r="G213" s="315"/>
      <c r="H213" s="315"/>
      <c r="I213" s="318"/>
      <c r="J213" s="54"/>
      <c r="L213" s="54"/>
      <c r="M213" s="313"/>
    </row>
    <row r="214" ht="14.25" customHeight="1">
      <c r="E214" s="322"/>
      <c r="F214" s="315"/>
      <c r="G214" s="315"/>
      <c r="H214" s="315"/>
      <c r="I214" s="318"/>
      <c r="J214" s="54"/>
      <c r="L214" s="54"/>
      <c r="M214" s="313"/>
    </row>
    <row r="215" ht="14.25" customHeight="1">
      <c r="E215" s="322"/>
      <c r="F215" s="315"/>
      <c r="G215" s="315"/>
      <c r="H215" s="315"/>
      <c r="I215" s="318"/>
      <c r="J215" s="54"/>
      <c r="L215" s="54"/>
      <c r="M215" s="313"/>
    </row>
    <row r="216" ht="14.25" customHeight="1">
      <c r="E216" s="322"/>
      <c r="F216" s="315"/>
      <c r="G216" s="315"/>
      <c r="H216" s="315"/>
      <c r="I216" s="318"/>
      <c r="J216" s="54"/>
      <c r="L216" s="54"/>
      <c r="M216" s="313"/>
    </row>
    <row r="217" ht="14.25" customHeight="1">
      <c r="E217" s="322"/>
      <c r="F217" s="315"/>
      <c r="G217" s="315"/>
      <c r="H217" s="315"/>
      <c r="I217" s="318"/>
      <c r="J217" s="54"/>
      <c r="L217" s="54"/>
      <c r="M217" s="313"/>
    </row>
    <row r="218" ht="14.25" customHeight="1">
      <c r="E218" s="322"/>
      <c r="F218" s="315"/>
      <c r="G218" s="315"/>
      <c r="H218" s="315"/>
      <c r="I218" s="318"/>
      <c r="J218" s="54"/>
      <c r="L218" s="54"/>
      <c r="M218" s="313"/>
    </row>
    <row r="219" ht="14.25" customHeight="1">
      <c r="E219" s="322"/>
      <c r="F219" s="315"/>
      <c r="G219" s="315"/>
      <c r="H219" s="315"/>
      <c r="I219" s="318"/>
      <c r="J219" s="54"/>
      <c r="L219" s="54"/>
      <c r="M219" s="313"/>
    </row>
    <row r="220" ht="14.25" customHeight="1">
      <c r="E220" s="322"/>
      <c r="F220" s="315"/>
      <c r="G220" s="315"/>
      <c r="H220" s="315"/>
      <c r="I220" s="318"/>
      <c r="J220" s="54"/>
      <c r="L220" s="54"/>
      <c r="M220" s="313"/>
    </row>
    <row r="221" ht="14.25" customHeight="1">
      <c r="E221" s="322"/>
      <c r="F221" s="315"/>
      <c r="G221" s="315"/>
      <c r="H221" s="315"/>
      <c r="I221" s="318"/>
      <c r="J221" s="54"/>
      <c r="L221" s="54"/>
      <c r="M221" s="313"/>
    </row>
    <row r="222" ht="14.25" customHeight="1">
      <c r="E222" s="322"/>
      <c r="F222" s="315"/>
      <c r="G222" s="315"/>
      <c r="H222" s="315"/>
      <c r="I222" s="318"/>
      <c r="J222" s="54"/>
      <c r="L222" s="54"/>
      <c r="M222" s="313"/>
    </row>
    <row r="223" ht="14.25" customHeight="1">
      <c r="E223" s="322"/>
      <c r="F223" s="315"/>
      <c r="G223" s="315"/>
      <c r="H223" s="315"/>
      <c r="I223" s="318"/>
      <c r="J223" s="54"/>
      <c r="L223" s="54"/>
      <c r="M223" s="313"/>
    </row>
    <row r="224" ht="14.25" customHeight="1">
      <c r="E224" s="322"/>
      <c r="F224" s="315"/>
      <c r="G224" s="315"/>
      <c r="H224" s="315"/>
      <c r="I224" s="318"/>
      <c r="J224" s="54"/>
      <c r="L224" s="54"/>
      <c r="M224" s="313"/>
    </row>
    <row r="225" ht="14.25" customHeight="1">
      <c r="E225" s="322"/>
      <c r="F225" s="315"/>
      <c r="G225" s="315"/>
      <c r="H225" s="315"/>
      <c r="I225" s="318"/>
      <c r="J225" s="54"/>
      <c r="L225" s="54"/>
      <c r="M225" s="313"/>
    </row>
    <row r="226" ht="14.25" customHeight="1">
      <c r="E226" s="322"/>
      <c r="F226" s="315"/>
      <c r="G226" s="315"/>
      <c r="H226" s="315"/>
      <c r="I226" s="318"/>
      <c r="J226" s="54"/>
      <c r="L226" s="54"/>
      <c r="M226" s="313"/>
    </row>
    <row r="227" ht="14.25" customHeight="1">
      <c r="E227" s="322"/>
      <c r="F227" s="315"/>
      <c r="G227" s="315"/>
      <c r="H227" s="315"/>
      <c r="I227" s="318"/>
      <c r="J227" s="54"/>
      <c r="L227" s="54"/>
      <c r="M227" s="313"/>
    </row>
    <row r="228" ht="14.25" customHeight="1">
      <c r="E228" s="322"/>
      <c r="F228" s="315"/>
      <c r="G228" s="315"/>
      <c r="H228" s="315"/>
      <c r="I228" s="318"/>
      <c r="J228" s="54"/>
      <c r="L228" s="54"/>
      <c r="M228" s="313"/>
    </row>
    <row r="229" ht="14.25" customHeight="1">
      <c r="E229" s="322"/>
      <c r="F229" s="315"/>
      <c r="G229" s="315"/>
      <c r="H229" s="315"/>
      <c r="I229" s="318"/>
      <c r="J229" s="54"/>
      <c r="L229" s="54"/>
      <c r="M229" s="313"/>
    </row>
    <row r="230" ht="14.25" customHeight="1">
      <c r="E230" s="322"/>
      <c r="F230" s="315"/>
      <c r="G230" s="315"/>
      <c r="H230" s="315"/>
      <c r="I230" s="318"/>
      <c r="J230" s="54"/>
      <c r="L230" s="54"/>
      <c r="M230" s="313"/>
    </row>
    <row r="231" ht="14.25" customHeight="1">
      <c r="E231" s="322"/>
      <c r="F231" s="315"/>
      <c r="G231" s="315"/>
      <c r="H231" s="315"/>
      <c r="I231" s="318"/>
      <c r="J231" s="54"/>
      <c r="L231" s="54"/>
      <c r="M231" s="313"/>
    </row>
    <row r="232" ht="14.25" customHeight="1">
      <c r="E232" s="322"/>
      <c r="F232" s="315"/>
      <c r="G232" s="315"/>
      <c r="H232" s="315"/>
      <c r="I232" s="318"/>
      <c r="J232" s="54"/>
      <c r="L232" s="54"/>
      <c r="M232" s="313"/>
    </row>
    <row r="233" ht="14.25" customHeight="1">
      <c r="E233" s="322"/>
      <c r="F233" s="315"/>
      <c r="G233" s="315"/>
      <c r="H233" s="315"/>
      <c r="I233" s="318"/>
      <c r="J233" s="54"/>
      <c r="L233" s="54"/>
      <c r="M233" s="313"/>
    </row>
    <row r="234" ht="14.25" customHeight="1">
      <c r="E234" s="322"/>
      <c r="F234" s="315"/>
      <c r="G234" s="315"/>
      <c r="H234" s="315"/>
      <c r="I234" s="318"/>
      <c r="J234" s="54"/>
      <c r="L234" s="54"/>
      <c r="M234" s="313"/>
    </row>
    <row r="235" ht="14.25" customHeight="1">
      <c r="E235" s="322"/>
      <c r="F235" s="315"/>
      <c r="G235" s="315"/>
      <c r="H235" s="315"/>
      <c r="I235" s="318"/>
      <c r="J235" s="54"/>
      <c r="L235" s="54"/>
      <c r="M235" s="313"/>
    </row>
    <row r="236" ht="14.25" customHeight="1">
      <c r="E236" s="322"/>
      <c r="F236" s="315"/>
      <c r="G236" s="315"/>
      <c r="H236" s="315"/>
      <c r="I236" s="318"/>
      <c r="J236" s="54"/>
      <c r="L236" s="54"/>
      <c r="M236" s="313"/>
    </row>
    <row r="237" ht="14.25" customHeight="1">
      <c r="E237" s="322"/>
      <c r="F237" s="315"/>
      <c r="G237" s="315"/>
      <c r="H237" s="315"/>
      <c r="I237" s="318"/>
      <c r="J237" s="54"/>
      <c r="L237" s="54"/>
      <c r="M237" s="313"/>
    </row>
    <row r="238" ht="14.25" customHeight="1">
      <c r="E238" s="322"/>
      <c r="F238" s="315"/>
      <c r="G238" s="315"/>
      <c r="H238" s="315"/>
      <c r="I238" s="318"/>
      <c r="J238" s="54"/>
      <c r="L238" s="54"/>
      <c r="M238" s="313"/>
    </row>
    <row r="239" ht="14.25" customHeight="1">
      <c r="E239" s="322"/>
      <c r="F239" s="315"/>
      <c r="G239" s="315"/>
      <c r="H239" s="315"/>
      <c r="I239" s="318"/>
      <c r="J239" s="54"/>
      <c r="L239" s="54"/>
      <c r="M239" s="313"/>
    </row>
    <row r="240" ht="14.25" customHeight="1">
      <c r="E240" s="322"/>
      <c r="F240" s="315"/>
      <c r="G240" s="315"/>
      <c r="H240" s="315"/>
      <c r="I240" s="318"/>
      <c r="J240" s="54"/>
      <c r="L240" s="54"/>
      <c r="M240" s="313"/>
    </row>
    <row r="241" ht="14.25" customHeight="1">
      <c r="E241" s="322"/>
      <c r="F241" s="315"/>
      <c r="G241" s="315"/>
      <c r="H241" s="315"/>
      <c r="I241" s="318"/>
      <c r="J241" s="54"/>
      <c r="L241" s="54"/>
      <c r="M241" s="313"/>
    </row>
    <row r="242" ht="14.25" customHeight="1">
      <c r="E242" s="322"/>
      <c r="F242" s="315"/>
      <c r="G242" s="315"/>
      <c r="H242" s="315"/>
      <c r="I242" s="318"/>
      <c r="J242" s="54"/>
      <c r="L242" s="54"/>
      <c r="M242" s="313"/>
    </row>
    <row r="243" ht="14.25" customHeight="1">
      <c r="E243" s="322"/>
      <c r="F243" s="315"/>
      <c r="G243" s="315"/>
      <c r="H243" s="315"/>
      <c r="I243" s="318"/>
      <c r="J243" s="54"/>
      <c r="L243" s="54"/>
      <c r="M243" s="313"/>
    </row>
    <row r="244" ht="14.25" customHeight="1">
      <c r="E244" s="322"/>
      <c r="F244" s="315"/>
      <c r="G244" s="315"/>
      <c r="H244" s="315"/>
      <c r="I244" s="318"/>
      <c r="J244" s="54"/>
      <c r="L244" s="54"/>
      <c r="M244" s="313"/>
    </row>
    <row r="245" ht="14.25" customHeight="1">
      <c r="E245" s="322"/>
      <c r="F245" s="315"/>
      <c r="G245" s="315"/>
      <c r="H245" s="315"/>
      <c r="I245" s="318"/>
      <c r="J245" s="54"/>
      <c r="L245" s="54"/>
      <c r="M245" s="313"/>
    </row>
    <row r="246" ht="14.25" customHeight="1">
      <c r="E246" s="322"/>
      <c r="F246" s="315"/>
      <c r="G246" s="315"/>
      <c r="H246" s="315"/>
      <c r="I246" s="318"/>
      <c r="J246" s="54"/>
      <c r="L246" s="54"/>
      <c r="M246" s="313"/>
    </row>
    <row r="247" ht="14.25" customHeight="1">
      <c r="E247" s="322"/>
      <c r="F247" s="315"/>
      <c r="G247" s="315"/>
      <c r="H247" s="315"/>
      <c r="I247" s="318"/>
      <c r="J247" s="54"/>
      <c r="L247" s="54"/>
      <c r="M247" s="313"/>
    </row>
    <row r="248" ht="14.25" customHeight="1">
      <c r="E248" s="322"/>
      <c r="F248" s="315"/>
      <c r="G248" s="315"/>
      <c r="H248" s="315"/>
      <c r="I248" s="318"/>
      <c r="J248" s="54"/>
      <c r="L248" s="54"/>
      <c r="M248" s="313"/>
    </row>
    <row r="249" ht="14.25" customHeight="1">
      <c r="E249" s="322"/>
      <c r="F249" s="315"/>
      <c r="G249" s="315"/>
      <c r="H249" s="315"/>
      <c r="I249" s="318"/>
      <c r="J249" s="54"/>
      <c r="L249" s="54"/>
      <c r="M249" s="313"/>
    </row>
    <row r="250" ht="14.25" customHeight="1">
      <c r="E250" s="322"/>
      <c r="F250" s="315"/>
      <c r="G250" s="315"/>
      <c r="H250" s="315"/>
      <c r="I250" s="318"/>
      <c r="J250" s="54"/>
      <c r="L250" s="54"/>
      <c r="M250" s="313"/>
    </row>
    <row r="251" ht="14.25" customHeight="1">
      <c r="E251" s="322"/>
      <c r="F251" s="315"/>
      <c r="G251" s="315"/>
      <c r="H251" s="315"/>
      <c r="I251" s="318"/>
      <c r="J251" s="54"/>
      <c r="L251" s="54"/>
      <c r="M251" s="313"/>
    </row>
    <row r="252" ht="14.25" customHeight="1">
      <c r="E252" s="322"/>
      <c r="F252" s="315"/>
      <c r="G252" s="315"/>
      <c r="H252" s="315"/>
      <c r="I252" s="318"/>
      <c r="J252" s="54"/>
      <c r="L252" s="54"/>
      <c r="M252" s="313"/>
    </row>
    <row r="253" ht="14.25" customHeight="1">
      <c r="E253" s="322"/>
      <c r="F253" s="315"/>
      <c r="G253" s="315"/>
      <c r="H253" s="315"/>
      <c r="I253" s="318"/>
      <c r="J253" s="54"/>
      <c r="L253" s="54"/>
      <c r="M253" s="313"/>
    </row>
    <row r="254" ht="14.25" customHeight="1">
      <c r="E254" s="322"/>
      <c r="F254" s="315"/>
      <c r="G254" s="315"/>
      <c r="H254" s="315"/>
      <c r="I254" s="318"/>
      <c r="J254" s="54"/>
      <c r="L254" s="54"/>
      <c r="M254" s="313"/>
    </row>
    <row r="255" ht="14.25" customHeight="1">
      <c r="E255" s="322"/>
      <c r="F255" s="315"/>
      <c r="G255" s="315"/>
      <c r="H255" s="315"/>
      <c r="I255" s="318"/>
      <c r="J255" s="54"/>
      <c r="L255" s="54"/>
      <c r="M255" s="313"/>
    </row>
    <row r="256" ht="14.25" customHeight="1">
      <c r="E256" s="322"/>
      <c r="F256" s="315"/>
      <c r="G256" s="315"/>
      <c r="H256" s="315"/>
      <c r="I256" s="318"/>
      <c r="J256" s="54"/>
      <c r="L256" s="54"/>
      <c r="M256" s="313"/>
    </row>
    <row r="257" ht="14.25" customHeight="1">
      <c r="E257" s="322"/>
      <c r="F257" s="315"/>
      <c r="G257" s="315"/>
      <c r="H257" s="315"/>
      <c r="I257" s="318"/>
      <c r="J257" s="54"/>
      <c r="L257" s="54"/>
      <c r="M257" s="313"/>
    </row>
    <row r="258" ht="14.25" customHeight="1">
      <c r="E258" s="322"/>
      <c r="F258" s="315"/>
      <c r="G258" s="315"/>
      <c r="H258" s="315"/>
      <c r="I258" s="318"/>
      <c r="J258" s="54"/>
      <c r="L258" s="54"/>
      <c r="M258" s="313"/>
    </row>
    <row r="259" ht="14.25" customHeight="1">
      <c r="E259" s="322"/>
      <c r="F259" s="315"/>
      <c r="G259" s="315"/>
      <c r="H259" s="315"/>
      <c r="I259" s="318"/>
      <c r="J259" s="54"/>
      <c r="L259" s="54"/>
      <c r="M259" s="313"/>
    </row>
    <row r="260" ht="14.25" customHeight="1">
      <c r="E260" s="322"/>
      <c r="F260" s="315"/>
      <c r="G260" s="315"/>
      <c r="H260" s="315"/>
      <c r="I260" s="318"/>
      <c r="J260" s="54"/>
      <c r="L260" s="54"/>
      <c r="M260" s="313"/>
    </row>
    <row r="261" ht="14.25" customHeight="1">
      <c r="E261" s="322"/>
      <c r="F261" s="315"/>
      <c r="G261" s="315"/>
      <c r="H261" s="315"/>
      <c r="I261" s="318"/>
      <c r="J261" s="54"/>
      <c r="L261" s="54"/>
      <c r="M261" s="313"/>
    </row>
    <row r="262" ht="14.25" customHeight="1">
      <c r="E262" s="322"/>
      <c r="F262" s="315"/>
      <c r="G262" s="315"/>
      <c r="H262" s="315"/>
      <c r="I262" s="318"/>
      <c r="J262" s="54"/>
      <c r="L262" s="54"/>
      <c r="M262" s="313"/>
    </row>
    <row r="263" ht="14.25" customHeight="1">
      <c r="E263" s="322"/>
      <c r="F263" s="315"/>
      <c r="G263" s="315"/>
      <c r="H263" s="315"/>
      <c r="I263" s="318"/>
      <c r="J263" s="54"/>
      <c r="L263" s="54"/>
      <c r="M263" s="313"/>
    </row>
    <row r="264" ht="14.25" customHeight="1">
      <c r="E264" s="322"/>
      <c r="F264" s="315"/>
      <c r="G264" s="315"/>
      <c r="H264" s="315"/>
      <c r="I264" s="318"/>
      <c r="J264" s="54"/>
      <c r="L264" s="54"/>
      <c r="M264" s="313"/>
    </row>
    <row r="265" ht="14.25" customHeight="1">
      <c r="E265" s="322"/>
      <c r="F265" s="315"/>
      <c r="G265" s="315"/>
      <c r="H265" s="315"/>
      <c r="I265" s="318"/>
      <c r="J265" s="54"/>
      <c r="L265" s="54"/>
      <c r="M265" s="313"/>
    </row>
    <row r="266" ht="14.25" customHeight="1">
      <c r="E266" s="322"/>
      <c r="F266" s="315"/>
      <c r="G266" s="315"/>
      <c r="H266" s="315"/>
      <c r="I266" s="318"/>
      <c r="J266" s="54"/>
      <c r="L266" s="54"/>
      <c r="M266" s="313"/>
    </row>
    <row r="267" ht="14.25" customHeight="1">
      <c r="E267" s="322"/>
      <c r="F267" s="315"/>
      <c r="G267" s="315"/>
      <c r="H267" s="315"/>
      <c r="I267" s="318"/>
      <c r="J267" s="54"/>
      <c r="L267" s="54"/>
      <c r="M267" s="313"/>
    </row>
    <row r="268" ht="14.25" customHeight="1">
      <c r="E268" s="322"/>
      <c r="F268" s="315"/>
      <c r="G268" s="315"/>
      <c r="H268" s="315"/>
      <c r="I268" s="318"/>
      <c r="J268" s="54"/>
      <c r="L268" s="54"/>
      <c r="M268" s="313"/>
    </row>
    <row r="269" ht="14.25" customHeight="1">
      <c r="E269" s="322"/>
      <c r="F269" s="315"/>
      <c r="G269" s="315"/>
      <c r="H269" s="315"/>
      <c r="I269" s="318"/>
      <c r="J269" s="54"/>
      <c r="L269" s="54"/>
      <c r="M269" s="313"/>
    </row>
    <row r="270" ht="14.25" customHeight="1">
      <c r="E270" s="322"/>
      <c r="F270" s="315"/>
      <c r="G270" s="315"/>
      <c r="H270" s="315"/>
      <c r="I270" s="318"/>
      <c r="J270" s="54"/>
      <c r="L270" s="54"/>
      <c r="M270" s="313"/>
    </row>
    <row r="271" ht="14.25" customHeight="1">
      <c r="E271" s="322"/>
      <c r="F271" s="315"/>
      <c r="G271" s="315"/>
      <c r="H271" s="315"/>
      <c r="I271" s="318"/>
      <c r="J271" s="54"/>
      <c r="L271" s="54"/>
      <c r="M271" s="313"/>
    </row>
    <row r="272" ht="14.25" customHeight="1">
      <c r="E272" s="322"/>
      <c r="F272" s="315"/>
      <c r="G272" s="315"/>
      <c r="H272" s="315"/>
      <c r="I272" s="318"/>
      <c r="J272" s="54"/>
      <c r="L272" s="54"/>
      <c r="M272" s="313"/>
    </row>
    <row r="273" ht="14.25" customHeight="1">
      <c r="E273" s="322"/>
      <c r="F273" s="315"/>
      <c r="G273" s="315"/>
      <c r="H273" s="315"/>
      <c r="I273" s="318"/>
      <c r="J273" s="54"/>
      <c r="L273" s="54"/>
      <c r="M273" s="313"/>
    </row>
    <row r="274" ht="14.25" customHeight="1">
      <c r="E274" s="322"/>
      <c r="F274" s="315"/>
      <c r="G274" s="315"/>
      <c r="H274" s="315"/>
      <c r="I274" s="318"/>
      <c r="J274" s="54"/>
      <c r="L274" s="54"/>
      <c r="M274" s="313"/>
    </row>
    <row r="275" ht="14.25" customHeight="1">
      <c r="E275" s="322"/>
      <c r="F275" s="315"/>
      <c r="G275" s="315"/>
      <c r="H275" s="315"/>
      <c r="I275" s="318"/>
      <c r="J275" s="54"/>
      <c r="L275" s="54"/>
      <c r="M275" s="313"/>
    </row>
    <row r="276" ht="14.25" customHeight="1">
      <c r="E276" s="322"/>
      <c r="F276" s="315"/>
      <c r="G276" s="315"/>
      <c r="H276" s="315"/>
      <c r="I276" s="318"/>
      <c r="J276" s="54"/>
      <c r="L276" s="54"/>
      <c r="M276" s="313"/>
    </row>
    <row r="277" ht="14.25" customHeight="1">
      <c r="E277" s="322"/>
      <c r="F277" s="315"/>
      <c r="G277" s="315"/>
      <c r="H277" s="315"/>
      <c r="I277" s="318"/>
      <c r="J277" s="54"/>
      <c r="L277" s="54"/>
      <c r="M277" s="313"/>
    </row>
    <row r="278" ht="14.25" customHeight="1">
      <c r="E278" s="322"/>
      <c r="F278" s="315"/>
      <c r="G278" s="315"/>
      <c r="H278" s="315"/>
      <c r="I278" s="318"/>
      <c r="J278" s="54"/>
      <c r="L278" s="54"/>
      <c r="M278" s="313"/>
    </row>
    <row r="279" ht="14.25" customHeight="1">
      <c r="E279" s="322"/>
      <c r="F279" s="315"/>
      <c r="G279" s="315"/>
      <c r="H279" s="315"/>
      <c r="I279" s="318"/>
      <c r="J279" s="54"/>
      <c r="L279" s="54"/>
      <c r="M279" s="313"/>
    </row>
    <row r="280" ht="14.25" customHeight="1">
      <c r="E280" s="322"/>
      <c r="F280" s="315"/>
      <c r="G280" s="315"/>
      <c r="H280" s="315"/>
      <c r="I280" s="318"/>
      <c r="J280" s="54"/>
      <c r="L280" s="54"/>
      <c r="M280" s="313"/>
    </row>
    <row r="281" ht="14.25" customHeight="1">
      <c r="E281" s="322"/>
      <c r="F281" s="315"/>
      <c r="G281" s="315"/>
      <c r="H281" s="315"/>
      <c r="I281" s="318"/>
      <c r="J281" s="54"/>
      <c r="L281" s="54"/>
      <c r="M281" s="313"/>
    </row>
    <row r="282" ht="14.25" customHeight="1">
      <c r="E282" s="322"/>
      <c r="F282" s="315"/>
      <c r="G282" s="315"/>
      <c r="H282" s="315"/>
      <c r="I282" s="318"/>
      <c r="J282" s="54"/>
      <c r="L282" s="54"/>
      <c r="M282" s="313"/>
    </row>
    <row r="283" ht="14.25" customHeight="1">
      <c r="E283" s="322"/>
      <c r="F283" s="315"/>
      <c r="G283" s="315"/>
      <c r="H283" s="315"/>
      <c r="I283" s="318"/>
      <c r="J283" s="54"/>
      <c r="L283" s="54"/>
      <c r="M283" s="313"/>
    </row>
    <row r="284" ht="14.25" customHeight="1">
      <c r="E284" s="322"/>
      <c r="F284" s="315"/>
      <c r="G284" s="315"/>
      <c r="H284" s="315"/>
      <c r="I284" s="318"/>
      <c r="J284" s="54"/>
      <c r="L284" s="54"/>
      <c r="M284" s="313"/>
    </row>
    <row r="285" ht="14.25" customHeight="1">
      <c r="E285" s="322"/>
      <c r="F285" s="315"/>
      <c r="G285" s="315"/>
      <c r="H285" s="315"/>
      <c r="I285" s="318"/>
      <c r="J285" s="54"/>
      <c r="L285" s="54"/>
      <c r="M285" s="313"/>
    </row>
    <row r="286" ht="14.25" customHeight="1">
      <c r="E286" s="322"/>
      <c r="F286" s="315"/>
      <c r="G286" s="315"/>
      <c r="H286" s="315"/>
      <c r="I286" s="318"/>
      <c r="J286" s="54"/>
      <c r="L286" s="54"/>
      <c r="M286" s="313"/>
    </row>
    <row r="287" ht="14.25" customHeight="1">
      <c r="E287" s="322"/>
      <c r="F287" s="315"/>
      <c r="G287" s="315"/>
      <c r="H287" s="315"/>
      <c r="I287" s="318"/>
      <c r="J287" s="54"/>
      <c r="L287" s="54"/>
      <c r="M287" s="313"/>
    </row>
    <row r="288" ht="14.25" customHeight="1">
      <c r="E288" s="322"/>
      <c r="F288" s="315"/>
      <c r="G288" s="315"/>
      <c r="H288" s="315"/>
      <c r="I288" s="318"/>
      <c r="J288" s="54"/>
      <c r="L288" s="54"/>
      <c r="M288" s="313"/>
    </row>
    <row r="289" ht="14.25" customHeight="1">
      <c r="E289" s="322"/>
      <c r="F289" s="315"/>
      <c r="G289" s="315"/>
      <c r="H289" s="315"/>
      <c r="I289" s="318"/>
      <c r="J289" s="54"/>
      <c r="L289" s="54"/>
      <c r="M289" s="313"/>
    </row>
    <row r="290" ht="14.25" customHeight="1">
      <c r="E290" s="322"/>
      <c r="F290" s="315"/>
      <c r="G290" s="315"/>
      <c r="H290" s="315"/>
      <c r="I290" s="318"/>
      <c r="J290" s="54"/>
      <c r="L290" s="54"/>
      <c r="M290" s="313"/>
    </row>
    <row r="291" ht="14.25" customHeight="1">
      <c r="E291" s="322"/>
      <c r="F291" s="315"/>
      <c r="G291" s="315"/>
      <c r="H291" s="315"/>
      <c r="I291" s="318"/>
      <c r="J291" s="54"/>
      <c r="L291" s="54"/>
      <c r="M291" s="313"/>
    </row>
    <row r="292" ht="14.25" customHeight="1">
      <c r="E292" s="322"/>
      <c r="F292" s="315"/>
      <c r="G292" s="315"/>
      <c r="H292" s="315"/>
      <c r="I292" s="318"/>
      <c r="J292" s="54"/>
      <c r="L292" s="54"/>
      <c r="M292" s="313"/>
    </row>
    <row r="293" ht="14.25" customHeight="1">
      <c r="E293" s="322"/>
      <c r="F293" s="315"/>
      <c r="G293" s="315"/>
      <c r="H293" s="315"/>
      <c r="I293" s="318"/>
      <c r="J293" s="54"/>
      <c r="L293" s="54"/>
      <c r="M293" s="313"/>
    </row>
    <row r="294" ht="14.25" customHeight="1">
      <c r="E294" s="322"/>
      <c r="F294" s="315"/>
      <c r="G294" s="315"/>
      <c r="H294" s="315"/>
      <c r="I294" s="318"/>
      <c r="J294" s="54"/>
      <c r="L294" s="54"/>
      <c r="M294" s="313"/>
    </row>
    <row r="295" ht="14.25" customHeight="1">
      <c r="E295" s="322"/>
      <c r="F295" s="315"/>
      <c r="G295" s="315"/>
      <c r="H295" s="315"/>
      <c r="I295" s="318"/>
      <c r="J295" s="54"/>
      <c r="L295" s="54"/>
      <c r="M295" s="313"/>
    </row>
    <row r="296" ht="14.25" customHeight="1">
      <c r="E296" s="322"/>
      <c r="F296" s="315"/>
      <c r="G296" s="315"/>
      <c r="H296" s="315"/>
      <c r="I296" s="318"/>
      <c r="J296" s="54"/>
      <c r="L296" s="54"/>
      <c r="M296" s="313"/>
    </row>
    <row r="297" ht="14.25" customHeight="1">
      <c r="E297" s="322"/>
      <c r="F297" s="315"/>
      <c r="G297" s="315"/>
      <c r="H297" s="315"/>
      <c r="I297" s="318"/>
      <c r="J297" s="54"/>
      <c r="L297" s="54"/>
      <c r="M297" s="313"/>
    </row>
    <row r="298" ht="14.25" customHeight="1">
      <c r="E298" s="322"/>
      <c r="F298" s="315"/>
      <c r="G298" s="315"/>
      <c r="H298" s="315"/>
      <c r="I298" s="318"/>
      <c r="J298" s="54"/>
      <c r="L298" s="54"/>
      <c r="M298" s="313"/>
    </row>
    <row r="299" ht="14.25" customHeight="1">
      <c r="E299" s="322"/>
      <c r="F299" s="315"/>
      <c r="G299" s="315"/>
      <c r="H299" s="315"/>
      <c r="I299" s="318"/>
      <c r="J299" s="54"/>
      <c r="L299" s="54"/>
      <c r="M299" s="313"/>
    </row>
    <row r="300" ht="14.25" customHeight="1">
      <c r="E300" s="322"/>
      <c r="F300" s="315"/>
      <c r="G300" s="315"/>
      <c r="H300" s="315"/>
      <c r="I300" s="318"/>
      <c r="J300" s="54"/>
      <c r="L300" s="54"/>
      <c r="M300" s="313"/>
    </row>
    <row r="301" ht="14.25" customHeight="1">
      <c r="E301" s="322"/>
      <c r="F301" s="315"/>
      <c r="G301" s="315"/>
      <c r="H301" s="315"/>
      <c r="I301" s="318"/>
      <c r="J301" s="54"/>
      <c r="L301" s="54"/>
      <c r="M301" s="313"/>
    </row>
    <row r="302" ht="14.25" customHeight="1">
      <c r="E302" s="322"/>
      <c r="F302" s="315"/>
      <c r="G302" s="315"/>
      <c r="H302" s="315"/>
      <c r="I302" s="318"/>
      <c r="J302" s="54"/>
      <c r="L302" s="54"/>
      <c r="M302" s="313"/>
    </row>
    <row r="303" ht="14.25" customHeight="1">
      <c r="E303" s="322"/>
      <c r="F303" s="315"/>
      <c r="G303" s="315"/>
      <c r="H303" s="315"/>
      <c r="I303" s="318"/>
      <c r="J303" s="54"/>
      <c r="L303" s="54"/>
      <c r="M303" s="313"/>
    </row>
    <row r="304" ht="14.25" customHeight="1">
      <c r="E304" s="322"/>
      <c r="F304" s="315"/>
      <c r="G304" s="315"/>
      <c r="H304" s="315"/>
      <c r="I304" s="318"/>
      <c r="J304" s="54"/>
      <c r="L304" s="54"/>
      <c r="M304" s="313"/>
    </row>
    <row r="305" ht="14.25" customHeight="1">
      <c r="E305" s="322"/>
      <c r="F305" s="315"/>
      <c r="G305" s="315"/>
      <c r="H305" s="315"/>
      <c r="I305" s="318"/>
      <c r="J305" s="54"/>
      <c r="L305" s="54"/>
      <c r="M305" s="313"/>
    </row>
    <row r="306" ht="14.25" customHeight="1">
      <c r="E306" s="322"/>
      <c r="F306" s="315"/>
      <c r="G306" s="315"/>
      <c r="H306" s="315"/>
      <c r="I306" s="318"/>
      <c r="J306" s="54"/>
      <c r="L306" s="54"/>
      <c r="M306" s="313"/>
    </row>
    <row r="307" ht="14.25" customHeight="1">
      <c r="E307" s="322"/>
      <c r="F307" s="315"/>
      <c r="G307" s="315"/>
      <c r="H307" s="315"/>
      <c r="I307" s="318"/>
      <c r="J307" s="54"/>
      <c r="L307" s="54"/>
      <c r="M307" s="313"/>
    </row>
    <row r="308" ht="14.25" customHeight="1">
      <c r="E308" s="322"/>
      <c r="F308" s="315"/>
      <c r="G308" s="315"/>
      <c r="H308" s="315"/>
      <c r="I308" s="318"/>
      <c r="J308" s="54"/>
      <c r="L308" s="54"/>
      <c r="M308" s="313"/>
    </row>
    <row r="309" ht="14.25" customHeight="1">
      <c r="E309" s="322"/>
      <c r="F309" s="315"/>
      <c r="G309" s="315"/>
      <c r="H309" s="315"/>
      <c r="I309" s="318"/>
      <c r="J309" s="54"/>
      <c r="L309" s="54"/>
      <c r="M309" s="313"/>
    </row>
    <row r="310" ht="14.25" customHeight="1">
      <c r="E310" s="322"/>
      <c r="F310" s="315"/>
      <c r="G310" s="315"/>
      <c r="H310" s="315"/>
      <c r="I310" s="318"/>
      <c r="J310" s="54"/>
      <c r="L310" s="54"/>
      <c r="M310" s="313"/>
    </row>
    <row r="311" ht="14.25" customHeight="1">
      <c r="E311" s="322"/>
      <c r="F311" s="315"/>
      <c r="G311" s="315"/>
      <c r="H311" s="315"/>
      <c r="I311" s="318"/>
      <c r="J311" s="54"/>
      <c r="L311" s="54"/>
      <c r="M311" s="313"/>
    </row>
    <row r="312" ht="14.25" customHeight="1">
      <c r="E312" s="322"/>
      <c r="F312" s="315"/>
      <c r="G312" s="315"/>
      <c r="H312" s="315"/>
      <c r="I312" s="318"/>
      <c r="J312" s="54"/>
      <c r="L312" s="54"/>
      <c r="M312" s="313"/>
    </row>
    <row r="313" ht="14.25" customHeight="1">
      <c r="E313" s="322"/>
      <c r="F313" s="315"/>
      <c r="G313" s="315"/>
      <c r="H313" s="315"/>
      <c r="I313" s="318"/>
      <c r="J313" s="54"/>
      <c r="L313" s="54"/>
      <c r="M313" s="313"/>
    </row>
    <row r="314" ht="14.25" customHeight="1">
      <c r="E314" s="322"/>
      <c r="F314" s="315"/>
      <c r="G314" s="315"/>
      <c r="H314" s="315"/>
      <c r="I314" s="318"/>
      <c r="J314" s="54"/>
      <c r="L314" s="54"/>
      <c r="M314" s="313"/>
    </row>
    <row r="315" ht="14.25" customHeight="1">
      <c r="E315" s="322"/>
      <c r="F315" s="315"/>
      <c r="G315" s="315"/>
      <c r="H315" s="315"/>
      <c r="I315" s="318"/>
      <c r="J315" s="54"/>
      <c r="L315" s="54"/>
      <c r="M315" s="313"/>
    </row>
    <row r="316" ht="14.25" customHeight="1">
      <c r="E316" s="322"/>
      <c r="F316" s="315"/>
      <c r="G316" s="315"/>
      <c r="H316" s="315"/>
      <c r="I316" s="318"/>
      <c r="J316" s="54"/>
      <c r="L316" s="54"/>
      <c r="M316" s="313"/>
    </row>
    <row r="317" ht="14.25" customHeight="1">
      <c r="E317" s="322"/>
      <c r="F317" s="315"/>
      <c r="G317" s="315"/>
      <c r="H317" s="315"/>
      <c r="I317" s="318"/>
      <c r="J317" s="54"/>
      <c r="L317" s="54"/>
      <c r="M317" s="313"/>
    </row>
    <row r="318" ht="14.25" customHeight="1">
      <c r="E318" s="322"/>
      <c r="F318" s="315"/>
      <c r="G318" s="315"/>
      <c r="H318" s="315"/>
      <c r="I318" s="318"/>
      <c r="J318" s="54"/>
      <c r="L318" s="54"/>
      <c r="M318" s="313"/>
    </row>
    <row r="319" ht="14.25" customHeight="1">
      <c r="E319" s="322"/>
      <c r="F319" s="315"/>
      <c r="G319" s="315"/>
      <c r="H319" s="315"/>
      <c r="I319" s="318"/>
      <c r="J319" s="54"/>
      <c r="L319" s="54"/>
      <c r="M319" s="313"/>
    </row>
    <row r="320" ht="14.25" customHeight="1">
      <c r="E320" s="322"/>
      <c r="F320" s="315"/>
      <c r="G320" s="315"/>
      <c r="H320" s="315"/>
      <c r="I320" s="318"/>
      <c r="J320" s="54"/>
      <c r="L320" s="54"/>
      <c r="M320" s="313"/>
    </row>
    <row r="321" ht="14.25" customHeight="1">
      <c r="E321" s="322"/>
      <c r="F321" s="315"/>
      <c r="G321" s="315"/>
      <c r="H321" s="315"/>
      <c r="I321" s="318"/>
      <c r="J321" s="54"/>
      <c r="L321" s="54"/>
      <c r="M321" s="313"/>
    </row>
    <row r="322" ht="14.25" customHeight="1">
      <c r="E322" s="322"/>
      <c r="F322" s="315"/>
      <c r="G322" s="315"/>
      <c r="H322" s="315"/>
      <c r="I322" s="318"/>
      <c r="J322" s="54"/>
      <c r="L322" s="54"/>
      <c r="M322" s="313"/>
    </row>
    <row r="323" ht="14.25" customHeight="1">
      <c r="E323" s="322"/>
      <c r="F323" s="315"/>
      <c r="G323" s="315"/>
      <c r="H323" s="315"/>
      <c r="I323" s="318"/>
      <c r="J323" s="54"/>
      <c r="L323" s="54"/>
      <c r="M323" s="313"/>
    </row>
    <row r="324" ht="14.25" customHeight="1">
      <c r="E324" s="322"/>
      <c r="F324" s="315"/>
      <c r="G324" s="315"/>
      <c r="H324" s="315"/>
      <c r="I324" s="318"/>
      <c r="J324" s="54"/>
      <c r="L324" s="54"/>
      <c r="M324" s="313"/>
    </row>
    <row r="325" ht="14.25" customHeight="1">
      <c r="E325" s="322"/>
      <c r="F325" s="315"/>
      <c r="G325" s="315"/>
      <c r="H325" s="315"/>
      <c r="I325" s="318"/>
      <c r="J325" s="54"/>
      <c r="L325" s="54"/>
      <c r="M325" s="313"/>
    </row>
    <row r="326" ht="14.25" customHeight="1">
      <c r="E326" s="322"/>
      <c r="F326" s="315"/>
      <c r="G326" s="315"/>
      <c r="H326" s="315"/>
      <c r="I326" s="318"/>
      <c r="J326" s="54"/>
      <c r="L326" s="54"/>
      <c r="M326" s="313"/>
    </row>
    <row r="327" ht="14.25" customHeight="1">
      <c r="E327" s="322"/>
      <c r="F327" s="315"/>
      <c r="G327" s="315"/>
      <c r="H327" s="315"/>
      <c r="I327" s="318"/>
      <c r="J327" s="54"/>
      <c r="L327" s="54"/>
      <c r="M327" s="313"/>
    </row>
    <row r="328" ht="14.25" customHeight="1">
      <c r="E328" s="322"/>
      <c r="F328" s="315"/>
      <c r="G328" s="315"/>
      <c r="H328" s="315"/>
      <c r="I328" s="318"/>
      <c r="J328" s="54"/>
      <c r="L328" s="54"/>
      <c r="M328" s="313"/>
    </row>
    <row r="329" ht="14.25" customHeight="1">
      <c r="E329" s="322"/>
      <c r="F329" s="315"/>
      <c r="G329" s="315"/>
      <c r="H329" s="315"/>
      <c r="I329" s="318"/>
      <c r="J329" s="54"/>
      <c r="L329" s="54"/>
      <c r="M329" s="313"/>
    </row>
    <row r="330" ht="14.25" customHeight="1">
      <c r="E330" s="322"/>
      <c r="F330" s="315"/>
      <c r="G330" s="315"/>
      <c r="H330" s="315"/>
      <c r="I330" s="318"/>
      <c r="J330" s="54"/>
      <c r="L330" s="54"/>
      <c r="M330" s="313"/>
    </row>
    <row r="331" ht="14.25" customHeight="1">
      <c r="E331" s="322"/>
      <c r="F331" s="315"/>
      <c r="G331" s="315"/>
      <c r="H331" s="315"/>
      <c r="I331" s="318"/>
      <c r="J331" s="54"/>
      <c r="L331" s="54"/>
      <c r="M331" s="313"/>
    </row>
    <row r="332" ht="14.25" customHeight="1">
      <c r="E332" s="322"/>
      <c r="F332" s="315"/>
      <c r="G332" s="315"/>
      <c r="H332" s="315"/>
      <c r="I332" s="318"/>
      <c r="J332" s="54"/>
      <c r="L332" s="54"/>
      <c r="M332" s="313"/>
    </row>
    <row r="333" ht="14.25" customHeight="1">
      <c r="E333" s="322"/>
      <c r="F333" s="315"/>
      <c r="G333" s="315"/>
      <c r="H333" s="315"/>
      <c r="I333" s="318"/>
      <c r="J333" s="54"/>
      <c r="L333" s="54"/>
      <c r="M333" s="313"/>
    </row>
    <row r="334" ht="14.25" customHeight="1">
      <c r="E334" s="322"/>
      <c r="F334" s="315"/>
      <c r="G334" s="315"/>
      <c r="H334" s="315"/>
      <c r="I334" s="318"/>
      <c r="J334" s="54"/>
      <c r="L334" s="54"/>
      <c r="M334" s="313"/>
    </row>
    <row r="335" ht="14.25" customHeight="1">
      <c r="E335" s="322"/>
      <c r="F335" s="315"/>
      <c r="G335" s="315"/>
      <c r="H335" s="315"/>
      <c r="I335" s="318"/>
      <c r="J335" s="54"/>
      <c r="L335" s="54"/>
      <c r="M335" s="313"/>
    </row>
    <row r="336" ht="14.25" customHeight="1">
      <c r="E336" s="322"/>
      <c r="F336" s="315"/>
      <c r="G336" s="315"/>
      <c r="H336" s="315"/>
      <c r="I336" s="318"/>
      <c r="J336" s="54"/>
      <c r="L336" s="54"/>
      <c r="M336" s="313"/>
    </row>
    <row r="337" ht="14.25" customHeight="1">
      <c r="E337" s="322"/>
      <c r="F337" s="315"/>
      <c r="G337" s="315"/>
      <c r="H337" s="315"/>
      <c r="I337" s="318"/>
      <c r="J337" s="54"/>
      <c r="L337" s="54"/>
      <c r="M337" s="313"/>
    </row>
    <row r="338" ht="14.25" customHeight="1">
      <c r="E338" s="322"/>
      <c r="F338" s="315"/>
      <c r="G338" s="315"/>
      <c r="H338" s="315"/>
      <c r="I338" s="318"/>
      <c r="J338" s="54"/>
      <c r="L338" s="54"/>
      <c r="M338" s="313"/>
    </row>
    <row r="339" ht="14.25" customHeight="1">
      <c r="E339" s="322"/>
      <c r="F339" s="315"/>
      <c r="G339" s="315"/>
      <c r="H339" s="315"/>
      <c r="I339" s="318"/>
      <c r="J339" s="54"/>
      <c r="L339" s="54"/>
      <c r="M339" s="313"/>
    </row>
    <row r="340" ht="14.25" customHeight="1">
      <c r="E340" s="322"/>
      <c r="F340" s="315"/>
      <c r="G340" s="315"/>
      <c r="H340" s="315"/>
      <c r="I340" s="318"/>
      <c r="J340" s="54"/>
      <c r="L340" s="54"/>
      <c r="M340" s="313"/>
    </row>
    <row r="341" ht="14.25" customHeight="1">
      <c r="E341" s="322"/>
      <c r="F341" s="315"/>
      <c r="G341" s="315"/>
      <c r="H341" s="315"/>
      <c r="I341" s="318"/>
      <c r="J341" s="54"/>
      <c r="L341" s="54"/>
      <c r="M341" s="313"/>
    </row>
    <row r="342" ht="14.25" customHeight="1">
      <c r="E342" s="322"/>
      <c r="F342" s="315"/>
      <c r="G342" s="315"/>
      <c r="H342" s="315"/>
      <c r="I342" s="318"/>
      <c r="J342" s="54"/>
      <c r="L342" s="54"/>
      <c r="M342" s="313"/>
    </row>
    <row r="343" ht="14.25" customHeight="1">
      <c r="E343" s="322"/>
      <c r="F343" s="315"/>
      <c r="G343" s="315"/>
      <c r="H343" s="315"/>
      <c r="I343" s="318"/>
      <c r="J343" s="54"/>
      <c r="L343" s="54"/>
      <c r="M343" s="313"/>
    </row>
    <row r="344" ht="14.25" customHeight="1">
      <c r="E344" s="322"/>
      <c r="F344" s="315"/>
      <c r="G344" s="315"/>
      <c r="H344" s="315"/>
      <c r="I344" s="318"/>
      <c r="J344" s="54"/>
      <c r="L344" s="54"/>
      <c r="M344" s="313"/>
    </row>
    <row r="345" ht="14.25" customHeight="1">
      <c r="E345" s="322"/>
      <c r="F345" s="315"/>
      <c r="G345" s="315"/>
      <c r="H345" s="315"/>
      <c r="I345" s="318"/>
      <c r="J345" s="54"/>
      <c r="L345" s="54"/>
      <c r="M345" s="313"/>
    </row>
    <row r="346" ht="14.25" customHeight="1">
      <c r="E346" s="322"/>
      <c r="F346" s="315"/>
      <c r="G346" s="315"/>
      <c r="H346" s="315"/>
      <c r="I346" s="318"/>
      <c r="J346" s="54"/>
      <c r="L346" s="54"/>
      <c r="M346" s="313"/>
    </row>
    <row r="347" ht="14.25" customHeight="1">
      <c r="E347" s="322"/>
      <c r="F347" s="315"/>
      <c r="G347" s="315"/>
      <c r="H347" s="315"/>
      <c r="I347" s="318"/>
      <c r="J347" s="54"/>
      <c r="L347" s="54"/>
      <c r="M347" s="313"/>
    </row>
    <row r="348" ht="14.25" customHeight="1">
      <c r="E348" s="322"/>
      <c r="F348" s="315"/>
      <c r="G348" s="315"/>
      <c r="H348" s="315"/>
      <c r="I348" s="318"/>
      <c r="J348" s="54"/>
      <c r="L348" s="54"/>
      <c r="M348" s="313"/>
    </row>
    <row r="349" ht="14.25" customHeight="1">
      <c r="E349" s="322"/>
      <c r="F349" s="315"/>
      <c r="G349" s="315"/>
      <c r="H349" s="315"/>
      <c r="I349" s="318"/>
      <c r="J349" s="54"/>
      <c r="L349" s="54"/>
      <c r="M349" s="313"/>
    </row>
    <row r="350" ht="14.25" customHeight="1">
      <c r="E350" s="322"/>
      <c r="F350" s="315"/>
      <c r="G350" s="315"/>
      <c r="H350" s="315"/>
      <c r="I350" s="318"/>
      <c r="J350" s="54"/>
      <c r="L350" s="54"/>
      <c r="M350" s="313"/>
    </row>
    <row r="351" ht="14.25" customHeight="1">
      <c r="E351" s="322"/>
      <c r="F351" s="315"/>
      <c r="G351" s="315"/>
      <c r="H351" s="315"/>
      <c r="I351" s="318"/>
      <c r="J351" s="54"/>
      <c r="L351" s="54"/>
      <c r="M351" s="313"/>
    </row>
    <row r="352" ht="14.25" customHeight="1">
      <c r="E352" s="322"/>
      <c r="F352" s="315"/>
      <c r="G352" s="315"/>
      <c r="H352" s="315"/>
      <c r="I352" s="318"/>
      <c r="J352" s="54"/>
      <c r="L352" s="54"/>
      <c r="M352" s="313"/>
    </row>
    <row r="353" ht="14.25" customHeight="1">
      <c r="E353" s="322"/>
      <c r="F353" s="315"/>
      <c r="G353" s="315"/>
      <c r="H353" s="315"/>
      <c r="I353" s="318"/>
      <c r="J353" s="54"/>
      <c r="L353" s="54"/>
      <c r="M353" s="313"/>
    </row>
    <row r="354" ht="14.25" customHeight="1">
      <c r="E354" s="322"/>
      <c r="F354" s="315"/>
      <c r="G354" s="315"/>
      <c r="H354" s="315"/>
      <c r="I354" s="318"/>
      <c r="J354" s="54"/>
      <c r="L354" s="54"/>
      <c r="M354" s="313"/>
    </row>
    <row r="355" ht="14.25" customHeight="1">
      <c r="E355" s="322"/>
      <c r="F355" s="315"/>
      <c r="G355" s="315"/>
      <c r="H355" s="315"/>
      <c r="I355" s="318"/>
      <c r="J355" s="54"/>
      <c r="L355" s="54"/>
      <c r="M355" s="313"/>
    </row>
    <row r="356" ht="14.25" customHeight="1">
      <c r="E356" s="322"/>
      <c r="F356" s="315"/>
      <c r="G356" s="315"/>
      <c r="H356" s="315"/>
      <c r="I356" s="318"/>
      <c r="J356" s="54"/>
      <c r="L356" s="54"/>
      <c r="M356" s="313"/>
    </row>
    <row r="357" ht="14.25" customHeight="1">
      <c r="E357" s="322"/>
      <c r="F357" s="315"/>
      <c r="G357" s="315"/>
      <c r="H357" s="315"/>
      <c r="I357" s="318"/>
      <c r="J357" s="54"/>
      <c r="L357" s="54"/>
      <c r="M357" s="313"/>
    </row>
    <row r="358" ht="14.25" customHeight="1">
      <c r="E358" s="322"/>
      <c r="F358" s="315"/>
      <c r="G358" s="315"/>
      <c r="H358" s="315"/>
      <c r="I358" s="318"/>
      <c r="J358" s="54"/>
      <c r="L358" s="54"/>
      <c r="M358" s="313"/>
    </row>
    <row r="359" ht="14.25" customHeight="1">
      <c r="E359" s="322"/>
      <c r="F359" s="315"/>
      <c r="G359" s="315"/>
      <c r="H359" s="315"/>
      <c r="I359" s="318"/>
      <c r="J359" s="54"/>
      <c r="L359" s="54"/>
      <c r="M359" s="313"/>
    </row>
    <row r="360" ht="14.25" customHeight="1">
      <c r="E360" s="322"/>
      <c r="F360" s="315"/>
      <c r="G360" s="315"/>
      <c r="H360" s="315"/>
      <c r="I360" s="318"/>
      <c r="J360" s="54"/>
      <c r="L360" s="54"/>
      <c r="M360" s="313"/>
    </row>
    <row r="361" ht="14.25" customHeight="1">
      <c r="E361" s="322"/>
      <c r="F361" s="315"/>
      <c r="G361" s="315"/>
      <c r="H361" s="315"/>
      <c r="I361" s="318"/>
      <c r="J361" s="54"/>
      <c r="L361" s="54"/>
      <c r="M361" s="313"/>
    </row>
    <row r="362" ht="14.25" customHeight="1">
      <c r="E362" s="322"/>
      <c r="F362" s="315"/>
      <c r="G362" s="315"/>
      <c r="H362" s="315"/>
      <c r="I362" s="318"/>
      <c r="J362" s="54"/>
      <c r="L362" s="54"/>
      <c r="M362" s="313"/>
    </row>
    <row r="363" ht="14.25" customHeight="1">
      <c r="E363" s="322"/>
      <c r="F363" s="315"/>
      <c r="G363" s="315"/>
      <c r="H363" s="315"/>
      <c r="I363" s="318"/>
      <c r="J363" s="54"/>
      <c r="L363" s="54"/>
      <c r="M363" s="313"/>
    </row>
    <row r="364" ht="14.25" customHeight="1">
      <c r="E364" s="322"/>
      <c r="F364" s="315"/>
      <c r="G364" s="315"/>
      <c r="H364" s="315"/>
      <c r="I364" s="318"/>
      <c r="J364" s="54"/>
      <c r="L364" s="54"/>
      <c r="M364" s="313"/>
    </row>
    <row r="365" ht="14.25" customHeight="1">
      <c r="E365" s="322"/>
      <c r="F365" s="315"/>
      <c r="G365" s="315"/>
      <c r="H365" s="315"/>
      <c r="I365" s="318"/>
      <c r="J365" s="54"/>
      <c r="L365" s="54"/>
      <c r="M365" s="313"/>
    </row>
    <row r="366" ht="14.25" customHeight="1">
      <c r="E366" s="322"/>
      <c r="F366" s="315"/>
      <c r="G366" s="315"/>
      <c r="H366" s="315"/>
      <c r="I366" s="318"/>
      <c r="J366" s="54"/>
      <c r="L366" s="54"/>
      <c r="M366" s="313"/>
    </row>
    <row r="367" ht="14.25" customHeight="1">
      <c r="E367" s="322"/>
      <c r="F367" s="315"/>
      <c r="G367" s="315"/>
      <c r="H367" s="315"/>
      <c r="I367" s="318"/>
      <c r="J367" s="54"/>
      <c r="L367" s="54"/>
      <c r="M367" s="313"/>
    </row>
    <row r="368" ht="14.25" customHeight="1">
      <c r="E368" s="322"/>
      <c r="F368" s="315"/>
      <c r="G368" s="315"/>
      <c r="H368" s="315"/>
      <c r="I368" s="318"/>
      <c r="J368" s="54"/>
      <c r="L368" s="54"/>
      <c r="M368" s="313"/>
    </row>
    <row r="369" ht="14.25" customHeight="1">
      <c r="E369" s="322"/>
      <c r="F369" s="315"/>
      <c r="G369" s="315"/>
      <c r="H369" s="315"/>
      <c r="I369" s="318"/>
      <c r="J369" s="54"/>
      <c r="L369" s="54"/>
      <c r="M369" s="313"/>
    </row>
    <row r="370" ht="14.25" customHeight="1">
      <c r="E370" s="322"/>
      <c r="F370" s="315"/>
      <c r="G370" s="315"/>
      <c r="H370" s="315"/>
      <c r="I370" s="318"/>
      <c r="J370" s="54"/>
      <c r="L370" s="54"/>
      <c r="M370" s="313"/>
    </row>
    <row r="371" ht="14.25" customHeight="1">
      <c r="E371" s="322"/>
      <c r="F371" s="315"/>
      <c r="G371" s="315"/>
      <c r="H371" s="315"/>
      <c r="I371" s="318"/>
      <c r="J371" s="54"/>
      <c r="L371" s="54"/>
      <c r="M371" s="313"/>
    </row>
    <row r="372" ht="14.25" customHeight="1">
      <c r="E372" s="322"/>
      <c r="F372" s="315"/>
      <c r="G372" s="315"/>
      <c r="H372" s="315"/>
      <c r="I372" s="318"/>
      <c r="J372" s="54"/>
      <c r="L372" s="54"/>
      <c r="M372" s="313"/>
    </row>
    <row r="373" ht="14.25" customHeight="1">
      <c r="E373" s="322"/>
      <c r="F373" s="315"/>
      <c r="G373" s="315"/>
      <c r="H373" s="315"/>
      <c r="I373" s="318"/>
      <c r="J373" s="54"/>
      <c r="L373" s="54"/>
      <c r="M373" s="313"/>
    </row>
    <row r="374" ht="14.25" customHeight="1">
      <c r="E374" s="322"/>
      <c r="F374" s="315"/>
      <c r="G374" s="315"/>
      <c r="H374" s="315"/>
      <c r="I374" s="318"/>
      <c r="J374" s="54"/>
      <c r="L374" s="54"/>
      <c r="M374" s="313"/>
    </row>
    <row r="375" ht="14.25" customHeight="1">
      <c r="E375" s="322"/>
      <c r="F375" s="315"/>
      <c r="G375" s="315"/>
      <c r="H375" s="315"/>
      <c r="I375" s="318"/>
      <c r="J375" s="54"/>
      <c r="L375" s="54"/>
      <c r="M375" s="313"/>
    </row>
    <row r="376" ht="14.25" customHeight="1">
      <c r="E376" s="322"/>
      <c r="F376" s="315"/>
      <c r="G376" s="315"/>
      <c r="H376" s="315"/>
      <c r="I376" s="318"/>
      <c r="J376" s="54"/>
      <c r="L376" s="54"/>
      <c r="M376" s="313"/>
    </row>
    <row r="377" ht="14.25" customHeight="1">
      <c r="E377" s="322"/>
      <c r="F377" s="315"/>
      <c r="G377" s="315"/>
      <c r="H377" s="315"/>
      <c r="I377" s="318"/>
      <c r="J377" s="54"/>
      <c r="L377" s="54"/>
      <c r="M377" s="313"/>
    </row>
    <row r="378" ht="14.25" customHeight="1">
      <c r="E378" s="322"/>
      <c r="F378" s="315"/>
      <c r="G378" s="315"/>
      <c r="H378" s="315"/>
      <c r="I378" s="318"/>
      <c r="J378" s="54"/>
      <c r="L378" s="54"/>
      <c r="M378" s="313"/>
    </row>
    <row r="379" ht="14.25" customHeight="1">
      <c r="E379" s="322"/>
      <c r="F379" s="315"/>
      <c r="G379" s="315"/>
      <c r="H379" s="315"/>
      <c r="I379" s="318"/>
      <c r="J379" s="54"/>
      <c r="L379" s="54"/>
      <c r="M379" s="313"/>
    </row>
    <row r="380" ht="14.25" customHeight="1">
      <c r="E380" s="322"/>
      <c r="F380" s="315"/>
      <c r="G380" s="315"/>
      <c r="H380" s="315"/>
      <c r="I380" s="318"/>
      <c r="J380" s="54"/>
      <c r="L380" s="54"/>
      <c r="M380" s="313"/>
    </row>
    <row r="381" ht="14.25" customHeight="1">
      <c r="E381" s="322"/>
      <c r="F381" s="315"/>
      <c r="G381" s="315"/>
      <c r="H381" s="315"/>
      <c r="I381" s="318"/>
      <c r="J381" s="54"/>
      <c r="L381" s="54"/>
      <c r="M381" s="313"/>
    </row>
    <row r="382" ht="14.25" customHeight="1">
      <c r="E382" s="322"/>
      <c r="F382" s="315"/>
      <c r="G382" s="315"/>
      <c r="H382" s="315"/>
      <c r="I382" s="318"/>
      <c r="J382" s="54"/>
      <c r="L382" s="54"/>
      <c r="M382" s="313"/>
    </row>
    <row r="383" ht="14.25" customHeight="1">
      <c r="E383" s="322"/>
      <c r="F383" s="315"/>
      <c r="G383" s="315"/>
      <c r="H383" s="315"/>
      <c r="I383" s="318"/>
      <c r="J383" s="54"/>
      <c r="L383" s="54"/>
      <c r="M383" s="313"/>
    </row>
    <row r="384" ht="14.25" customHeight="1">
      <c r="E384" s="322"/>
      <c r="F384" s="315"/>
      <c r="G384" s="315"/>
      <c r="H384" s="315"/>
      <c r="I384" s="318"/>
      <c r="J384" s="54"/>
      <c r="L384" s="54"/>
      <c r="M384" s="313"/>
    </row>
    <row r="385" ht="14.25" customHeight="1">
      <c r="E385" s="322"/>
      <c r="F385" s="315"/>
      <c r="G385" s="315"/>
      <c r="H385" s="315"/>
      <c r="I385" s="318"/>
      <c r="J385" s="54"/>
      <c r="L385" s="54"/>
      <c r="M385" s="313"/>
    </row>
    <row r="386" ht="14.25" customHeight="1">
      <c r="E386" s="322"/>
      <c r="F386" s="315"/>
      <c r="G386" s="315"/>
      <c r="H386" s="315"/>
      <c r="I386" s="318"/>
      <c r="J386" s="54"/>
      <c r="L386" s="54"/>
      <c r="M386" s="313"/>
    </row>
    <row r="387" ht="14.25" customHeight="1">
      <c r="E387" s="322"/>
      <c r="F387" s="315"/>
      <c r="G387" s="315"/>
      <c r="H387" s="315"/>
      <c r="I387" s="318"/>
      <c r="J387" s="54"/>
      <c r="L387" s="54"/>
      <c r="M387" s="313"/>
    </row>
    <row r="388" ht="14.25" customHeight="1">
      <c r="E388" s="322"/>
      <c r="F388" s="315"/>
      <c r="G388" s="315"/>
      <c r="H388" s="315"/>
      <c r="I388" s="318"/>
      <c r="J388" s="54"/>
      <c r="L388" s="54"/>
      <c r="M388" s="313"/>
    </row>
    <row r="389" ht="14.25" customHeight="1">
      <c r="E389" s="322"/>
      <c r="F389" s="315"/>
      <c r="G389" s="315"/>
      <c r="H389" s="315"/>
      <c r="I389" s="318"/>
      <c r="J389" s="54"/>
      <c r="L389" s="54"/>
      <c r="M389" s="313"/>
    </row>
    <row r="390" ht="14.25" customHeight="1">
      <c r="E390" s="322"/>
      <c r="F390" s="315"/>
      <c r="G390" s="315"/>
      <c r="H390" s="315"/>
      <c r="I390" s="318"/>
      <c r="J390" s="54"/>
      <c r="L390" s="54"/>
      <c r="M390" s="313"/>
    </row>
    <row r="391" ht="14.25" customHeight="1">
      <c r="E391" s="322"/>
      <c r="F391" s="315"/>
      <c r="G391" s="315"/>
      <c r="H391" s="315"/>
      <c r="I391" s="318"/>
      <c r="J391" s="54"/>
      <c r="L391" s="54"/>
      <c r="M391" s="313"/>
    </row>
    <row r="392" ht="14.25" customHeight="1">
      <c r="E392" s="322"/>
      <c r="F392" s="315"/>
      <c r="G392" s="315"/>
      <c r="H392" s="315"/>
      <c r="I392" s="318"/>
      <c r="J392" s="54"/>
      <c r="L392" s="54"/>
      <c r="M392" s="313"/>
    </row>
    <row r="393" ht="14.25" customHeight="1">
      <c r="E393" s="322"/>
      <c r="F393" s="315"/>
      <c r="G393" s="315"/>
      <c r="H393" s="315"/>
      <c r="I393" s="318"/>
      <c r="J393" s="54"/>
      <c r="L393" s="54"/>
      <c r="M393" s="313"/>
    </row>
    <row r="394" ht="14.25" customHeight="1">
      <c r="E394" s="322"/>
      <c r="F394" s="315"/>
      <c r="G394" s="315"/>
      <c r="H394" s="315"/>
      <c r="I394" s="318"/>
      <c r="J394" s="54"/>
      <c r="L394" s="54"/>
      <c r="M394" s="313"/>
    </row>
    <row r="395" ht="14.25" customHeight="1">
      <c r="E395" s="322"/>
      <c r="F395" s="315"/>
      <c r="G395" s="315"/>
      <c r="H395" s="315"/>
      <c r="I395" s="318"/>
      <c r="J395" s="54"/>
      <c r="L395" s="54"/>
      <c r="M395" s="313"/>
    </row>
    <row r="396" ht="14.25" customHeight="1">
      <c r="E396" s="322"/>
      <c r="F396" s="315"/>
      <c r="G396" s="315"/>
      <c r="H396" s="315"/>
      <c r="I396" s="318"/>
      <c r="J396" s="54"/>
      <c r="L396" s="54"/>
      <c r="M396" s="313"/>
    </row>
    <row r="397" ht="14.25" customHeight="1">
      <c r="E397" s="322"/>
      <c r="F397" s="315"/>
      <c r="G397" s="315"/>
      <c r="H397" s="315"/>
      <c r="I397" s="318"/>
      <c r="J397" s="54"/>
      <c r="L397" s="54"/>
      <c r="M397" s="313"/>
    </row>
    <row r="398" ht="14.25" customHeight="1">
      <c r="E398" s="322"/>
      <c r="F398" s="315"/>
      <c r="G398" s="315"/>
      <c r="H398" s="315"/>
      <c r="I398" s="318"/>
      <c r="J398" s="54"/>
      <c r="L398" s="54"/>
      <c r="M398" s="313"/>
    </row>
    <row r="399" ht="14.25" customHeight="1">
      <c r="E399" s="322"/>
      <c r="F399" s="315"/>
      <c r="G399" s="315"/>
      <c r="H399" s="315"/>
      <c r="I399" s="318"/>
      <c r="J399" s="54"/>
      <c r="L399" s="54"/>
      <c r="M399" s="313"/>
    </row>
    <row r="400" ht="14.25" customHeight="1">
      <c r="E400" s="322"/>
      <c r="F400" s="315"/>
      <c r="G400" s="315"/>
      <c r="H400" s="315"/>
      <c r="I400" s="318"/>
      <c r="J400" s="54"/>
      <c r="L400" s="54"/>
      <c r="M400" s="313"/>
    </row>
    <row r="401" ht="14.25" customHeight="1">
      <c r="E401" s="322"/>
      <c r="F401" s="315"/>
      <c r="G401" s="315"/>
      <c r="H401" s="315"/>
      <c r="I401" s="318"/>
      <c r="J401" s="54"/>
      <c r="L401" s="54"/>
      <c r="M401" s="313"/>
    </row>
    <row r="402" ht="14.25" customHeight="1">
      <c r="E402" s="322"/>
      <c r="F402" s="315"/>
      <c r="G402" s="315"/>
      <c r="H402" s="315"/>
      <c r="I402" s="318"/>
      <c r="J402" s="54"/>
      <c r="L402" s="54"/>
      <c r="M402" s="313"/>
    </row>
    <row r="403" ht="14.25" customHeight="1">
      <c r="E403" s="322"/>
      <c r="F403" s="315"/>
      <c r="G403" s="315"/>
      <c r="H403" s="315"/>
      <c r="I403" s="318"/>
      <c r="J403" s="54"/>
      <c r="L403" s="54"/>
      <c r="M403" s="313"/>
    </row>
    <row r="404" ht="14.25" customHeight="1">
      <c r="E404" s="322"/>
      <c r="F404" s="315"/>
      <c r="G404" s="315"/>
      <c r="H404" s="315"/>
      <c r="I404" s="318"/>
      <c r="J404" s="54"/>
      <c r="L404" s="54"/>
      <c r="M404" s="313"/>
    </row>
    <row r="405" ht="14.25" customHeight="1">
      <c r="E405" s="322"/>
      <c r="F405" s="315"/>
      <c r="G405" s="315"/>
      <c r="H405" s="315"/>
      <c r="I405" s="318"/>
      <c r="J405" s="54"/>
      <c r="L405" s="54"/>
      <c r="M405" s="313"/>
    </row>
    <row r="406" ht="14.25" customHeight="1">
      <c r="E406" s="322"/>
      <c r="F406" s="315"/>
      <c r="G406" s="315"/>
      <c r="H406" s="315"/>
      <c r="I406" s="318"/>
      <c r="J406" s="54"/>
      <c r="L406" s="54"/>
      <c r="M406" s="313"/>
    </row>
    <row r="407" ht="14.25" customHeight="1">
      <c r="E407" s="322"/>
      <c r="F407" s="315"/>
      <c r="G407" s="315"/>
      <c r="H407" s="315"/>
      <c r="I407" s="318"/>
      <c r="J407" s="54"/>
      <c r="L407" s="54"/>
      <c r="M407" s="313"/>
    </row>
    <row r="408" ht="14.25" customHeight="1">
      <c r="E408" s="322"/>
      <c r="F408" s="315"/>
      <c r="G408" s="315"/>
      <c r="H408" s="315"/>
      <c r="I408" s="318"/>
      <c r="J408" s="54"/>
      <c r="L408" s="54"/>
      <c r="M408" s="313"/>
    </row>
    <row r="409" ht="14.25" customHeight="1">
      <c r="E409" s="322"/>
      <c r="F409" s="315"/>
      <c r="G409" s="315"/>
      <c r="H409" s="315"/>
      <c r="I409" s="318"/>
      <c r="J409" s="54"/>
      <c r="L409" s="54"/>
      <c r="M409" s="313"/>
    </row>
    <row r="410" ht="14.25" customHeight="1">
      <c r="E410" s="322"/>
      <c r="F410" s="315"/>
      <c r="G410" s="315"/>
      <c r="H410" s="315"/>
      <c r="I410" s="318"/>
      <c r="J410" s="54"/>
      <c r="L410" s="54"/>
      <c r="M410" s="313"/>
    </row>
    <row r="411" ht="14.25" customHeight="1">
      <c r="E411" s="322"/>
      <c r="F411" s="315"/>
      <c r="G411" s="315"/>
      <c r="H411" s="315"/>
      <c r="I411" s="318"/>
      <c r="J411" s="54"/>
      <c r="L411" s="54"/>
      <c r="M411" s="313"/>
    </row>
    <row r="412" ht="14.25" customHeight="1">
      <c r="E412" s="322"/>
      <c r="F412" s="315"/>
      <c r="G412" s="315"/>
      <c r="H412" s="315"/>
      <c r="I412" s="318"/>
      <c r="J412" s="54"/>
      <c r="L412" s="54"/>
      <c r="M412" s="313"/>
    </row>
    <row r="413" ht="14.25" customHeight="1">
      <c r="E413" s="322"/>
      <c r="F413" s="315"/>
      <c r="G413" s="315"/>
      <c r="H413" s="315"/>
      <c r="I413" s="318"/>
      <c r="J413" s="54"/>
      <c r="L413" s="54"/>
      <c r="M413" s="313"/>
    </row>
    <row r="414" ht="14.25" customHeight="1">
      <c r="E414" s="322"/>
      <c r="F414" s="315"/>
      <c r="G414" s="315"/>
      <c r="H414" s="315"/>
      <c r="I414" s="318"/>
      <c r="J414" s="54"/>
      <c r="L414" s="54"/>
      <c r="M414" s="313"/>
    </row>
    <row r="415" ht="14.25" customHeight="1">
      <c r="E415" s="322"/>
      <c r="F415" s="315"/>
      <c r="G415" s="315"/>
      <c r="H415" s="315"/>
      <c r="I415" s="318"/>
      <c r="J415" s="54"/>
      <c r="L415" s="54"/>
      <c r="M415" s="313"/>
    </row>
    <row r="416" ht="14.25" customHeight="1">
      <c r="E416" s="322"/>
      <c r="F416" s="315"/>
      <c r="G416" s="315"/>
      <c r="H416" s="315"/>
      <c r="I416" s="318"/>
      <c r="J416" s="54"/>
      <c r="L416" s="54"/>
      <c r="M416" s="313"/>
    </row>
    <row r="417" ht="14.25" customHeight="1">
      <c r="E417" s="322"/>
      <c r="F417" s="315"/>
      <c r="G417" s="315"/>
      <c r="H417" s="315"/>
      <c r="I417" s="318"/>
      <c r="J417" s="54"/>
      <c r="L417" s="54"/>
      <c r="M417" s="313"/>
    </row>
    <row r="418" ht="14.25" customHeight="1">
      <c r="E418" s="322"/>
      <c r="F418" s="315"/>
      <c r="G418" s="315"/>
      <c r="H418" s="315"/>
      <c r="I418" s="318"/>
      <c r="J418" s="54"/>
      <c r="L418" s="54"/>
      <c r="M418" s="313"/>
    </row>
    <row r="419" ht="14.25" customHeight="1">
      <c r="E419" s="322"/>
      <c r="F419" s="315"/>
      <c r="G419" s="315"/>
      <c r="H419" s="315"/>
      <c r="I419" s="318"/>
      <c r="J419" s="54"/>
      <c r="L419" s="54"/>
      <c r="M419" s="313"/>
    </row>
    <row r="420" ht="14.25" customHeight="1">
      <c r="E420" s="322"/>
      <c r="F420" s="315"/>
      <c r="G420" s="315"/>
      <c r="H420" s="315"/>
      <c r="I420" s="318"/>
      <c r="J420" s="54"/>
      <c r="L420" s="54"/>
      <c r="M420" s="313"/>
    </row>
    <row r="421" ht="14.25" customHeight="1">
      <c r="E421" s="322"/>
      <c r="F421" s="315"/>
      <c r="G421" s="315"/>
      <c r="H421" s="315"/>
      <c r="I421" s="318"/>
      <c r="J421" s="54"/>
      <c r="L421" s="54"/>
      <c r="M421" s="313"/>
    </row>
    <row r="422" ht="14.25" customHeight="1">
      <c r="E422" s="322"/>
      <c r="F422" s="315"/>
      <c r="G422" s="315"/>
      <c r="H422" s="315"/>
      <c r="I422" s="318"/>
      <c r="J422" s="54"/>
      <c r="L422" s="54"/>
      <c r="M422" s="313"/>
    </row>
    <row r="423" ht="14.25" customHeight="1">
      <c r="E423" s="322"/>
      <c r="F423" s="315"/>
      <c r="G423" s="315"/>
      <c r="H423" s="315"/>
      <c r="I423" s="318"/>
      <c r="J423" s="54"/>
      <c r="L423" s="54"/>
      <c r="M423" s="313"/>
    </row>
    <row r="424" ht="14.25" customHeight="1">
      <c r="E424" s="322"/>
      <c r="F424" s="315"/>
      <c r="G424" s="315"/>
      <c r="H424" s="315"/>
      <c r="I424" s="318"/>
      <c r="J424" s="54"/>
      <c r="L424" s="54"/>
      <c r="M424" s="313"/>
    </row>
    <row r="425" ht="14.25" customHeight="1">
      <c r="E425" s="322"/>
      <c r="F425" s="315"/>
      <c r="G425" s="315"/>
      <c r="H425" s="315"/>
      <c r="I425" s="318"/>
      <c r="J425" s="54"/>
      <c r="L425" s="54"/>
      <c r="M425" s="313"/>
    </row>
    <row r="426" ht="14.25" customHeight="1">
      <c r="E426" s="322"/>
      <c r="F426" s="315"/>
      <c r="G426" s="315"/>
      <c r="H426" s="315"/>
      <c r="I426" s="318"/>
      <c r="J426" s="54"/>
      <c r="L426" s="54"/>
      <c r="M426" s="313"/>
    </row>
    <row r="427" ht="14.25" customHeight="1">
      <c r="E427" s="322"/>
      <c r="F427" s="315"/>
      <c r="G427" s="315"/>
      <c r="H427" s="315"/>
      <c r="I427" s="318"/>
      <c r="J427" s="54"/>
      <c r="L427" s="54"/>
      <c r="M427" s="313"/>
    </row>
    <row r="428" ht="14.25" customHeight="1">
      <c r="E428" s="322"/>
      <c r="F428" s="315"/>
      <c r="G428" s="315"/>
      <c r="H428" s="315"/>
      <c r="I428" s="318"/>
      <c r="J428" s="54"/>
      <c r="L428" s="54"/>
      <c r="M428" s="313"/>
    </row>
    <row r="429" ht="14.25" customHeight="1">
      <c r="E429" s="322"/>
      <c r="F429" s="315"/>
      <c r="G429" s="315"/>
      <c r="H429" s="315"/>
      <c r="I429" s="318"/>
      <c r="J429" s="54"/>
      <c r="L429" s="54"/>
      <c r="M429" s="313"/>
    </row>
    <row r="430" ht="14.25" customHeight="1">
      <c r="E430" s="322"/>
      <c r="F430" s="315"/>
      <c r="G430" s="315"/>
      <c r="H430" s="315"/>
      <c r="I430" s="318"/>
      <c r="J430" s="54"/>
      <c r="L430" s="54"/>
      <c r="M430" s="313"/>
    </row>
    <row r="431" ht="14.25" customHeight="1">
      <c r="E431" s="322"/>
      <c r="F431" s="315"/>
      <c r="G431" s="315"/>
      <c r="H431" s="315"/>
      <c r="I431" s="318"/>
      <c r="J431" s="54"/>
      <c r="L431" s="54"/>
      <c r="M431" s="313"/>
    </row>
    <row r="432" ht="14.25" customHeight="1">
      <c r="E432" s="322"/>
      <c r="F432" s="315"/>
      <c r="G432" s="315"/>
      <c r="H432" s="315"/>
      <c r="I432" s="318"/>
      <c r="J432" s="54"/>
      <c r="L432" s="54"/>
      <c r="M432" s="313"/>
    </row>
    <row r="433" ht="14.25" customHeight="1">
      <c r="E433" s="322"/>
      <c r="F433" s="315"/>
      <c r="G433" s="315"/>
      <c r="H433" s="315"/>
      <c r="I433" s="318"/>
      <c r="J433" s="54"/>
      <c r="L433" s="54"/>
      <c r="M433" s="313"/>
    </row>
    <row r="434" ht="14.25" customHeight="1">
      <c r="E434" s="322"/>
      <c r="F434" s="315"/>
      <c r="G434" s="315"/>
      <c r="H434" s="315"/>
      <c r="I434" s="318"/>
      <c r="J434" s="54"/>
      <c r="L434" s="54"/>
      <c r="M434" s="313"/>
    </row>
    <row r="435" ht="14.25" customHeight="1">
      <c r="E435" s="322"/>
      <c r="F435" s="315"/>
      <c r="G435" s="315"/>
      <c r="H435" s="315"/>
      <c r="I435" s="318"/>
      <c r="J435" s="54"/>
      <c r="L435" s="54"/>
      <c r="M435" s="313"/>
    </row>
    <row r="436" ht="14.25" customHeight="1">
      <c r="E436" s="322"/>
      <c r="F436" s="315"/>
      <c r="G436" s="315"/>
      <c r="H436" s="315"/>
      <c r="I436" s="318"/>
      <c r="J436" s="54"/>
      <c r="L436" s="54"/>
      <c r="M436" s="313"/>
    </row>
    <row r="437" ht="14.25" customHeight="1">
      <c r="E437" s="322"/>
      <c r="F437" s="315"/>
      <c r="G437" s="315"/>
      <c r="H437" s="315"/>
      <c r="I437" s="318"/>
      <c r="J437" s="54"/>
      <c r="L437" s="54"/>
      <c r="M437" s="313"/>
    </row>
    <row r="438" ht="14.25" customHeight="1">
      <c r="E438" s="322"/>
      <c r="F438" s="315"/>
      <c r="G438" s="315"/>
      <c r="H438" s="315"/>
      <c r="I438" s="318"/>
      <c r="J438" s="54"/>
      <c r="L438" s="54"/>
      <c r="M438" s="313"/>
    </row>
    <row r="439" ht="14.25" customHeight="1">
      <c r="E439" s="322"/>
      <c r="F439" s="315"/>
      <c r="G439" s="315"/>
      <c r="H439" s="315"/>
      <c r="I439" s="318"/>
      <c r="J439" s="54"/>
      <c r="L439" s="54"/>
      <c r="M439" s="313"/>
    </row>
    <row r="440" ht="14.25" customHeight="1">
      <c r="E440" s="322"/>
      <c r="F440" s="315"/>
      <c r="G440" s="315"/>
      <c r="H440" s="315"/>
      <c r="I440" s="318"/>
      <c r="J440" s="54"/>
      <c r="L440" s="54"/>
      <c r="M440" s="313"/>
    </row>
    <row r="441" ht="14.25" customHeight="1">
      <c r="E441" s="322"/>
      <c r="F441" s="315"/>
      <c r="G441" s="315"/>
      <c r="H441" s="315"/>
      <c r="I441" s="318"/>
      <c r="J441" s="54"/>
      <c r="L441" s="54"/>
      <c r="M441" s="313"/>
    </row>
    <row r="442" ht="14.25" customHeight="1">
      <c r="E442" s="322"/>
      <c r="F442" s="315"/>
      <c r="G442" s="315"/>
      <c r="H442" s="315"/>
      <c r="I442" s="318"/>
      <c r="J442" s="54"/>
      <c r="L442" s="54"/>
      <c r="M442" s="313"/>
    </row>
    <row r="443" ht="14.25" customHeight="1">
      <c r="E443" s="322"/>
      <c r="F443" s="315"/>
      <c r="G443" s="315"/>
      <c r="H443" s="315"/>
      <c r="I443" s="318"/>
      <c r="J443" s="54"/>
      <c r="L443" s="54"/>
      <c r="M443" s="313"/>
    </row>
    <row r="444" ht="14.25" customHeight="1">
      <c r="E444" s="322"/>
      <c r="F444" s="315"/>
      <c r="G444" s="315"/>
      <c r="H444" s="315"/>
      <c r="I444" s="318"/>
      <c r="J444" s="54"/>
      <c r="L444" s="54"/>
      <c r="M444" s="313"/>
    </row>
    <row r="445" ht="14.25" customHeight="1">
      <c r="E445" s="322"/>
      <c r="F445" s="315"/>
      <c r="G445" s="315"/>
      <c r="H445" s="315"/>
      <c r="I445" s="318"/>
      <c r="J445" s="54"/>
      <c r="L445" s="54"/>
      <c r="M445" s="313"/>
    </row>
    <row r="446" ht="14.25" customHeight="1">
      <c r="E446" s="322"/>
      <c r="F446" s="315"/>
      <c r="G446" s="315"/>
      <c r="H446" s="315"/>
      <c r="I446" s="318"/>
      <c r="J446" s="54"/>
      <c r="L446" s="54"/>
      <c r="M446" s="313"/>
    </row>
    <row r="447" ht="14.25" customHeight="1">
      <c r="E447" s="322"/>
      <c r="F447" s="315"/>
      <c r="G447" s="315"/>
      <c r="H447" s="315"/>
      <c r="I447" s="318"/>
      <c r="J447" s="54"/>
      <c r="L447" s="54"/>
      <c r="M447" s="313"/>
    </row>
    <row r="448" ht="14.25" customHeight="1">
      <c r="E448" s="322"/>
      <c r="F448" s="315"/>
      <c r="G448" s="315"/>
      <c r="H448" s="315"/>
      <c r="I448" s="318"/>
      <c r="J448" s="54"/>
      <c r="L448" s="54"/>
      <c r="M448" s="313"/>
    </row>
    <row r="449" ht="14.25" customHeight="1">
      <c r="E449" s="322"/>
      <c r="F449" s="315"/>
      <c r="G449" s="315"/>
      <c r="H449" s="315"/>
      <c r="I449" s="318"/>
      <c r="J449" s="54"/>
      <c r="L449" s="54"/>
      <c r="M449" s="313"/>
    </row>
    <row r="450" ht="14.25" customHeight="1">
      <c r="E450" s="322"/>
      <c r="F450" s="315"/>
      <c r="G450" s="315"/>
      <c r="H450" s="315"/>
      <c r="I450" s="318"/>
      <c r="J450" s="54"/>
      <c r="L450" s="54"/>
      <c r="M450" s="313"/>
    </row>
    <row r="451" ht="14.25" customHeight="1">
      <c r="E451" s="322"/>
      <c r="F451" s="315"/>
      <c r="G451" s="315"/>
      <c r="H451" s="315"/>
      <c r="I451" s="318"/>
      <c r="J451" s="54"/>
      <c r="L451" s="54"/>
      <c r="M451" s="313"/>
    </row>
    <row r="452" ht="14.25" customHeight="1">
      <c r="E452" s="322"/>
      <c r="F452" s="315"/>
      <c r="G452" s="315"/>
      <c r="H452" s="315"/>
      <c r="I452" s="318"/>
      <c r="J452" s="54"/>
      <c r="L452" s="54"/>
      <c r="M452" s="313"/>
    </row>
    <row r="453" ht="14.25" customHeight="1">
      <c r="E453" s="322"/>
      <c r="F453" s="315"/>
      <c r="G453" s="315"/>
      <c r="H453" s="315"/>
      <c r="I453" s="318"/>
      <c r="J453" s="54"/>
      <c r="L453" s="54"/>
      <c r="M453" s="313"/>
    </row>
    <row r="454" ht="14.25" customHeight="1">
      <c r="E454" s="322"/>
      <c r="F454" s="315"/>
      <c r="G454" s="315"/>
      <c r="H454" s="315"/>
      <c r="I454" s="318"/>
      <c r="J454" s="54"/>
      <c r="L454" s="54"/>
      <c r="M454" s="313"/>
    </row>
    <row r="455" ht="14.25" customHeight="1">
      <c r="E455" s="322"/>
      <c r="F455" s="315"/>
      <c r="G455" s="315"/>
      <c r="H455" s="315"/>
      <c r="I455" s="318"/>
      <c r="J455" s="54"/>
      <c r="L455" s="54"/>
      <c r="M455" s="313"/>
    </row>
    <row r="456" ht="14.25" customHeight="1">
      <c r="E456" s="322"/>
      <c r="F456" s="315"/>
      <c r="G456" s="315"/>
      <c r="H456" s="315"/>
      <c r="I456" s="318"/>
      <c r="J456" s="54"/>
      <c r="L456" s="54"/>
      <c r="M456" s="313"/>
    </row>
    <row r="457" ht="14.25" customHeight="1">
      <c r="E457" s="322"/>
      <c r="F457" s="315"/>
      <c r="G457" s="315"/>
      <c r="H457" s="315"/>
      <c r="I457" s="318"/>
      <c r="J457" s="54"/>
      <c r="L457" s="54"/>
      <c r="M457" s="313"/>
    </row>
    <row r="458" ht="14.25" customHeight="1">
      <c r="E458" s="322"/>
      <c r="F458" s="315"/>
      <c r="G458" s="315"/>
      <c r="H458" s="315"/>
      <c r="I458" s="318"/>
      <c r="J458" s="54"/>
      <c r="L458" s="54"/>
      <c r="M458" s="313"/>
    </row>
    <row r="459" ht="14.25" customHeight="1">
      <c r="E459" s="322"/>
      <c r="F459" s="315"/>
      <c r="G459" s="315"/>
      <c r="H459" s="315"/>
      <c r="I459" s="318"/>
      <c r="J459" s="54"/>
      <c r="L459" s="54"/>
      <c r="M459" s="313"/>
    </row>
    <row r="460" ht="14.25" customHeight="1">
      <c r="E460" s="322"/>
      <c r="F460" s="315"/>
      <c r="G460" s="315"/>
      <c r="H460" s="315"/>
      <c r="I460" s="318"/>
      <c r="J460" s="54"/>
      <c r="L460" s="54"/>
      <c r="M460" s="313"/>
    </row>
    <row r="461" ht="14.25" customHeight="1">
      <c r="E461" s="322"/>
      <c r="F461" s="315"/>
      <c r="G461" s="315"/>
      <c r="H461" s="315"/>
      <c r="I461" s="318"/>
      <c r="J461" s="54"/>
      <c r="L461" s="54"/>
      <c r="M461" s="313"/>
    </row>
    <row r="462" ht="14.25" customHeight="1">
      <c r="E462" s="322"/>
      <c r="F462" s="315"/>
      <c r="G462" s="315"/>
      <c r="H462" s="315"/>
      <c r="I462" s="318"/>
      <c r="J462" s="54"/>
      <c r="L462" s="54"/>
      <c r="M462" s="313"/>
    </row>
    <row r="463" ht="14.25" customHeight="1">
      <c r="E463" s="322"/>
      <c r="F463" s="315"/>
      <c r="G463" s="315"/>
      <c r="H463" s="315"/>
      <c r="I463" s="318"/>
      <c r="J463" s="54"/>
      <c r="L463" s="54"/>
      <c r="M463" s="313"/>
    </row>
    <row r="464" ht="14.25" customHeight="1">
      <c r="E464" s="322"/>
      <c r="F464" s="315"/>
      <c r="G464" s="315"/>
      <c r="H464" s="315"/>
      <c r="I464" s="318"/>
      <c r="J464" s="54"/>
      <c r="L464" s="54"/>
      <c r="M464" s="313"/>
    </row>
    <row r="465" ht="14.25" customHeight="1">
      <c r="E465" s="322"/>
      <c r="F465" s="315"/>
      <c r="G465" s="315"/>
      <c r="H465" s="315"/>
      <c r="I465" s="318"/>
      <c r="J465" s="54"/>
      <c r="L465" s="54"/>
      <c r="M465" s="313"/>
    </row>
    <row r="466" ht="14.25" customHeight="1">
      <c r="E466" s="322"/>
      <c r="F466" s="315"/>
      <c r="G466" s="315"/>
      <c r="H466" s="315"/>
      <c r="I466" s="318"/>
      <c r="J466" s="54"/>
      <c r="L466" s="54"/>
      <c r="M466" s="313"/>
    </row>
    <row r="467" ht="14.25" customHeight="1">
      <c r="E467" s="322"/>
      <c r="F467" s="315"/>
      <c r="G467" s="315"/>
      <c r="H467" s="315"/>
      <c r="I467" s="318"/>
      <c r="J467" s="54"/>
      <c r="L467" s="54"/>
      <c r="M467" s="313"/>
    </row>
    <row r="468" ht="14.25" customHeight="1">
      <c r="E468" s="322"/>
      <c r="F468" s="315"/>
      <c r="G468" s="315"/>
      <c r="H468" s="315"/>
      <c r="I468" s="318"/>
      <c r="J468" s="54"/>
      <c r="L468" s="54"/>
      <c r="M468" s="313"/>
    </row>
    <row r="469" ht="14.25" customHeight="1">
      <c r="E469" s="322"/>
      <c r="F469" s="315"/>
      <c r="G469" s="315"/>
      <c r="H469" s="315"/>
      <c r="I469" s="318"/>
      <c r="J469" s="54"/>
      <c r="L469" s="54"/>
      <c r="M469" s="313"/>
    </row>
    <row r="470" ht="14.25" customHeight="1">
      <c r="E470" s="322"/>
      <c r="F470" s="315"/>
      <c r="G470" s="315"/>
      <c r="H470" s="315"/>
      <c r="I470" s="318"/>
      <c r="J470" s="54"/>
      <c r="L470" s="54"/>
      <c r="M470" s="313"/>
    </row>
    <row r="471" ht="14.25" customHeight="1">
      <c r="E471" s="322"/>
      <c r="F471" s="315"/>
      <c r="G471" s="315"/>
      <c r="H471" s="315"/>
      <c r="I471" s="318"/>
      <c r="J471" s="54"/>
      <c r="L471" s="54"/>
      <c r="M471" s="313"/>
    </row>
    <row r="472" ht="14.25" customHeight="1">
      <c r="E472" s="322"/>
      <c r="F472" s="315"/>
      <c r="G472" s="315"/>
      <c r="H472" s="315"/>
      <c r="I472" s="318"/>
      <c r="J472" s="54"/>
      <c r="L472" s="54"/>
      <c r="M472" s="313"/>
    </row>
    <row r="473" ht="14.25" customHeight="1">
      <c r="E473" s="322"/>
      <c r="F473" s="315"/>
      <c r="G473" s="315"/>
      <c r="H473" s="315"/>
      <c r="I473" s="318"/>
      <c r="J473" s="54"/>
      <c r="L473" s="54"/>
      <c r="M473" s="313"/>
    </row>
    <row r="474" ht="14.25" customHeight="1">
      <c r="E474" s="322"/>
      <c r="F474" s="315"/>
      <c r="G474" s="315"/>
      <c r="H474" s="315"/>
      <c r="I474" s="318"/>
      <c r="J474" s="54"/>
      <c r="L474" s="54"/>
      <c r="M474" s="313"/>
    </row>
    <row r="475" ht="14.25" customHeight="1">
      <c r="E475" s="322"/>
      <c r="F475" s="315"/>
      <c r="G475" s="315"/>
      <c r="H475" s="315"/>
      <c r="I475" s="318"/>
      <c r="J475" s="54"/>
      <c r="L475" s="54"/>
      <c r="M475" s="313"/>
    </row>
    <row r="476" ht="14.25" customHeight="1">
      <c r="E476" s="322"/>
      <c r="F476" s="315"/>
      <c r="G476" s="315"/>
      <c r="H476" s="315"/>
      <c r="I476" s="318"/>
      <c r="J476" s="54"/>
      <c r="L476" s="54"/>
      <c r="M476" s="313"/>
    </row>
    <row r="477" ht="14.25" customHeight="1">
      <c r="E477" s="322"/>
      <c r="F477" s="315"/>
      <c r="G477" s="315"/>
      <c r="H477" s="315"/>
      <c r="I477" s="318"/>
      <c r="J477" s="54"/>
      <c r="L477" s="54"/>
      <c r="M477" s="313"/>
    </row>
    <row r="478" ht="14.25" customHeight="1">
      <c r="E478" s="322"/>
      <c r="F478" s="315"/>
      <c r="G478" s="315"/>
      <c r="H478" s="315"/>
      <c r="I478" s="318"/>
      <c r="J478" s="54"/>
      <c r="L478" s="54"/>
      <c r="M478" s="313"/>
    </row>
    <row r="479" ht="14.25" customHeight="1">
      <c r="E479" s="322"/>
      <c r="F479" s="315"/>
      <c r="G479" s="315"/>
      <c r="H479" s="315"/>
      <c r="I479" s="318"/>
      <c r="J479" s="54"/>
      <c r="L479" s="54"/>
      <c r="M479" s="313"/>
    </row>
    <row r="480" ht="14.25" customHeight="1">
      <c r="E480" s="322"/>
      <c r="F480" s="315"/>
      <c r="G480" s="315"/>
      <c r="H480" s="315"/>
      <c r="I480" s="318"/>
      <c r="J480" s="54"/>
      <c r="L480" s="54"/>
      <c r="M480" s="313"/>
    </row>
    <row r="481" ht="14.25" customHeight="1">
      <c r="E481" s="322"/>
      <c r="F481" s="315"/>
      <c r="G481" s="315"/>
      <c r="H481" s="315"/>
      <c r="I481" s="318"/>
      <c r="J481" s="54"/>
      <c r="L481" s="54"/>
      <c r="M481" s="313"/>
    </row>
    <row r="482" ht="14.25" customHeight="1">
      <c r="E482" s="322"/>
      <c r="F482" s="315"/>
      <c r="G482" s="315"/>
      <c r="H482" s="315"/>
      <c r="I482" s="318"/>
      <c r="J482" s="54"/>
      <c r="L482" s="54"/>
      <c r="M482" s="313"/>
    </row>
    <row r="483" ht="14.25" customHeight="1">
      <c r="E483" s="322"/>
      <c r="F483" s="315"/>
      <c r="G483" s="315"/>
      <c r="H483" s="315"/>
      <c r="I483" s="318"/>
      <c r="J483" s="54"/>
      <c r="L483" s="54"/>
      <c r="M483" s="313"/>
    </row>
    <row r="484" ht="14.25" customHeight="1">
      <c r="E484" s="322"/>
      <c r="F484" s="315"/>
      <c r="G484" s="315"/>
      <c r="H484" s="315"/>
      <c r="I484" s="318"/>
      <c r="J484" s="54"/>
      <c r="L484" s="54"/>
      <c r="M484" s="313"/>
    </row>
    <row r="485" ht="14.25" customHeight="1">
      <c r="E485" s="322"/>
      <c r="F485" s="315"/>
      <c r="G485" s="315"/>
      <c r="H485" s="315"/>
      <c r="I485" s="318"/>
      <c r="J485" s="54"/>
      <c r="L485" s="54"/>
      <c r="M485" s="313"/>
    </row>
    <row r="486" ht="14.25" customHeight="1">
      <c r="E486" s="322"/>
      <c r="F486" s="315"/>
      <c r="G486" s="315"/>
      <c r="H486" s="315"/>
      <c r="I486" s="318"/>
      <c r="J486" s="54"/>
      <c r="L486" s="54"/>
      <c r="M486" s="313"/>
    </row>
    <row r="487" ht="14.25" customHeight="1">
      <c r="E487" s="322"/>
      <c r="F487" s="315"/>
      <c r="G487" s="315"/>
      <c r="H487" s="315"/>
      <c r="I487" s="318"/>
      <c r="J487" s="54"/>
      <c r="L487" s="54"/>
      <c r="M487" s="313"/>
    </row>
    <row r="488" ht="14.25" customHeight="1">
      <c r="E488" s="322"/>
      <c r="F488" s="315"/>
      <c r="G488" s="315"/>
      <c r="H488" s="315"/>
      <c r="I488" s="318"/>
      <c r="J488" s="54"/>
      <c r="L488" s="54"/>
      <c r="M488" s="313"/>
    </row>
    <row r="489" ht="14.25" customHeight="1">
      <c r="E489" s="322"/>
      <c r="F489" s="315"/>
      <c r="G489" s="315"/>
      <c r="H489" s="315"/>
      <c r="I489" s="318"/>
      <c r="J489" s="54"/>
      <c r="L489" s="54"/>
      <c r="M489" s="313"/>
    </row>
    <row r="490" ht="14.25" customHeight="1">
      <c r="E490" s="322"/>
      <c r="F490" s="315"/>
      <c r="G490" s="315"/>
      <c r="H490" s="315"/>
      <c r="I490" s="318"/>
      <c r="J490" s="54"/>
      <c r="L490" s="54"/>
      <c r="M490" s="313"/>
    </row>
    <row r="491" ht="14.25" customHeight="1">
      <c r="E491" s="322"/>
      <c r="F491" s="315"/>
      <c r="G491" s="315"/>
      <c r="H491" s="315"/>
      <c r="I491" s="318"/>
      <c r="J491" s="54"/>
      <c r="L491" s="54"/>
      <c r="M491" s="313"/>
    </row>
    <row r="492" ht="14.25" customHeight="1">
      <c r="E492" s="322"/>
      <c r="F492" s="315"/>
      <c r="G492" s="315"/>
      <c r="H492" s="315"/>
      <c r="I492" s="318"/>
      <c r="J492" s="54"/>
      <c r="L492" s="54"/>
      <c r="M492" s="313"/>
    </row>
    <row r="493" ht="14.25" customHeight="1">
      <c r="E493" s="322"/>
      <c r="F493" s="315"/>
      <c r="G493" s="315"/>
      <c r="H493" s="315"/>
      <c r="I493" s="318"/>
      <c r="J493" s="54"/>
      <c r="L493" s="54"/>
      <c r="M493" s="313"/>
    </row>
    <row r="494" ht="14.25" customHeight="1">
      <c r="E494" s="322"/>
      <c r="F494" s="315"/>
      <c r="G494" s="315"/>
      <c r="H494" s="315"/>
      <c r="I494" s="318"/>
      <c r="J494" s="54"/>
      <c r="L494" s="54"/>
      <c r="M494" s="313"/>
    </row>
    <row r="495" ht="14.25" customHeight="1">
      <c r="E495" s="322"/>
      <c r="F495" s="315"/>
      <c r="G495" s="315"/>
      <c r="H495" s="315"/>
      <c r="I495" s="318"/>
      <c r="J495" s="54"/>
      <c r="L495" s="54"/>
      <c r="M495" s="313"/>
    </row>
    <row r="496" ht="14.25" customHeight="1">
      <c r="E496" s="322"/>
      <c r="F496" s="315"/>
      <c r="G496" s="315"/>
      <c r="H496" s="315"/>
      <c r="I496" s="318"/>
      <c r="J496" s="54"/>
      <c r="L496" s="54"/>
      <c r="M496" s="313"/>
    </row>
    <row r="497" ht="14.25" customHeight="1">
      <c r="E497" s="322"/>
      <c r="F497" s="315"/>
      <c r="G497" s="315"/>
      <c r="H497" s="315"/>
      <c r="I497" s="318"/>
      <c r="J497" s="54"/>
      <c r="L497" s="54"/>
      <c r="M497" s="313"/>
    </row>
    <row r="498" ht="14.25" customHeight="1">
      <c r="E498" s="322"/>
      <c r="F498" s="315"/>
      <c r="G498" s="315"/>
      <c r="H498" s="315"/>
      <c r="I498" s="318"/>
      <c r="J498" s="54"/>
      <c r="L498" s="54"/>
      <c r="M498" s="313"/>
    </row>
    <row r="499" ht="14.25" customHeight="1">
      <c r="E499" s="322"/>
      <c r="F499" s="315"/>
      <c r="G499" s="315"/>
      <c r="H499" s="315"/>
      <c r="I499" s="318"/>
      <c r="J499" s="54"/>
      <c r="L499" s="54"/>
      <c r="M499" s="313"/>
    </row>
    <row r="500" ht="14.25" customHeight="1">
      <c r="E500" s="322"/>
      <c r="F500" s="315"/>
      <c r="G500" s="315"/>
      <c r="H500" s="315"/>
      <c r="I500" s="318"/>
      <c r="J500" s="54"/>
      <c r="L500" s="54"/>
      <c r="M500" s="313"/>
    </row>
    <row r="501" ht="14.25" customHeight="1">
      <c r="E501" s="322"/>
      <c r="F501" s="315"/>
      <c r="G501" s="315"/>
      <c r="H501" s="315"/>
      <c r="I501" s="318"/>
      <c r="J501" s="54"/>
      <c r="L501" s="54"/>
      <c r="M501" s="313"/>
    </row>
    <row r="502" ht="14.25" customHeight="1">
      <c r="E502" s="322"/>
      <c r="F502" s="315"/>
      <c r="G502" s="315"/>
      <c r="H502" s="315"/>
      <c r="I502" s="318"/>
      <c r="J502" s="54"/>
      <c r="L502" s="54"/>
      <c r="M502" s="313"/>
    </row>
    <row r="503" ht="14.25" customHeight="1">
      <c r="E503" s="322"/>
      <c r="F503" s="315"/>
      <c r="G503" s="315"/>
      <c r="H503" s="315"/>
      <c r="I503" s="318"/>
      <c r="J503" s="54"/>
      <c r="L503" s="54"/>
      <c r="M503" s="313"/>
    </row>
    <row r="504" ht="14.25" customHeight="1">
      <c r="E504" s="322"/>
      <c r="F504" s="315"/>
      <c r="G504" s="315"/>
      <c r="H504" s="315"/>
      <c r="I504" s="318"/>
      <c r="J504" s="54"/>
      <c r="L504" s="54"/>
      <c r="M504" s="313"/>
    </row>
    <row r="505" ht="14.25" customHeight="1">
      <c r="E505" s="322"/>
      <c r="F505" s="315"/>
      <c r="G505" s="315"/>
      <c r="H505" s="315"/>
      <c r="I505" s="318"/>
      <c r="J505" s="54"/>
      <c r="L505" s="54"/>
      <c r="M505" s="313"/>
    </row>
    <row r="506" ht="14.25" customHeight="1">
      <c r="E506" s="322"/>
      <c r="F506" s="315"/>
      <c r="G506" s="315"/>
      <c r="H506" s="315"/>
      <c r="I506" s="318"/>
      <c r="J506" s="54"/>
      <c r="L506" s="54"/>
      <c r="M506" s="313"/>
    </row>
    <row r="507" ht="14.25" customHeight="1">
      <c r="E507" s="322"/>
      <c r="F507" s="315"/>
      <c r="G507" s="315"/>
      <c r="H507" s="315"/>
      <c r="I507" s="318"/>
      <c r="J507" s="54"/>
      <c r="L507" s="54"/>
      <c r="M507" s="313"/>
    </row>
    <row r="508" ht="14.25" customHeight="1">
      <c r="E508" s="322"/>
      <c r="F508" s="315"/>
      <c r="G508" s="315"/>
      <c r="H508" s="315"/>
      <c r="I508" s="318"/>
      <c r="J508" s="54"/>
      <c r="L508" s="54"/>
      <c r="M508" s="313"/>
    </row>
    <row r="509" ht="14.25" customHeight="1">
      <c r="E509" s="322"/>
      <c r="F509" s="315"/>
      <c r="G509" s="315"/>
      <c r="H509" s="315"/>
      <c r="I509" s="318"/>
      <c r="J509" s="54"/>
      <c r="L509" s="54"/>
      <c r="M509" s="313"/>
    </row>
    <row r="510" ht="14.25" customHeight="1">
      <c r="E510" s="322"/>
      <c r="F510" s="315"/>
      <c r="G510" s="315"/>
      <c r="H510" s="315"/>
      <c r="I510" s="318"/>
      <c r="J510" s="54"/>
      <c r="L510" s="54"/>
      <c r="M510" s="313"/>
    </row>
    <row r="511" ht="14.25" customHeight="1">
      <c r="E511" s="322"/>
      <c r="F511" s="315"/>
      <c r="G511" s="315"/>
      <c r="H511" s="315"/>
      <c r="I511" s="318"/>
      <c r="J511" s="54"/>
      <c r="L511" s="54"/>
      <c r="M511" s="313"/>
    </row>
    <row r="512" ht="14.25" customHeight="1">
      <c r="E512" s="322"/>
      <c r="F512" s="315"/>
      <c r="G512" s="315"/>
      <c r="H512" s="315"/>
      <c r="I512" s="318"/>
      <c r="J512" s="54"/>
      <c r="L512" s="54"/>
      <c r="M512" s="313"/>
    </row>
    <row r="513" ht="14.25" customHeight="1">
      <c r="E513" s="322"/>
      <c r="F513" s="315"/>
      <c r="G513" s="315"/>
      <c r="H513" s="315"/>
      <c r="I513" s="318"/>
      <c r="J513" s="54"/>
      <c r="L513" s="54"/>
      <c r="M513" s="313"/>
    </row>
    <row r="514" ht="14.25" customHeight="1">
      <c r="E514" s="322"/>
      <c r="F514" s="315"/>
      <c r="G514" s="315"/>
      <c r="H514" s="315"/>
      <c r="I514" s="318"/>
      <c r="J514" s="54"/>
      <c r="L514" s="54"/>
      <c r="M514" s="313"/>
    </row>
    <row r="515" ht="14.25" customHeight="1">
      <c r="E515" s="322"/>
      <c r="F515" s="315"/>
      <c r="G515" s="315"/>
      <c r="H515" s="315"/>
      <c r="I515" s="318"/>
      <c r="J515" s="54"/>
      <c r="L515" s="54"/>
      <c r="M515" s="313"/>
    </row>
    <row r="516" ht="14.25" customHeight="1">
      <c r="E516" s="322"/>
      <c r="F516" s="315"/>
      <c r="G516" s="315"/>
      <c r="H516" s="315"/>
      <c r="I516" s="318"/>
      <c r="J516" s="54"/>
      <c r="L516" s="54"/>
      <c r="M516" s="313"/>
    </row>
    <row r="517" ht="14.25" customHeight="1">
      <c r="E517" s="322"/>
      <c r="F517" s="315"/>
      <c r="G517" s="315"/>
      <c r="H517" s="315"/>
      <c r="I517" s="318"/>
      <c r="J517" s="54"/>
      <c r="L517" s="54"/>
      <c r="M517" s="313"/>
    </row>
    <row r="518" ht="14.25" customHeight="1">
      <c r="E518" s="322"/>
      <c r="F518" s="315"/>
      <c r="G518" s="315"/>
      <c r="H518" s="315"/>
      <c r="I518" s="318"/>
      <c r="J518" s="54"/>
      <c r="L518" s="54"/>
      <c r="M518" s="313"/>
    </row>
    <row r="519" ht="14.25" customHeight="1">
      <c r="E519" s="322"/>
      <c r="F519" s="315"/>
      <c r="G519" s="315"/>
      <c r="H519" s="315"/>
      <c r="I519" s="318"/>
      <c r="J519" s="54"/>
      <c r="L519" s="54"/>
      <c r="M519" s="313"/>
    </row>
    <row r="520" ht="14.25" customHeight="1">
      <c r="E520" s="322"/>
      <c r="F520" s="315"/>
      <c r="G520" s="315"/>
      <c r="H520" s="315"/>
      <c r="I520" s="318"/>
      <c r="J520" s="54"/>
      <c r="L520" s="54"/>
      <c r="M520" s="313"/>
    </row>
    <row r="521" ht="14.25" customHeight="1">
      <c r="E521" s="322"/>
      <c r="F521" s="315"/>
      <c r="G521" s="315"/>
      <c r="H521" s="315"/>
      <c r="I521" s="318"/>
      <c r="J521" s="54"/>
      <c r="L521" s="54"/>
      <c r="M521" s="313"/>
    </row>
    <row r="522" ht="14.25" customHeight="1">
      <c r="E522" s="322"/>
      <c r="F522" s="315"/>
      <c r="G522" s="315"/>
      <c r="H522" s="315"/>
      <c r="I522" s="318"/>
      <c r="J522" s="54"/>
      <c r="L522" s="54"/>
      <c r="M522" s="313"/>
    </row>
    <row r="523" ht="14.25" customHeight="1">
      <c r="E523" s="322"/>
      <c r="F523" s="315"/>
      <c r="G523" s="315"/>
      <c r="H523" s="315"/>
      <c r="I523" s="318"/>
      <c r="J523" s="54"/>
      <c r="L523" s="54"/>
      <c r="M523" s="313"/>
    </row>
    <row r="524" ht="14.25" customHeight="1">
      <c r="E524" s="322"/>
      <c r="F524" s="315"/>
      <c r="G524" s="315"/>
      <c r="H524" s="315"/>
      <c r="I524" s="318"/>
      <c r="J524" s="54"/>
      <c r="L524" s="54"/>
      <c r="M524" s="313"/>
    </row>
    <row r="525" ht="14.25" customHeight="1">
      <c r="E525" s="322"/>
      <c r="F525" s="315"/>
      <c r="G525" s="315"/>
      <c r="H525" s="315"/>
      <c r="I525" s="318"/>
      <c r="J525" s="54"/>
      <c r="L525" s="54"/>
      <c r="M525" s="313"/>
    </row>
    <row r="526" ht="14.25" customHeight="1">
      <c r="E526" s="322"/>
      <c r="F526" s="315"/>
      <c r="G526" s="315"/>
      <c r="H526" s="315"/>
      <c r="I526" s="318"/>
      <c r="J526" s="54"/>
      <c r="L526" s="54"/>
      <c r="M526" s="313"/>
    </row>
    <row r="527" ht="14.25" customHeight="1">
      <c r="E527" s="322"/>
      <c r="F527" s="315"/>
      <c r="G527" s="315"/>
      <c r="H527" s="315"/>
      <c r="I527" s="318"/>
      <c r="J527" s="54"/>
      <c r="L527" s="54"/>
      <c r="M527" s="313"/>
    </row>
    <row r="528" ht="14.25" customHeight="1">
      <c r="E528" s="322"/>
      <c r="F528" s="315"/>
      <c r="G528" s="315"/>
      <c r="H528" s="315"/>
      <c r="I528" s="318"/>
      <c r="J528" s="54"/>
      <c r="L528" s="54"/>
      <c r="M528" s="313"/>
    </row>
    <row r="529" ht="14.25" customHeight="1">
      <c r="E529" s="322"/>
      <c r="F529" s="315"/>
      <c r="G529" s="315"/>
      <c r="H529" s="315"/>
      <c r="I529" s="318"/>
      <c r="J529" s="54"/>
      <c r="L529" s="54"/>
      <c r="M529" s="313"/>
    </row>
    <row r="530" ht="14.25" customHeight="1">
      <c r="E530" s="322"/>
      <c r="F530" s="315"/>
      <c r="G530" s="315"/>
      <c r="H530" s="315"/>
      <c r="I530" s="318"/>
      <c r="J530" s="54"/>
      <c r="L530" s="54"/>
      <c r="M530" s="313"/>
    </row>
    <row r="531" ht="14.25" customHeight="1">
      <c r="E531" s="322"/>
      <c r="F531" s="315"/>
      <c r="G531" s="315"/>
      <c r="H531" s="315"/>
      <c r="I531" s="318"/>
      <c r="J531" s="54"/>
      <c r="L531" s="54"/>
      <c r="M531" s="313"/>
    </row>
    <row r="532" ht="14.25" customHeight="1">
      <c r="E532" s="322"/>
      <c r="F532" s="315"/>
      <c r="G532" s="315"/>
      <c r="H532" s="315"/>
      <c r="I532" s="318"/>
      <c r="J532" s="54"/>
      <c r="L532" s="54"/>
      <c r="M532" s="313"/>
    </row>
    <row r="533" ht="14.25" customHeight="1">
      <c r="E533" s="322"/>
      <c r="F533" s="315"/>
      <c r="G533" s="315"/>
      <c r="H533" s="315"/>
      <c r="I533" s="318"/>
      <c r="J533" s="54"/>
      <c r="L533" s="54"/>
      <c r="M533" s="313"/>
    </row>
    <row r="534" ht="14.25" customHeight="1">
      <c r="E534" s="322"/>
      <c r="F534" s="315"/>
      <c r="G534" s="315"/>
      <c r="H534" s="315"/>
      <c r="I534" s="318"/>
      <c r="J534" s="54"/>
      <c r="L534" s="54"/>
      <c r="M534" s="313"/>
    </row>
    <row r="535" ht="14.25" customHeight="1">
      <c r="E535" s="322"/>
      <c r="F535" s="315"/>
      <c r="G535" s="315"/>
      <c r="H535" s="315"/>
      <c r="I535" s="318"/>
      <c r="J535" s="54"/>
      <c r="L535" s="54"/>
      <c r="M535" s="313"/>
    </row>
    <row r="536" ht="14.25" customHeight="1">
      <c r="E536" s="322"/>
      <c r="F536" s="315"/>
      <c r="G536" s="315"/>
      <c r="H536" s="315"/>
      <c r="I536" s="318"/>
      <c r="J536" s="54"/>
      <c r="L536" s="54"/>
      <c r="M536" s="313"/>
    </row>
    <row r="537" ht="14.25" customHeight="1">
      <c r="E537" s="322"/>
      <c r="F537" s="315"/>
      <c r="G537" s="315"/>
      <c r="H537" s="315"/>
      <c r="I537" s="318"/>
      <c r="J537" s="54"/>
      <c r="L537" s="54"/>
      <c r="M537" s="313"/>
    </row>
    <row r="538" ht="14.25" customHeight="1">
      <c r="E538" s="322"/>
      <c r="F538" s="315"/>
      <c r="G538" s="315"/>
      <c r="H538" s="315"/>
      <c r="I538" s="318"/>
      <c r="J538" s="54"/>
      <c r="L538" s="54"/>
      <c r="M538" s="313"/>
    </row>
    <row r="539" ht="14.25" customHeight="1">
      <c r="E539" s="322"/>
      <c r="F539" s="315"/>
      <c r="G539" s="315"/>
      <c r="H539" s="315"/>
      <c r="I539" s="318"/>
      <c r="J539" s="54"/>
      <c r="L539" s="54"/>
      <c r="M539" s="313"/>
    </row>
    <row r="540" ht="14.25" customHeight="1">
      <c r="E540" s="322"/>
      <c r="F540" s="315"/>
      <c r="G540" s="315"/>
      <c r="H540" s="315"/>
      <c r="I540" s="318"/>
      <c r="J540" s="54"/>
      <c r="L540" s="54"/>
      <c r="M540" s="313"/>
    </row>
    <row r="541" ht="14.25" customHeight="1">
      <c r="E541" s="322"/>
      <c r="F541" s="315"/>
      <c r="G541" s="315"/>
      <c r="H541" s="315"/>
      <c r="I541" s="318"/>
      <c r="J541" s="54"/>
      <c r="L541" s="54"/>
      <c r="M541" s="313"/>
    </row>
    <row r="542" ht="14.25" customHeight="1">
      <c r="E542" s="322"/>
      <c r="F542" s="315"/>
      <c r="G542" s="315"/>
      <c r="H542" s="315"/>
      <c r="I542" s="318"/>
      <c r="J542" s="54"/>
      <c r="L542" s="54"/>
      <c r="M542" s="313"/>
    </row>
    <row r="543" ht="14.25" customHeight="1">
      <c r="E543" s="322"/>
      <c r="F543" s="315"/>
      <c r="G543" s="315"/>
      <c r="H543" s="315"/>
      <c r="I543" s="318"/>
      <c r="J543" s="54"/>
      <c r="L543" s="54"/>
      <c r="M543" s="313"/>
    </row>
    <row r="544" ht="14.25" customHeight="1">
      <c r="E544" s="322"/>
      <c r="F544" s="315"/>
      <c r="G544" s="315"/>
      <c r="H544" s="315"/>
      <c r="I544" s="318"/>
      <c r="J544" s="54"/>
      <c r="L544" s="54"/>
      <c r="M544" s="313"/>
    </row>
    <row r="545" ht="14.25" customHeight="1">
      <c r="E545" s="322"/>
      <c r="F545" s="315"/>
      <c r="G545" s="315"/>
      <c r="H545" s="315"/>
      <c r="I545" s="318"/>
      <c r="J545" s="54"/>
      <c r="L545" s="54"/>
      <c r="M545" s="313"/>
    </row>
    <row r="546" ht="14.25" customHeight="1">
      <c r="E546" s="322"/>
      <c r="F546" s="315"/>
      <c r="G546" s="315"/>
      <c r="H546" s="315"/>
      <c r="I546" s="318"/>
      <c r="J546" s="54"/>
      <c r="L546" s="54"/>
      <c r="M546" s="313"/>
    </row>
    <row r="547" ht="14.25" customHeight="1">
      <c r="E547" s="322"/>
      <c r="F547" s="315"/>
      <c r="G547" s="315"/>
      <c r="H547" s="315"/>
      <c r="I547" s="318"/>
      <c r="J547" s="54"/>
      <c r="L547" s="54"/>
      <c r="M547" s="313"/>
    </row>
    <row r="548" ht="14.25" customHeight="1">
      <c r="E548" s="322"/>
      <c r="F548" s="315"/>
      <c r="G548" s="315"/>
      <c r="H548" s="315"/>
      <c r="I548" s="318"/>
      <c r="J548" s="54"/>
      <c r="L548" s="54"/>
      <c r="M548" s="313"/>
    </row>
    <row r="549" ht="14.25" customHeight="1">
      <c r="E549" s="322"/>
      <c r="F549" s="315"/>
      <c r="G549" s="315"/>
      <c r="H549" s="315"/>
      <c r="I549" s="318"/>
      <c r="J549" s="54"/>
      <c r="L549" s="54"/>
      <c r="M549" s="313"/>
    </row>
    <row r="550" ht="14.25" customHeight="1">
      <c r="E550" s="322"/>
      <c r="F550" s="315"/>
      <c r="G550" s="315"/>
      <c r="H550" s="315"/>
      <c r="I550" s="318"/>
      <c r="J550" s="54"/>
      <c r="L550" s="54"/>
      <c r="M550" s="313"/>
    </row>
    <row r="551" ht="14.25" customHeight="1">
      <c r="E551" s="322"/>
      <c r="F551" s="315"/>
      <c r="G551" s="315"/>
      <c r="H551" s="315"/>
      <c r="I551" s="318"/>
      <c r="J551" s="54"/>
      <c r="L551" s="54"/>
      <c r="M551" s="313"/>
    </row>
    <row r="552" ht="14.25" customHeight="1">
      <c r="E552" s="322"/>
      <c r="F552" s="315"/>
      <c r="G552" s="315"/>
      <c r="H552" s="315"/>
      <c r="I552" s="318"/>
      <c r="J552" s="54"/>
      <c r="L552" s="54"/>
      <c r="M552" s="313"/>
    </row>
    <row r="553" ht="14.25" customHeight="1">
      <c r="E553" s="322"/>
      <c r="F553" s="315"/>
      <c r="G553" s="315"/>
      <c r="H553" s="315"/>
      <c r="I553" s="318"/>
      <c r="J553" s="54"/>
      <c r="L553" s="54"/>
      <c r="M553" s="313"/>
    </row>
    <row r="554" ht="14.25" customHeight="1">
      <c r="E554" s="322"/>
      <c r="F554" s="315"/>
      <c r="G554" s="315"/>
      <c r="H554" s="315"/>
      <c r="I554" s="318"/>
      <c r="J554" s="54"/>
      <c r="L554" s="54"/>
      <c r="M554" s="313"/>
    </row>
    <row r="555" ht="14.25" customHeight="1">
      <c r="E555" s="322"/>
      <c r="F555" s="315"/>
      <c r="G555" s="315"/>
      <c r="H555" s="315"/>
      <c r="I555" s="318"/>
      <c r="J555" s="54"/>
      <c r="L555" s="54"/>
      <c r="M555" s="313"/>
    </row>
    <row r="556" ht="14.25" customHeight="1">
      <c r="E556" s="322"/>
      <c r="F556" s="315"/>
      <c r="G556" s="315"/>
      <c r="H556" s="315"/>
      <c r="I556" s="318"/>
      <c r="J556" s="54"/>
      <c r="L556" s="54"/>
      <c r="M556" s="313"/>
    </row>
    <row r="557" ht="14.25" customHeight="1">
      <c r="E557" s="322"/>
      <c r="F557" s="315"/>
      <c r="G557" s="315"/>
      <c r="H557" s="315"/>
      <c r="I557" s="318"/>
      <c r="J557" s="54"/>
      <c r="L557" s="54"/>
      <c r="M557" s="313"/>
    </row>
    <row r="558" ht="14.25" customHeight="1">
      <c r="E558" s="322"/>
      <c r="F558" s="315"/>
      <c r="G558" s="315"/>
      <c r="H558" s="315"/>
      <c r="I558" s="318"/>
      <c r="J558" s="54"/>
      <c r="L558" s="54"/>
      <c r="M558" s="313"/>
    </row>
    <row r="559" ht="14.25" customHeight="1">
      <c r="E559" s="322"/>
      <c r="F559" s="315"/>
      <c r="G559" s="315"/>
      <c r="H559" s="315"/>
      <c r="I559" s="318"/>
      <c r="J559" s="54"/>
      <c r="L559" s="54"/>
      <c r="M559" s="313"/>
    </row>
    <row r="560" ht="14.25" customHeight="1">
      <c r="E560" s="322"/>
      <c r="F560" s="315"/>
      <c r="G560" s="315"/>
      <c r="H560" s="315"/>
      <c r="I560" s="318"/>
      <c r="J560" s="54"/>
      <c r="L560" s="54"/>
      <c r="M560" s="313"/>
    </row>
    <row r="561" ht="14.25" customHeight="1">
      <c r="E561" s="322"/>
      <c r="F561" s="315"/>
      <c r="G561" s="315"/>
      <c r="H561" s="315"/>
      <c r="I561" s="318"/>
      <c r="J561" s="54"/>
      <c r="L561" s="54"/>
      <c r="M561" s="313"/>
    </row>
    <row r="562" ht="14.25" customHeight="1">
      <c r="E562" s="322"/>
      <c r="F562" s="315"/>
      <c r="G562" s="315"/>
      <c r="H562" s="315"/>
      <c r="I562" s="318"/>
      <c r="J562" s="54"/>
      <c r="L562" s="54"/>
      <c r="M562" s="313"/>
    </row>
    <row r="563" ht="14.25" customHeight="1">
      <c r="E563" s="322"/>
      <c r="F563" s="315"/>
      <c r="G563" s="315"/>
      <c r="H563" s="315"/>
      <c r="I563" s="318"/>
      <c r="J563" s="54"/>
      <c r="L563" s="54"/>
      <c r="M563" s="313"/>
    </row>
    <row r="564" ht="14.25" customHeight="1">
      <c r="E564" s="322"/>
      <c r="F564" s="315"/>
      <c r="G564" s="315"/>
      <c r="H564" s="315"/>
      <c r="I564" s="318"/>
      <c r="J564" s="54"/>
      <c r="L564" s="54"/>
      <c r="M564" s="313"/>
    </row>
    <row r="565" ht="14.25" customHeight="1">
      <c r="E565" s="322"/>
      <c r="F565" s="315"/>
      <c r="G565" s="315"/>
      <c r="H565" s="315"/>
      <c r="I565" s="318"/>
      <c r="J565" s="54"/>
      <c r="L565" s="54"/>
      <c r="M565" s="313"/>
    </row>
    <row r="566" ht="14.25" customHeight="1">
      <c r="E566" s="322"/>
      <c r="F566" s="315"/>
      <c r="G566" s="315"/>
      <c r="H566" s="315"/>
      <c r="I566" s="318"/>
      <c r="J566" s="54"/>
      <c r="L566" s="54"/>
      <c r="M566" s="313"/>
    </row>
    <row r="567" ht="14.25" customHeight="1">
      <c r="E567" s="322"/>
      <c r="F567" s="315"/>
      <c r="G567" s="315"/>
      <c r="H567" s="315"/>
      <c r="I567" s="318"/>
      <c r="J567" s="54"/>
      <c r="L567" s="54"/>
      <c r="M567" s="313"/>
    </row>
    <row r="568" ht="14.25" customHeight="1">
      <c r="E568" s="322"/>
      <c r="F568" s="315"/>
      <c r="G568" s="315"/>
      <c r="H568" s="315"/>
      <c r="I568" s="318"/>
      <c r="J568" s="54"/>
      <c r="L568" s="54"/>
      <c r="M568" s="313"/>
    </row>
    <row r="569" ht="14.25" customHeight="1">
      <c r="E569" s="322"/>
      <c r="F569" s="315"/>
      <c r="G569" s="315"/>
      <c r="H569" s="315"/>
      <c r="I569" s="318"/>
      <c r="J569" s="54"/>
      <c r="L569" s="54"/>
      <c r="M569" s="313"/>
    </row>
    <row r="570" ht="14.25" customHeight="1">
      <c r="E570" s="322"/>
      <c r="F570" s="315"/>
      <c r="G570" s="315"/>
      <c r="H570" s="315"/>
      <c r="I570" s="318"/>
      <c r="J570" s="54"/>
      <c r="L570" s="54"/>
      <c r="M570" s="313"/>
    </row>
    <row r="571" ht="14.25" customHeight="1">
      <c r="E571" s="322"/>
      <c r="F571" s="315"/>
      <c r="G571" s="315"/>
      <c r="H571" s="315"/>
      <c r="I571" s="318"/>
      <c r="J571" s="54"/>
      <c r="L571" s="54"/>
      <c r="M571" s="313"/>
    </row>
    <row r="572" ht="14.25" customHeight="1">
      <c r="E572" s="322"/>
      <c r="F572" s="315"/>
      <c r="G572" s="315"/>
      <c r="H572" s="315"/>
      <c r="I572" s="318"/>
      <c r="J572" s="54"/>
      <c r="L572" s="54"/>
      <c r="M572" s="313"/>
    </row>
    <row r="573" ht="14.25" customHeight="1">
      <c r="E573" s="322"/>
      <c r="F573" s="315"/>
      <c r="G573" s="315"/>
      <c r="H573" s="315"/>
      <c r="I573" s="318"/>
      <c r="J573" s="54"/>
      <c r="L573" s="54"/>
      <c r="M573" s="313"/>
    </row>
    <row r="574" ht="14.25" customHeight="1">
      <c r="E574" s="322"/>
      <c r="F574" s="315"/>
      <c r="G574" s="315"/>
      <c r="H574" s="315"/>
      <c r="I574" s="318"/>
      <c r="J574" s="54"/>
      <c r="L574" s="54"/>
      <c r="M574" s="313"/>
    </row>
    <row r="575" ht="14.25" customHeight="1">
      <c r="E575" s="322"/>
      <c r="F575" s="315"/>
      <c r="G575" s="315"/>
      <c r="H575" s="315"/>
      <c r="I575" s="318"/>
      <c r="J575" s="54"/>
      <c r="L575" s="54"/>
      <c r="M575" s="313"/>
    </row>
    <row r="576" ht="14.25" customHeight="1">
      <c r="E576" s="322"/>
      <c r="F576" s="315"/>
      <c r="G576" s="315"/>
      <c r="H576" s="315"/>
      <c r="I576" s="318"/>
      <c r="J576" s="54"/>
      <c r="L576" s="54"/>
      <c r="M576" s="313"/>
    </row>
    <row r="577" ht="14.25" customHeight="1">
      <c r="E577" s="322"/>
      <c r="F577" s="315"/>
      <c r="G577" s="315"/>
      <c r="H577" s="315"/>
      <c r="I577" s="318"/>
      <c r="J577" s="54"/>
      <c r="L577" s="54"/>
      <c r="M577" s="313"/>
    </row>
    <row r="578" ht="14.25" customHeight="1">
      <c r="E578" s="322"/>
      <c r="F578" s="315"/>
      <c r="G578" s="315"/>
      <c r="H578" s="315"/>
      <c r="I578" s="318"/>
      <c r="J578" s="54"/>
      <c r="L578" s="54"/>
      <c r="M578" s="313"/>
    </row>
    <row r="579" ht="14.25" customHeight="1">
      <c r="E579" s="322"/>
      <c r="F579" s="315"/>
      <c r="G579" s="315"/>
      <c r="H579" s="315"/>
      <c r="I579" s="318"/>
      <c r="J579" s="54"/>
      <c r="L579" s="54"/>
      <c r="M579" s="313"/>
    </row>
    <row r="580" ht="14.25" customHeight="1">
      <c r="E580" s="322"/>
      <c r="F580" s="315"/>
      <c r="G580" s="315"/>
      <c r="H580" s="315"/>
      <c r="I580" s="318"/>
      <c r="J580" s="54"/>
      <c r="L580" s="54"/>
      <c r="M580" s="313"/>
    </row>
    <row r="581" ht="14.25" customHeight="1">
      <c r="E581" s="322"/>
      <c r="F581" s="315"/>
      <c r="G581" s="315"/>
      <c r="H581" s="315"/>
      <c r="I581" s="318"/>
      <c r="J581" s="54"/>
      <c r="L581" s="54"/>
      <c r="M581" s="313"/>
    </row>
    <row r="582" ht="14.25" customHeight="1">
      <c r="E582" s="322"/>
      <c r="F582" s="315"/>
      <c r="G582" s="315"/>
      <c r="H582" s="315"/>
      <c r="I582" s="318"/>
      <c r="J582" s="54"/>
      <c r="L582" s="54"/>
      <c r="M582" s="313"/>
    </row>
    <row r="583" ht="14.25" customHeight="1">
      <c r="E583" s="322"/>
      <c r="F583" s="315"/>
      <c r="G583" s="315"/>
      <c r="H583" s="315"/>
      <c r="I583" s="318"/>
      <c r="J583" s="54"/>
      <c r="L583" s="54"/>
      <c r="M583" s="313"/>
    </row>
    <row r="584" ht="14.25" customHeight="1">
      <c r="E584" s="322"/>
      <c r="F584" s="315"/>
      <c r="G584" s="315"/>
      <c r="H584" s="315"/>
      <c r="I584" s="318"/>
      <c r="J584" s="54"/>
      <c r="L584" s="54"/>
      <c r="M584" s="313"/>
    </row>
    <row r="585" ht="14.25" customHeight="1">
      <c r="E585" s="322"/>
      <c r="F585" s="315"/>
      <c r="G585" s="315"/>
      <c r="H585" s="315"/>
      <c r="I585" s="318"/>
      <c r="J585" s="54"/>
      <c r="L585" s="54"/>
      <c r="M585" s="313"/>
    </row>
    <row r="586" ht="14.25" customHeight="1">
      <c r="E586" s="322"/>
      <c r="F586" s="315"/>
      <c r="G586" s="315"/>
      <c r="H586" s="315"/>
      <c r="I586" s="318"/>
      <c r="J586" s="54"/>
      <c r="L586" s="54"/>
      <c r="M586" s="313"/>
    </row>
    <row r="587" ht="14.25" customHeight="1">
      <c r="E587" s="322"/>
      <c r="F587" s="315"/>
      <c r="G587" s="315"/>
      <c r="H587" s="315"/>
      <c r="I587" s="318"/>
      <c r="J587" s="54"/>
      <c r="L587" s="54"/>
      <c r="M587" s="313"/>
    </row>
    <row r="588" ht="14.25" customHeight="1">
      <c r="E588" s="322"/>
      <c r="F588" s="315"/>
      <c r="G588" s="315"/>
      <c r="H588" s="315"/>
      <c r="I588" s="318"/>
      <c r="J588" s="54"/>
      <c r="L588" s="54"/>
      <c r="M588" s="313"/>
    </row>
    <row r="589" ht="14.25" customHeight="1">
      <c r="E589" s="322"/>
      <c r="F589" s="315"/>
      <c r="G589" s="315"/>
      <c r="H589" s="315"/>
      <c r="I589" s="318"/>
      <c r="J589" s="54"/>
      <c r="L589" s="54"/>
      <c r="M589" s="313"/>
    </row>
    <row r="590" ht="14.25" customHeight="1">
      <c r="E590" s="322"/>
      <c r="F590" s="315"/>
      <c r="G590" s="315"/>
      <c r="H590" s="315"/>
      <c r="I590" s="318"/>
      <c r="J590" s="54"/>
      <c r="L590" s="54"/>
      <c r="M590" s="313"/>
    </row>
    <row r="591" ht="14.25" customHeight="1">
      <c r="E591" s="322"/>
      <c r="F591" s="315"/>
      <c r="G591" s="315"/>
      <c r="H591" s="315"/>
      <c r="I591" s="318"/>
      <c r="J591" s="54"/>
      <c r="L591" s="54"/>
      <c r="M591" s="313"/>
    </row>
    <row r="592" ht="14.25" customHeight="1">
      <c r="E592" s="322"/>
      <c r="F592" s="315"/>
      <c r="G592" s="315"/>
      <c r="H592" s="315"/>
      <c r="I592" s="318"/>
      <c r="J592" s="54"/>
      <c r="L592" s="54"/>
      <c r="M592" s="313"/>
    </row>
    <row r="593" ht="14.25" customHeight="1">
      <c r="E593" s="322"/>
      <c r="F593" s="315"/>
      <c r="G593" s="315"/>
      <c r="H593" s="315"/>
      <c r="I593" s="318"/>
      <c r="J593" s="54"/>
      <c r="L593" s="54"/>
      <c r="M593" s="313"/>
    </row>
    <row r="594" ht="14.25" customHeight="1">
      <c r="E594" s="322"/>
      <c r="F594" s="315"/>
      <c r="G594" s="315"/>
      <c r="H594" s="315"/>
      <c r="I594" s="318"/>
      <c r="J594" s="54"/>
      <c r="L594" s="54"/>
      <c r="M594" s="313"/>
    </row>
    <row r="595" ht="14.25" customHeight="1">
      <c r="E595" s="322"/>
      <c r="F595" s="315"/>
      <c r="G595" s="315"/>
      <c r="H595" s="315"/>
      <c r="I595" s="318"/>
      <c r="J595" s="54"/>
      <c r="L595" s="54"/>
      <c r="M595" s="313"/>
    </row>
    <row r="596" ht="14.25" customHeight="1">
      <c r="E596" s="322"/>
      <c r="F596" s="315"/>
      <c r="G596" s="315"/>
      <c r="H596" s="315"/>
      <c r="I596" s="318"/>
      <c r="J596" s="54"/>
      <c r="L596" s="54"/>
      <c r="M596" s="313"/>
    </row>
    <row r="597" ht="14.25" customHeight="1">
      <c r="E597" s="322"/>
      <c r="F597" s="315"/>
      <c r="G597" s="315"/>
      <c r="H597" s="315"/>
      <c r="I597" s="318"/>
      <c r="J597" s="54"/>
      <c r="L597" s="54"/>
      <c r="M597" s="313"/>
    </row>
    <row r="598" ht="14.25" customHeight="1">
      <c r="E598" s="322"/>
      <c r="F598" s="315"/>
      <c r="G598" s="315"/>
      <c r="H598" s="315"/>
      <c r="I598" s="318"/>
      <c r="J598" s="54"/>
      <c r="L598" s="54"/>
      <c r="M598" s="313"/>
    </row>
    <row r="599" ht="14.25" customHeight="1">
      <c r="E599" s="322"/>
      <c r="F599" s="315"/>
      <c r="G599" s="315"/>
      <c r="H599" s="315"/>
      <c r="I599" s="318"/>
      <c r="J599" s="54"/>
      <c r="L599" s="54"/>
      <c r="M599" s="313"/>
    </row>
    <row r="600" ht="14.25" customHeight="1">
      <c r="E600" s="322"/>
      <c r="F600" s="315"/>
      <c r="G600" s="315"/>
      <c r="H600" s="315"/>
      <c r="I600" s="318"/>
      <c r="J600" s="54"/>
      <c r="L600" s="54"/>
      <c r="M600" s="313"/>
    </row>
    <row r="601" ht="14.25" customHeight="1">
      <c r="E601" s="322"/>
      <c r="F601" s="315"/>
      <c r="G601" s="315"/>
      <c r="H601" s="315"/>
      <c r="I601" s="318"/>
      <c r="J601" s="54"/>
      <c r="L601" s="54"/>
      <c r="M601" s="313"/>
    </row>
    <row r="602" ht="14.25" customHeight="1">
      <c r="E602" s="322"/>
      <c r="F602" s="315"/>
      <c r="G602" s="315"/>
      <c r="H602" s="315"/>
      <c r="I602" s="318"/>
      <c r="J602" s="54"/>
      <c r="L602" s="54"/>
      <c r="M602" s="313"/>
    </row>
    <row r="603" ht="14.25" customHeight="1">
      <c r="E603" s="322"/>
      <c r="F603" s="315"/>
      <c r="G603" s="315"/>
      <c r="H603" s="315"/>
      <c r="I603" s="318"/>
      <c r="J603" s="54"/>
      <c r="L603" s="54"/>
      <c r="M603" s="313"/>
    </row>
    <row r="604" ht="14.25" customHeight="1">
      <c r="E604" s="322"/>
      <c r="F604" s="315"/>
      <c r="G604" s="315"/>
      <c r="H604" s="315"/>
      <c r="I604" s="318"/>
      <c r="J604" s="54"/>
      <c r="L604" s="54"/>
      <c r="M604" s="313"/>
    </row>
    <row r="605" ht="14.25" customHeight="1">
      <c r="E605" s="322"/>
      <c r="F605" s="315"/>
      <c r="G605" s="315"/>
      <c r="H605" s="315"/>
      <c r="I605" s="318"/>
      <c r="J605" s="54"/>
      <c r="L605" s="54"/>
      <c r="M605" s="313"/>
    </row>
    <row r="606" ht="14.25" customHeight="1">
      <c r="E606" s="322"/>
      <c r="F606" s="315"/>
      <c r="G606" s="315"/>
      <c r="H606" s="315"/>
      <c r="I606" s="318"/>
      <c r="J606" s="54"/>
      <c r="L606" s="54"/>
      <c r="M606" s="313"/>
    </row>
    <row r="607" ht="14.25" customHeight="1">
      <c r="E607" s="322"/>
      <c r="F607" s="315"/>
      <c r="G607" s="315"/>
      <c r="H607" s="315"/>
      <c r="I607" s="318"/>
      <c r="J607" s="54"/>
      <c r="L607" s="54"/>
      <c r="M607" s="313"/>
    </row>
    <row r="608" ht="14.25" customHeight="1">
      <c r="E608" s="322"/>
      <c r="F608" s="315"/>
      <c r="G608" s="315"/>
      <c r="H608" s="315"/>
      <c r="I608" s="318"/>
      <c r="J608" s="54"/>
      <c r="L608" s="54"/>
      <c r="M608" s="313"/>
    </row>
    <row r="609" ht="14.25" customHeight="1">
      <c r="E609" s="322"/>
      <c r="F609" s="315"/>
      <c r="G609" s="315"/>
      <c r="H609" s="315"/>
      <c r="I609" s="318"/>
      <c r="J609" s="54"/>
      <c r="L609" s="54"/>
      <c r="M609" s="313"/>
    </row>
    <row r="610" ht="14.25" customHeight="1">
      <c r="E610" s="322"/>
      <c r="F610" s="315"/>
      <c r="G610" s="315"/>
      <c r="H610" s="315"/>
      <c r="I610" s="318"/>
      <c r="J610" s="54"/>
      <c r="L610" s="54"/>
      <c r="M610" s="313"/>
    </row>
    <row r="611" ht="14.25" customHeight="1">
      <c r="E611" s="322"/>
      <c r="F611" s="315"/>
      <c r="G611" s="315"/>
      <c r="H611" s="315"/>
      <c r="I611" s="318"/>
      <c r="J611" s="54"/>
      <c r="L611" s="54"/>
      <c r="M611" s="313"/>
    </row>
    <row r="612" ht="14.25" customHeight="1">
      <c r="E612" s="322"/>
      <c r="F612" s="315"/>
      <c r="G612" s="315"/>
      <c r="H612" s="315"/>
      <c r="I612" s="318"/>
      <c r="J612" s="54"/>
      <c r="L612" s="54"/>
      <c r="M612" s="313"/>
    </row>
    <row r="613" ht="14.25" customHeight="1">
      <c r="E613" s="322"/>
      <c r="F613" s="315"/>
      <c r="G613" s="315"/>
      <c r="H613" s="315"/>
      <c r="I613" s="318"/>
      <c r="J613" s="54"/>
      <c r="L613" s="54"/>
      <c r="M613" s="313"/>
    </row>
    <row r="614" ht="14.25" customHeight="1">
      <c r="E614" s="322"/>
      <c r="F614" s="315"/>
      <c r="G614" s="315"/>
      <c r="H614" s="315"/>
      <c r="I614" s="318"/>
      <c r="J614" s="54"/>
      <c r="L614" s="54"/>
      <c r="M614" s="313"/>
    </row>
    <row r="615" ht="14.25" customHeight="1">
      <c r="E615" s="322"/>
      <c r="F615" s="315"/>
      <c r="G615" s="315"/>
      <c r="H615" s="315"/>
      <c r="I615" s="318"/>
      <c r="J615" s="54"/>
      <c r="L615" s="54"/>
      <c r="M615" s="313"/>
    </row>
    <row r="616" ht="14.25" customHeight="1">
      <c r="E616" s="322"/>
      <c r="F616" s="315"/>
      <c r="G616" s="315"/>
      <c r="H616" s="315"/>
      <c r="I616" s="318"/>
      <c r="J616" s="54"/>
      <c r="L616" s="54"/>
      <c r="M616" s="313"/>
    </row>
    <row r="617" ht="14.25" customHeight="1">
      <c r="E617" s="322"/>
      <c r="F617" s="315"/>
      <c r="G617" s="315"/>
      <c r="H617" s="315"/>
      <c r="I617" s="318"/>
      <c r="J617" s="54"/>
      <c r="L617" s="54"/>
      <c r="M617" s="313"/>
    </row>
    <row r="618" ht="14.25" customHeight="1">
      <c r="E618" s="322"/>
      <c r="F618" s="315"/>
      <c r="G618" s="315"/>
      <c r="H618" s="315"/>
      <c r="I618" s="318"/>
      <c r="J618" s="54"/>
      <c r="L618" s="54"/>
      <c r="M618" s="313"/>
    </row>
    <row r="619" ht="14.25" customHeight="1">
      <c r="E619" s="322"/>
      <c r="F619" s="315"/>
      <c r="G619" s="315"/>
      <c r="H619" s="315"/>
      <c r="I619" s="318"/>
      <c r="J619" s="54"/>
      <c r="L619" s="54"/>
      <c r="M619" s="313"/>
    </row>
    <row r="620" ht="14.25" customHeight="1">
      <c r="E620" s="322"/>
      <c r="F620" s="315"/>
      <c r="G620" s="315"/>
      <c r="H620" s="315"/>
      <c r="I620" s="318"/>
      <c r="J620" s="54"/>
      <c r="L620" s="54"/>
      <c r="M620" s="313"/>
    </row>
    <row r="621" ht="14.25" customHeight="1">
      <c r="E621" s="322"/>
      <c r="F621" s="315"/>
      <c r="G621" s="315"/>
      <c r="H621" s="315"/>
      <c r="I621" s="318"/>
      <c r="J621" s="54"/>
      <c r="L621" s="54"/>
      <c r="M621" s="313"/>
    </row>
    <row r="622" ht="14.25" customHeight="1">
      <c r="E622" s="322"/>
      <c r="F622" s="315"/>
      <c r="G622" s="315"/>
      <c r="H622" s="315"/>
      <c r="I622" s="318"/>
      <c r="J622" s="54"/>
      <c r="L622" s="54"/>
      <c r="M622" s="313"/>
    </row>
    <row r="623" ht="14.25" customHeight="1">
      <c r="E623" s="322"/>
      <c r="F623" s="315"/>
      <c r="G623" s="315"/>
      <c r="H623" s="315"/>
      <c r="I623" s="318"/>
      <c r="J623" s="54"/>
      <c r="L623" s="54"/>
      <c r="M623" s="313"/>
    </row>
    <row r="624" ht="14.25" customHeight="1">
      <c r="E624" s="322"/>
      <c r="F624" s="315"/>
      <c r="G624" s="315"/>
      <c r="H624" s="315"/>
      <c r="I624" s="318"/>
      <c r="J624" s="54"/>
      <c r="L624" s="54"/>
      <c r="M624" s="313"/>
    </row>
    <row r="625" ht="14.25" customHeight="1">
      <c r="E625" s="322"/>
      <c r="F625" s="315"/>
      <c r="G625" s="315"/>
      <c r="H625" s="315"/>
      <c r="I625" s="318"/>
      <c r="J625" s="54"/>
      <c r="L625" s="54"/>
      <c r="M625" s="313"/>
    </row>
    <row r="626" ht="14.25" customHeight="1">
      <c r="E626" s="322"/>
      <c r="F626" s="315"/>
      <c r="G626" s="315"/>
      <c r="H626" s="315"/>
      <c r="I626" s="318"/>
      <c r="J626" s="54"/>
      <c r="L626" s="54"/>
      <c r="M626" s="313"/>
    </row>
    <row r="627" ht="14.25" customHeight="1">
      <c r="E627" s="322"/>
      <c r="F627" s="315"/>
      <c r="G627" s="315"/>
      <c r="H627" s="315"/>
      <c r="I627" s="318"/>
      <c r="J627" s="54"/>
      <c r="L627" s="54"/>
      <c r="M627" s="313"/>
    </row>
    <row r="628" ht="14.25" customHeight="1">
      <c r="E628" s="322"/>
      <c r="F628" s="315"/>
      <c r="G628" s="315"/>
      <c r="H628" s="315"/>
      <c r="I628" s="318"/>
      <c r="J628" s="54"/>
      <c r="L628" s="54"/>
      <c r="M628" s="313"/>
    </row>
    <row r="629" ht="14.25" customHeight="1">
      <c r="E629" s="322"/>
      <c r="F629" s="315"/>
      <c r="G629" s="315"/>
      <c r="H629" s="315"/>
      <c r="I629" s="318"/>
      <c r="J629" s="54"/>
      <c r="L629" s="54"/>
      <c r="M629" s="313"/>
    </row>
    <row r="630" ht="14.25" customHeight="1">
      <c r="E630" s="322"/>
      <c r="F630" s="315"/>
      <c r="G630" s="315"/>
      <c r="H630" s="315"/>
      <c r="I630" s="318"/>
      <c r="J630" s="54"/>
      <c r="L630" s="54"/>
      <c r="M630" s="313"/>
    </row>
    <row r="631" ht="14.25" customHeight="1">
      <c r="E631" s="322"/>
      <c r="F631" s="315"/>
      <c r="G631" s="315"/>
      <c r="H631" s="315"/>
      <c r="I631" s="318"/>
      <c r="J631" s="54"/>
      <c r="L631" s="54"/>
      <c r="M631" s="313"/>
    </row>
    <row r="632" ht="14.25" customHeight="1">
      <c r="E632" s="322"/>
      <c r="F632" s="315"/>
      <c r="G632" s="315"/>
      <c r="H632" s="315"/>
      <c r="I632" s="318"/>
      <c r="J632" s="54"/>
      <c r="L632" s="54"/>
      <c r="M632" s="313"/>
    </row>
    <row r="633" ht="14.25" customHeight="1">
      <c r="E633" s="322"/>
      <c r="F633" s="315"/>
      <c r="G633" s="315"/>
      <c r="H633" s="315"/>
      <c r="I633" s="318"/>
      <c r="J633" s="54"/>
      <c r="L633" s="54"/>
      <c r="M633" s="313"/>
    </row>
    <row r="634" ht="14.25" customHeight="1">
      <c r="E634" s="322"/>
      <c r="F634" s="315"/>
      <c r="G634" s="315"/>
      <c r="H634" s="315"/>
      <c r="I634" s="318"/>
      <c r="J634" s="54"/>
      <c r="L634" s="54"/>
      <c r="M634" s="313"/>
    </row>
    <row r="635" ht="14.25" customHeight="1">
      <c r="E635" s="322"/>
      <c r="F635" s="315"/>
      <c r="G635" s="315"/>
      <c r="H635" s="315"/>
      <c r="I635" s="318"/>
      <c r="J635" s="54"/>
      <c r="L635" s="54"/>
      <c r="M635" s="313"/>
    </row>
    <row r="636" ht="14.25" customHeight="1">
      <c r="E636" s="322"/>
      <c r="F636" s="315"/>
      <c r="G636" s="315"/>
      <c r="H636" s="315"/>
      <c r="I636" s="318"/>
      <c r="J636" s="54"/>
      <c r="L636" s="54"/>
      <c r="M636" s="313"/>
    </row>
    <row r="637" ht="14.25" customHeight="1">
      <c r="E637" s="322"/>
      <c r="F637" s="315"/>
      <c r="G637" s="315"/>
      <c r="H637" s="315"/>
      <c r="I637" s="318"/>
      <c r="J637" s="54"/>
      <c r="L637" s="54"/>
      <c r="M637" s="313"/>
    </row>
    <row r="638" ht="14.25" customHeight="1">
      <c r="E638" s="322"/>
      <c r="F638" s="315"/>
      <c r="G638" s="315"/>
      <c r="H638" s="315"/>
      <c r="I638" s="318"/>
      <c r="J638" s="54"/>
      <c r="L638" s="54"/>
      <c r="M638" s="313"/>
    </row>
    <row r="639" ht="14.25" customHeight="1">
      <c r="E639" s="322"/>
      <c r="F639" s="315"/>
      <c r="G639" s="315"/>
      <c r="H639" s="315"/>
      <c r="I639" s="318"/>
      <c r="J639" s="54"/>
      <c r="L639" s="54"/>
      <c r="M639" s="313"/>
    </row>
    <row r="640" ht="14.25" customHeight="1">
      <c r="E640" s="322"/>
      <c r="F640" s="315"/>
      <c r="G640" s="315"/>
      <c r="H640" s="315"/>
      <c r="I640" s="318"/>
      <c r="J640" s="54"/>
      <c r="L640" s="54"/>
      <c r="M640" s="313"/>
    </row>
    <row r="641" ht="14.25" customHeight="1">
      <c r="E641" s="322"/>
      <c r="F641" s="315"/>
      <c r="G641" s="315"/>
      <c r="H641" s="315"/>
      <c r="I641" s="318"/>
      <c r="J641" s="54"/>
      <c r="L641" s="54"/>
      <c r="M641" s="313"/>
    </row>
    <row r="642" ht="14.25" customHeight="1">
      <c r="E642" s="322"/>
      <c r="F642" s="315"/>
      <c r="G642" s="315"/>
      <c r="H642" s="315"/>
      <c r="I642" s="318"/>
      <c r="J642" s="54"/>
      <c r="L642" s="54"/>
      <c r="M642" s="313"/>
    </row>
    <row r="643" ht="14.25" customHeight="1">
      <c r="E643" s="322"/>
      <c r="F643" s="315"/>
      <c r="G643" s="315"/>
      <c r="H643" s="315"/>
      <c r="I643" s="318"/>
      <c r="J643" s="54"/>
      <c r="L643" s="54"/>
      <c r="M643" s="313"/>
    </row>
    <row r="644" ht="14.25" customHeight="1">
      <c r="E644" s="322"/>
      <c r="F644" s="315"/>
      <c r="G644" s="315"/>
      <c r="H644" s="315"/>
      <c r="I644" s="318"/>
      <c r="J644" s="54"/>
      <c r="L644" s="54"/>
      <c r="M644" s="313"/>
    </row>
    <row r="645" ht="14.25" customHeight="1">
      <c r="E645" s="322"/>
      <c r="F645" s="315"/>
      <c r="G645" s="315"/>
      <c r="H645" s="315"/>
      <c r="I645" s="318"/>
      <c r="J645" s="54"/>
      <c r="L645" s="54"/>
      <c r="M645" s="313"/>
    </row>
    <row r="646" ht="14.25" customHeight="1">
      <c r="E646" s="322"/>
      <c r="F646" s="315"/>
      <c r="G646" s="315"/>
      <c r="H646" s="315"/>
      <c r="I646" s="318"/>
      <c r="J646" s="54"/>
      <c r="L646" s="54"/>
      <c r="M646" s="313"/>
    </row>
    <row r="647" ht="14.25" customHeight="1">
      <c r="E647" s="322"/>
      <c r="F647" s="315"/>
      <c r="G647" s="315"/>
      <c r="H647" s="315"/>
      <c r="I647" s="318"/>
      <c r="J647" s="54"/>
      <c r="L647" s="54"/>
      <c r="M647" s="313"/>
    </row>
    <row r="648" ht="14.25" customHeight="1">
      <c r="E648" s="322"/>
      <c r="F648" s="315"/>
      <c r="G648" s="315"/>
      <c r="H648" s="315"/>
      <c r="I648" s="318"/>
      <c r="J648" s="54"/>
      <c r="L648" s="54"/>
      <c r="M648" s="313"/>
    </row>
    <row r="649" ht="14.25" customHeight="1">
      <c r="E649" s="322"/>
      <c r="F649" s="315"/>
      <c r="G649" s="315"/>
      <c r="H649" s="315"/>
      <c r="I649" s="318"/>
      <c r="J649" s="54"/>
      <c r="L649" s="54"/>
      <c r="M649" s="313"/>
    </row>
    <row r="650" ht="14.25" customHeight="1">
      <c r="E650" s="322"/>
      <c r="F650" s="315"/>
      <c r="G650" s="315"/>
      <c r="H650" s="315"/>
      <c r="I650" s="318"/>
      <c r="J650" s="54"/>
      <c r="L650" s="54"/>
      <c r="M650" s="313"/>
    </row>
    <row r="651" ht="14.25" customHeight="1">
      <c r="E651" s="322"/>
      <c r="F651" s="315"/>
      <c r="G651" s="315"/>
      <c r="H651" s="315"/>
      <c r="I651" s="318"/>
      <c r="J651" s="54"/>
      <c r="L651" s="54"/>
      <c r="M651" s="313"/>
    </row>
    <row r="652" ht="14.25" customHeight="1">
      <c r="E652" s="322"/>
      <c r="F652" s="315"/>
      <c r="G652" s="315"/>
      <c r="H652" s="315"/>
      <c r="I652" s="318"/>
      <c r="J652" s="54"/>
      <c r="L652" s="54"/>
      <c r="M652" s="313"/>
    </row>
    <row r="653" ht="14.25" customHeight="1">
      <c r="E653" s="322"/>
      <c r="F653" s="315"/>
      <c r="G653" s="315"/>
      <c r="H653" s="315"/>
      <c r="I653" s="318"/>
      <c r="J653" s="54"/>
      <c r="L653" s="54"/>
      <c r="M653" s="313"/>
    </row>
    <row r="654" ht="14.25" customHeight="1">
      <c r="E654" s="322"/>
      <c r="F654" s="315"/>
      <c r="G654" s="315"/>
      <c r="H654" s="315"/>
      <c r="I654" s="318"/>
      <c r="J654" s="54"/>
      <c r="L654" s="54"/>
      <c r="M654" s="313"/>
    </row>
    <row r="655" ht="14.25" customHeight="1">
      <c r="E655" s="322"/>
      <c r="F655" s="315"/>
      <c r="G655" s="315"/>
      <c r="H655" s="315"/>
      <c r="I655" s="318"/>
      <c r="J655" s="54"/>
      <c r="L655" s="54"/>
      <c r="M655" s="313"/>
    </row>
    <row r="656" ht="14.25" customHeight="1">
      <c r="E656" s="322"/>
      <c r="F656" s="315"/>
      <c r="G656" s="315"/>
      <c r="H656" s="315"/>
      <c r="I656" s="318"/>
      <c r="J656" s="54"/>
      <c r="L656" s="54"/>
      <c r="M656" s="313"/>
    </row>
    <row r="657" ht="14.25" customHeight="1">
      <c r="E657" s="322"/>
      <c r="F657" s="315"/>
      <c r="G657" s="315"/>
      <c r="H657" s="315"/>
      <c r="I657" s="318"/>
      <c r="J657" s="54"/>
      <c r="L657" s="54"/>
      <c r="M657" s="313"/>
    </row>
    <row r="658" ht="14.25" customHeight="1">
      <c r="E658" s="322"/>
      <c r="F658" s="315"/>
      <c r="G658" s="315"/>
      <c r="H658" s="315"/>
      <c r="I658" s="318"/>
      <c r="J658" s="54"/>
      <c r="L658" s="54"/>
      <c r="M658" s="313"/>
    </row>
    <row r="659" ht="14.25" customHeight="1">
      <c r="E659" s="322"/>
      <c r="F659" s="315"/>
      <c r="G659" s="315"/>
      <c r="H659" s="315"/>
      <c r="I659" s="318"/>
      <c r="J659" s="54"/>
      <c r="L659" s="54"/>
      <c r="M659" s="313"/>
    </row>
    <row r="660" ht="14.25" customHeight="1">
      <c r="E660" s="322"/>
      <c r="F660" s="315"/>
      <c r="G660" s="315"/>
      <c r="H660" s="315"/>
      <c r="I660" s="318"/>
      <c r="J660" s="54"/>
      <c r="L660" s="54"/>
      <c r="M660" s="313"/>
    </row>
    <row r="661" ht="14.25" customHeight="1">
      <c r="E661" s="322"/>
      <c r="F661" s="315"/>
      <c r="G661" s="315"/>
      <c r="H661" s="315"/>
      <c r="I661" s="318"/>
      <c r="J661" s="54"/>
      <c r="L661" s="54"/>
      <c r="M661" s="313"/>
    </row>
    <row r="662" ht="14.25" customHeight="1">
      <c r="E662" s="322"/>
      <c r="F662" s="315"/>
      <c r="G662" s="315"/>
      <c r="H662" s="315"/>
      <c r="I662" s="318"/>
      <c r="J662" s="54"/>
      <c r="L662" s="54"/>
      <c r="M662" s="313"/>
    </row>
    <row r="663" ht="14.25" customHeight="1">
      <c r="E663" s="322"/>
      <c r="F663" s="315"/>
      <c r="G663" s="315"/>
      <c r="H663" s="315"/>
      <c r="I663" s="318"/>
      <c r="J663" s="54"/>
      <c r="L663" s="54"/>
      <c r="M663" s="313"/>
    </row>
    <row r="664" ht="14.25" customHeight="1">
      <c r="E664" s="322"/>
      <c r="F664" s="315"/>
      <c r="G664" s="315"/>
      <c r="H664" s="315"/>
      <c r="I664" s="318"/>
      <c r="J664" s="54"/>
      <c r="L664" s="54"/>
      <c r="M664" s="313"/>
    </row>
    <row r="665" ht="14.25" customHeight="1">
      <c r="E665" s="322"/>
      <c r="F665" s="315"/>
      <c r="G665" s="315"/>
      <c r="H665" s="315"/>
      <c r="I665" s="318"/>
      <c r="J665" s="54"/>
      <c r="L665" s="54"/>
      <c r="M665" s="313"/>
    </row>
    <row r="666" ht="14.25" customHeight="1">
      <c r="E666" s="322"/>
      <c r="F666" s="315"/>
      <c r="G666" s="315"/>
      <c r="H666" s="315"/>
      <c r="I666" s="318"/>
      <c r="J666" s="54"/>
      <c r="L666" s="54"/>
      <c r="M666" s="313"/>
    </row>
    <row r="667" ht="14.25" customHeight="1">
      <c r="E667" s="322"/>
      <c r="F667" s="315"/>
      <c r="G667" s="315"/>
      <c r="H667" s="315"/>
      <c r="I667" s="318"/>
      <c r="J667" s="54"/>
      <c r="L667" s="54"/>
      <c r="M667" s="313"/>
    </row>
    <row r="668" ht="14.25" customHeight="1">
      <c r="E668" s="322"/>
      <c r="F668" s="315"/>
      <c r="G668" s="315"/>
      <c r="H668" s="315"/>
      <c r="I668" s="318"/>
      <c r="J668" s="54"/>
      <c r="L668" s="54"/>
      <c r="M668" s="313"/>
    </row>
    <row r="669" ht="14.25" customHeight="1">
      <c r="E669" s="322"/>
      <c r="F669" s="315"/>
      <c r="G669" s="315"/>
      <c r="H669" s="315"/>
      <c r="I669" s="318"/>
      <c r="J669" s="54"/>
      <c r="L669" s="54"/>
      <c r="M669" s="313"/>
    </row>
    <row r="670" ht="14.25" customHeight="1">
      <c r="E670" s="322"/>
      <c r="F670" s="315"/>
      <c r="G670" s="315"/>
      <c r="H670" s="315"/>
      <c r="I670" s="318"/>
      <c r="J670" s="54"/>
      <c r="L670" s="54"/>
      <c r="M670" s="313"/>
    </row>
    <row r="671" ht="14.25" customHeight="1">
      <c r="E671" s="322"/>
      <c r="F671" s="315"/>
      <c r="G671" s="315"/>
      <c r="H671" s="315"/>
      <c r="I671" s="318"/>
      <c r="J671" s="54"/>
      <c r="L671" s="54"/>
      <c r="M671" s="313"/>
    </row>
    <row r="672" ht="14.25" customHeight="1">
      <c r="E672" s="322"/>
      <c r="F672" s="315"/>
      <c r="G672" s="315"/>
      <c r="H672" s="315"/>
      <c r="I672" s="318"/>
      <c r="J672" s="54"/>
      <c r="L672" s="54"/>
      <c r="M672" s="313"/>
    </row>
    <row r="673" ht="14.25" customHeight="1">
      <c r="E673" s="322"/>
      <c r="F673" s="315"/>
      <c r="G673" s="315"/>
      <c r="H673" s="315"/>
      <c r="I673" s="318"/>
      <c r="J673" s="54"/>
      <c r="L673" s="54"/>
      <c r="M673" s="313"/>
    </row>
    <row r="674" ht="14.25" customHeight="1">
      <c r="E674" s="322"/>
      <c r="F674" s="315"/>
      <c r="G674" s="315"/>
      <c r="H674" s="315"/>
      <c r="I674" s="318"/>
      <c r="J674" s="54"/>
      <c r="L674" s="54"/>
      <c r="M674" s="313"/>
    </row>
    <row r="675" ht="14.25" customHeight="1">
      <c r="E675" s="322"/>
      <c r="F675" s="315"/>
      <c r="G675" s="315"/>
      <c r="H675" s="315"/>
      <c r="I675" s="318"/>
      <c r="J675" s="54"/>
      <c r="L675" s="54"/>
      <c r="M675" s="313"/>
    </row>
    <row r="676" ht="14.25" customHeight="1">
      <c r="E676" s="322"/>
      <c r="F676" s="315"/>
      <c r="G676" s="315"/>
      <c r="H676" s="315"/>
      <c r="I676" s="318"/>
      <c r="J676" s="54"/>
      <c r="L676" s="54"/>
      <c r="M676" s="313"/>
    </row>
    <row r="677" ht="14.25" customHeight="1">
      <c r="E677" s="322"/>
      <c r="F677" s="315"/>
      <c r="G677" s="315"/>
      <c r="H677" s="315"/>
      <c r="I677" s="318"/>
      <c r="J677" s="54"/>
      <c r="L677" s="54"/>
      <c r="M677" s="313"/>
    </row>
    <row r="678" ht="14.25" customHeight="1">
      <c r="E678" s="322"/>
      <c r="F678" s="315"/>
      <c r="G678" s="315"/>
      <c r="H678" s="315"/>
      <c r="I678" s="318"/>
      <c r="J678" s="54"/>
      <c r="L678" s="54"/>
      <c r="M678" s="313"/>
    </row>
    <row r="679" ht="14.25" customHeight="1">
      <c r="E679" s="322"/>
      <c r="F679" s="315"/>
      <c r="G679" s="315"/>
      <c r="H679" s="315"/>
      <c r="I679" s="318"/>
      <c r="J679" s="54"/>
      <c r="L679" s="54"/>
      <c r="M679" s="313"/>
    </row>
    <row r="680" ht="14.25" customHeight="1">
      <c r="E680" s="322"/>
      <c r="F680" s="315"/>
      <c r="G680" s="315"/>
      <c r="H680" s="315"/>
      <c r="I680" s="318"/>
      <c r="J680" s="54"/>
      <c r="L680" s="54"/>
      <c r="M680" s="313"/>
    </row>
    <row r="681" ht="14.25" customHeight="1">
      <c r="E681" s="322"/>
      <c r="F681" s="315"/>
      <c r="G681" s="315"/>
      <c r="H681" s="315"/>
      <c r="I681" s="318"/>
      <c r="J681" s="54"/>
      <c r="L681" s="54"/>
      <c r="M681" s="313"/>
    </row>
    <row r="682" ht="14.25" customHeight="1">
      <c r="E682" s="322"/>
      <c r="F682" s="315"/>
      <c r="G682" s="315"/>
      <c r="H682" s="315"/>
      <c r="I682" s="318"/>
      <c r="J682" s="54"/>
      <c r="L682" s="54"/>
      <c r="M682" s="313"/>
    </row>
    <row r="683" ht="14.25" customHeight="1">
      <c r="E683" s="322"/>
      <c r="F683" s="315"/>
      <c r="G683" s="315"/>
      <c r="H683" s="315"/>
      <c r="I683" s="318"/>
      <c r="J683" s="54"/>
      <c r="L683" s="54"/>
      <c r="M683" s="313"/>
    </row>
    <row r="684" ht="14.25" customHeight="1">
      <c r="E684" s="322"/>
      <c r="F684" s="315"/>
      <c r="G684" s="315"/>
      <c r="H684" s="315"/>
      <c r="I684" s="318"/>
      <c r="J684" s="54"/>
      <c r="L684" s="54"/>
      <c r="M684" s="313"/>
    </row>
    <row r="685" ht="14.25" customHeight="1">
      <c r="E685" s="322"/>
      <c r="F685" s="315"/>
      <c r="G685" s="315"/>
      <c r="H685" s="315"/>
      <c r="I685" s="318"/>
      <c r="J685" s="54"/>
      <c r="L685" s="54"/>
      <c r="M685" s="313"/>
    </row>
    <row r="686" ht="14.25" customHeight="1">
      <c r="E686" s="322"/>
      <c r="F686" s="315"/>
      <c r="G686" s="315"/>
      <c r="H686" s="315"/>
      <c r="I686" s="318"/>
      <c r="J686" s="54"/>
      <c r="L686" s="54"/>
      <c r="M686" s="313"/>
    </row>
    <row r="687" ht="14.25" customHeight="1">
      <c r="E687" s="322"/>
      <c r="F687" s="315"/>
      <c r="G687" s="315"/>
      <c r="H687" s="315"/>
      <c r="I687" s="318"/>
      <c r="J687" s="54"/>
      <c r="L687" s="54"/>
      <c r="M687" s="313"/>
    </row>
    <row r="688" ht="14.25" customHeight="1">
      <c r="E688" s="322"/>
      <c r="F688" s="315"/>
      <c r="G688" s="315"/>
      <c r="H688" s="315"/>
      <c r="I688" s="318"/>
      <c r="J688" s="54"/>
      <c r="L688" s="54"/>
      <c r="M688" s="313"/>
    </row>
    <row r="689" ht="14.25" customHeight="1">
      <c r="E689" s="322"/>
      <c r="F689" s="315"/>
      <c r="G689" s="315"/>
      <c r="H689" s="315"/>
      <c r="I689" s="318"/>
      <c r="J689" s="54"/>
      <c r="L689" s="54"/>
      <c r="M689" s="313"/>
    </row>
    <row r="690" ht="14.25" customHeight="1">
      <c r="E690" s="322"/>
      <c r="F690" s="315"/>
      <c r="G690" s="315"/>
      <c r="H690" s="315"/>
      <c r="I690" s="318"/>
      <c r="J690" s="54"/>
      <c r="L690" s="54"/>
      <c r="M690" s="313"/>
    </row>
    <row r="691" ht="14.25" customHeight="1">
      <c r="E691" s="322"/>
      <c r="F691" s="315"/>
      <c r="G691" s="315"/>
      <c r="H691" s="315"/>
      <c r="I691" s="318"/>
      <c r="J691" s="54"/>
      <c r="L691" s="54"/>
      <c r="M691" s="313"/>
    </row>
    <row r="692" ht="14.25" customHeight="1">
      <c r="E692" s="322"/>
      <c r="F692" s="315"/>
      <c r="G692" s="315"/>
      <c r="H692" s="315"/>
      <c r="I692" s="318"/>
      <c r="J692" s="54"/>
      <c r="L692" s="54"/>
      <c r="M692" s="313"/>
    </row>
    <row r="693" ht="14.25" customHeight="1">
      <c r="E693" s="322"/>
      <c r="F693" s="315"/>
      <c r="G693" s="315"/>
      <c r="H693" s="315"/>
      <c r="I693" s="318"/>
      <c r="J693" s="54"/>
      <c r="L693" s="54"/>
      <c r="M693" s="313"/>
    </row>
    <row r="694" ht="14.25" customHeight="1">
      <c r="E694" s="322"/>
      <c r="F694" s="315"/>
      <c r="G694" s="315"/>
      <c r="H694" s="315"/>
      <c r="I694" s="318"/>
      <c r="J694" s="54"/>
      <c r="L694" s="54"/>
      <c r="M694" s="313"/>
    </row>
    <row r="695" ht="14.25" customHeight="1">
      <c r="E695" s="322"/>
      <c r="F695" s="315"/>
      <c r="G695" s="315"/>
      <c r="H695" s="315"/>
      <c r="I695" s="318"/>
      <c r="J695" s="54"/>
      <c r="L695" s="54"/>
      <c r="M695" s="313"/>
    </row>
    <row r="696" ht="14.25" customHeight="1">
      <c r="E696" s="322"/>
      <c r="F696" s="315"/>
      <c r="G696" s="315"/>
      <c r="H696" s="315"/>
      <c r="I696" s="318"/>
      <c r="J696" s="54"/>
      <c r="L696" s="54"/>
      <c r="M696" s="313"/>
    </row>
    <row r="697" ht="14.25" customHeight="1">
      <c r="E697" s="322"/>
      <c r="F697" s="315"/>
      <c r="G697" s="315"/>
      <c r="H697" s="315"/>
      <c r="I697" s="318"/>
      <c r="J697" s="54"/>
      <c r="L697" s="54"/>
      <c r="M697" s="313"/>
    </row>
    <row r="698" ht="14.25" customHeight="1">
      <c r="E698" s="322"/>
      <c r="F698" s="315"/>
      <c r="G698" s="315"/>
      <c r="H698" s="315"/>
      <c r="I698" s="318"/>
      <c r="J698" s="54"/>
      <c r="L698" s="54"/>
      <c r="M698" s="313"/>
    </row>
    <row r="699" ht="14.25" customHeight="1">
      <c r="E699" s="322"/>
      <c r="F699" s="315"/>
      <c r="G699" s="315"/>
      <c r="H699" s="315"/>
      <c r="I699" s="318"/>
      <c r="J699" s="54"/>
      <c r="L699" s="54"/>
      <c r="M699" s="313"/>
    </row>
    <row r="700" ht="14.25" customHeight="1">
      <c r="E700" s="322"/>
      <c r="F700" s="315"/>
      <c r="G700" s="315"/>
      <c r="H700" s="315"/>
      <c r="I700" s="318"/>
      <c r="J700" s="54"/>
      <c r="L700" s="54"/>
      <c r="M700" s="313"/>
    </row>
    <row r="701" ht="14.25" customHeight="1">
      <c r="E701" s="322"/>
      <c r="F701" s="315"/>
      <c r="G701" s="315"/>
      <c r="H701" s="315"/>
      <c r="I701" s="318"/>
      <c r="J701" s="54"/>
      <c r="L701" s="54"/>
      <c r="M701" s="313"/>
    </row>
    <row r="702" ht="14.25" customHeight="1">
      <c r="E702" s="322"/>
      <c r="F702" s="315"/>
      <c r="G702" s="315"/>
      <c r="H702" s="315"/>
      <c r="I702" s="318"/>
      <c r="J702" s="54"/>
      <c r="L702" s="54"/>
      <c r="M702" s="313"/>
    </row>
    <row r="703" ht="14.25" customHeight="1">
      <c r="E703" s="322"/>
      <c r="F703" s="315"/>
      <c r="G703" s="315"/>
      <c r="H703" s="315"/>
      <c r="I703" s="318"/>
      <c r="J703" s="54"/>
      <c r="L703" s="54"/>
      <c r="M703" s="313"/>
    </row>
    <row r="704" ht="14.25" customHeight="1">
      <c r="E704" s="322"/>
      <c r="F704" s="315"/>
      <c r="G704" s="315"/>
      <c r="H704" s="315"/>
      <c r="I704" s="318"/>
      <c r="J704" s="54"/>
      <c r="L704" s="54"/>
      <c r="M704" s="313"/>
    </row>
    <row r="705" ht="14.25" customHeight="1">
      <c r="E705" s="322"/>
      <c r="F705" s="315"/>
      <c r="G705" s="315"/>
      <c r="H705" s="315"/>
      <c r="I705" s="318"/>
      <c r="J705" s="54"/>
      <c r="L705" s="54"/>
      <c r="M705" s="313"/>
    </row>
    <row r="706" ht="14.25" customHeight="1">
      <c r="E706" s="322"/>
      <c r="F706" s="315"/>
      <c r="G706" s="315"/>
      <c r="H706" s="315"/>
      <c r="I706" s="318"/>
      <c r="J706" s="54"/>
      <c r="L706" s="54"/>
      <c r="M706" s="313"/>
    </row>
    <row r="707" ht="14.25" customHeight="1">
      <c r="E707" s="322"/>
      <c r="F707" s="315"/>
      <c r="G707" s="315"/>
      <c r="H707" s="315"/>
      <c r="I707" s="318"/>
      <c r="J707" s="54"/>
      <c r="L707" s="54"/>
      <c r="M707" s="313"/>
    </row>
    <row r="708" ht="14.25" customHeight="1">
      <c r="E708" s="322"/>
      <c r="F708" s="315"/>
      <c r="G708" s="315"/>
      <c r="H708" s="315"/>
      <c r="I708" s="318"/>
      <c r="J708" s="54"/>
      <c r="L708" s="54"/>
      <c r="M708" s="313"/>
    </row>
    <row r="709" ht="14.25" customHeight="1">
      <c r="E709" s="322"/>
      <c r="F709" s="315"/>
      <c r="G709" s="315"/>
      <c r="H709" s="315"/>
      <c r="I709" s="318"/>
      <c r="J709" s="54"/>
      <c r="L709" s="54"/>
      <c r="M709" s="313"/>
    </row>
    <row r="710" ht="14.25" customHeight="1">
      <c r="E710" s="322"/>
      <c r="F710" s="315"/>
      <c r="G710" s="315"/>
      <c r="H710" s="315"/>
      <c r="I710" s="318"/>
      <c r="J710" s="54"/>
      <c r="L710" s="54"/>
      <c r="M710" s="313"/>
    </row>
    <row r="711" ht="14.25" customHeight="1">
      <c r="E711" s="322"/>
      <c r="F711" s="315"/>
      <c r="G711" s="315"/>
      <c r="H711" s="315"/>
      <c r="I711" s="318"/>
      <c r="J711" s="54"/>
      <c r="L711" s="54"/>
      <c r="M711" s="313"/>
    </row>
    <row r="712" ht="14.25" customHeight="1">
      <c r="E712" s="322"/>
      <c r="F712" s="315"/>
      <c r="G712" s="315"/>
      <c r="H712" s="315"/>
      <c r="I712" s="318"/>
      <c r="J712" s="54"/>
      <c r="L712" s="54"/>
      <c r="M712" s="313"/>
    </row>
    <row r="713" ht="14.25" customHeight="1">
      <c r="E713" s="322"/>
      <c r="F713" s="315"/>
      <c r="G713" s="315"/>
      <c r="H713" s="315"/>
      <c r="I713" s="318"/>
      <c r="J713" s="54"/>
      <c r="L713" s="54"/>
      <c r="M713" s="313"/>
    </row>
    <row r="714" ht="14.25" customHeight="1">
      <c r="E714" s="322"/>
      <c r="F714" s="315"/>
      <c r="G714" s="315"/>
      <c r="H714" s="315"/>
      <c r="I714" s="318"/>
      <c r="J714" s="54"/>
      <c r="L714" s="54"/>
      <c r="M714" s="313"/>
    </row>
    <row r="715" ht="14.25" customHeight="1">
      <c r="E715" s="322"/>
      <c r="F715" s="315"/>
      <c r="G715" s="315"/>
      <c r="H715" s="315"/>
      <c r="I715" s="318"/>
      <c r="J715" s="54"/>
      <c r="L715" s="54"/>
      <c r="M715" s="313"/>
    </row>
    <row r="716" ht="14.25" customHeight="1">
      <c r="E716" s="322"/>
      <c r="F716" s="315"/>
      <c r="G716" s="315"/>
      <c r="H716" s="315"/>
      <c r="I716" s="318"/>
      <c r="J716" s="54"/>
      <c r="L716" s="54"/>
      <c r="M716" s="313"/>
    </row>
    <row r="717" ht="14.25" customHeight="1">
      <c r="E717" s="322"/>
      <c r="F717" s="315"/>
      <c r="G717" s="315"/>
      <c r="H717" s="315"/>
      <c r="I717" s="318"/>
      <c r="J717" s="54"/>
      <c r="L717" s="54"/>
      <c r="M717" s="313"/>
    </row>
    <row r="718" ht="14.25" customHeight="1">
      <c r="E718" s="322"/>
      <c r="F718" s="315"/>
      <c r="G718" s="315"/>
      <c r="H718" s="315"/>
      <c r="I718" s="318"/>
      <c r="J718" s="54"/>
      <c r="L718" s="54"/>
      <c r="M718" s="313"/>
    </row>
    <row r="719" ht="14.25" customHeight="1">
      <c r="E719" s="322"/>
      <c r="F719" s="315"/>
      <c r="G719" s="315"/>
      <c r="H719" s="315"/>
      <c r="I719" s="318"/>
      <c r="J719" s="54"/>
      <c r="L719" s="54"/>
      <c r="M719" s="313"/>
    </row>
    <row r="720" ht="14.25" customHeight="1">
      <c r="E720" s="322"/>
      <c r="F720" s="315"/>
      <c r="G720" s="315"/>
      <c r="H720" s="315"/>
      <c r="I720" s="318"/>
      <c r="J720" s="54"/>
      <c r="L720" s="54"/>
      <c r="M720" s="313"/>
    </row>
    <row r="721" ht="14.25" customHeight="1">
      <c r="E721" s="322"/>
      <c r="F721" s="315"/>
      <c r="G721" s="315"/>
      <c r="H721" s="315"/>
      <c r="I721" s="318"/>
      <c r="J721" s="54"/>
      <c r="L721" s="54"/>
      <c r="M721" s="313"/>
    </row>
    <row r="722" ht="14.25" customHeight="1">
      <c r="E722" s="322"/>
      <c r="F722" s="315"/>
      <c r="G722" s="315"/>
      <c r="H722" s="315"/>
      <c r="I722" s="318"/>
      <c r="J722" s="54"/>
      <c r="L722" s="54"/>
      <c r="M722" s="313"/>
    </row>
    <row r="723" ht="14.25" customHeight="1">
      <c r="E723" s="322"/>
      <c r="F723" s="315"/>
      <c r="G723" s="315"/>
      <c r="H723" s="315"/>
      <c r="I723" s="318"/>
      <c r="J723" s="54"/>
      <c r="L723" s="54"/>
      <c r="M723" s="313"/>
    </row>
    <row r="724" ht="14.25" customHeight="1">
      <c r="E724" s="322"/>
      <c r="F724" s="315"/>
      <c r="G724" s="315"/>
      <c r="H724" s="315"/>
      <c r="I724" s="318"/>
      <c r="J724" s="54"/>
      <c r="L724" s="54"/>
      <c r="M724" s="313"/>
    </row>
    <row r="725" ht="14.25" customHeight="1">
      <c r="E725" s="322"/>
      <c r="F725" s="315"/>
      <c r="G725" s="315"/>
      <c r="H725" s="315"/>
      <c r="I725" s="318"/>
      <c r="J725" s="54"/>
      <c r="L725" s="54"/>
      <c r="M725" s="313"/>
    </row>
    <row r="726" ht="14.25" customHeight="1">
      <c r="E726" s="322"/>
      <c r="F726" s="315"/>
      <c r="G726" s="315"/>
      <c r="H726" s="315"/>
      <c r="I726" s="318"/>
      <c r="J726" s="54"/>
      <c r="L726" s="54"/>
      <c r="M726" s="313"/>
    </row>
    <row r="727" ht="14.25" customHeight="1">
      <c r="E727" s="322"/>
      <c r="F727" s="315"/>
      <c r="G727" s="315"/>
      <c r="H727" s="315"/>
      <c r="I727" s="318"/>
      <c r="J727" s="54"/>
      <c r="L727" s="54"/>
      <c r="M727" s="313"/>
    </row>
    <row r="728" ht="14.25" customHeight="1">
      <c r="E728" s="322"/>
      <c r="F728" s="315"/>
      <c r="G728" s="315"/>
      <c r="H728" s="315"/>
      <c r="I728" s="318"/>
      <c r="J728" s="54"/>
      <c r="L728" s="54"/>
      <c r="M728" s="313"/>
    </row>
    <row r="729" ht="14.25" customHeight="1">
      <c r="E729" s="322"/>
      <c r="F729" s="315"/>
      <c r="G729" s="315"/>
      <c r="H729" s="315"/>
      <c r="I729" s="318"/>
      <c r="J729" s="54"/>
      <c r="L729" s="54"/>
      <c r="M729" s="313"/>
    </row>
    <row r="730" ht="14.25" customHeight="1">
      <c r="E730" s="322"/>
      <c r="F730" s="315"/>
      <c r="G730" s="315"/>
      <c r="H730" s="315"/>
      <c r="I730" s="318"/>
      <c r="J730" s="54"/>
      <c r="L730" s="54"/>
      <c r="M730" s="313"/>
    </row>
    <row r="731" ht="14.25" customHeight="1">
      <c r="E731" s="322"/>
      <c r="F731" s="315"/>
      <c r="G731" s="315"/>
      <c r="H731" s="315"/>
      <c r="I731" s="318"/>
      <c r="J731" s="54"/>
      <c r="L731" s="54"/>
      <c r="M731" s="313"/>
    </row>
    <row r="732" ht="14.25" customHeight="1">
      <c r="E732" s="322"/>
      <c r="F732" s="315"/>
      <c r="G732" s="315"/>
      <c r="H732" s="315"/>
      <c r="I732" s="318"/>
      <c r="J732" s="54"/>
      <c r="L732" s="54"/>
      <c r="M732" s="313"/>
    </row>
    <row r="733" ht="14.25" customHeight="1">
      <c r="E733" s="322"/>
      <c r="F733" s="315"/>
      <c r="G733" s="315"/>
      <c r="H733" s="315"/>
      <c r="I733" s="318"/>
      <c r="J733" s="54"/>
      <c r="L733" s="54"/>
      <c r="M733" s="313"/>
    </row>
    <row r="734" ht="14.25" customHeight="1">
      <c r="E734" s="322"/>
      <c r="F734" s="315"/>
      <c r="G734" s="315"/>
      <c r="H734" s="315"/>
      <c r="I734" s="318"/>
      <c r="J734" s="54"/>
      <c r="L734" s="54"/>
      <c r="M734" s="313"/>
    </row>
    <row r="735" ht="14.25" customHeight="1">
      <c r="E735" s="322"/>
      <c r="F735" s="315"/>
      <c r="G735" s="315"/>
      <c r="H735" s="315"/>
      <c r="I735" s="318"/>
      <c r="J735" s="54"/>
      <c r="L735" s="54"/>
      <c r="M735" s="313"/>
    </row>
    <row r="736" ht="14.25" customHeight="1">
      <c r="E736" s="322"/>
      <c r="F736" s="315"/>
      <c r="G736" s="315"/>
      <c r="H736" s="315"/>
      <c r="I736" s="318"/>
      <c r="J736" s="54"/>
      <c r="L736" s="54"/>
      <c r="M736" s="313"/>
    </row>
    <row r="737" ht="14.25" customHeight="1">
      <c r="E737" s="322"/>
      <c r="F737" s="315"/>
      <c r="G737" s="315"/>
      <c r="H737" s="315"/>
      <c r="I737" s="318"/>
      <c r="J737" s="54"/>
      <c r="L737" s="54"/>
      <c r="M737" s="313"/>
    </row>
    <row r="738" ht="14.25" customHeight="1">
      <c r="E738" s="322"/>
      <c r="F738" s="315"/>
      <c r="G738" s="315"/>
      <c r="H738" s="315"/>
      <c r="I738" s="318"/>
      <c r="J738" s="54"/>
      <c r="L738" s="54"/>
      <c r="M738" s="313"/>
    </row>
    <row r="739" ht="14.25" customHeight="1">
      <c r="E739" s="322"/>
      <c r="F739" s="315"/>
      <c r="G739" s="315"/>
      <c r="H739" s="315"/>
      <c r="I739" s="318"/>
      <c r="J739" s="54"/>
      <c r="L739" s="54"/>
      <c r="M739" s="313"/>
    </row>
    <row r="740" ht="14.25" customHeight="1">
      <c r="E740" s="322"/>
      <c r="F740" s="315"/>
      <c r="G740" s="315"/>
      <c r="H740" s="315"/>
      <c r="I740" s="318"/>
      <c r="J740" s="54"/>
      <c r="L740" s="54"/>
      <c r="M740" s="313"/>
    </row>
    <row r="741" ht="14.25" customHeight="1">
      <c r="E741" s="322"/>
      <c r="F741" s="315"/>
      <c r="G741" s="315"/>
      <c r="H741" s="315"/>
      <c r="I741" s="318"/>
      <c r="J741" s="54"/>
      <c r="L741" s="54"/>
      <c r="M741" s="313"/>
    </row>
    <row r="742" ht="14.25" customHeight="1">
      <c r="E742" s="322"/>
      <c r="F742" s="315"/>
      <c r="G742" s="315"/>
      <c r="H742" s="315"/>
      <c r="I742" s="318"/>
      <c r="J742" s="54"/>
      <c r="L742" s="54"/>
      <c r="M742" s="313"/>
    </row>
    <row r="743" ht="14.25" customHeight="1">
      <c r="E743" s="322"/>
      <c r="F743" s="315"/>
      <c r="G743" s="315"/>
      <c r="H743" s="315"/>
      <c r="I743" s="318"/>
      <c r="J743" s="54"/>
      <c r="L743" s="54"/>
      <c r="M743" s="313"/>
    </row>
    <row r="744" ht="14.25" customHeight="1">
      <c r="E744" s="322"/>
      <c r="F744" s="315"/>
      <c r="G744" s="315"/>
      <c r="H744" s="315"/>
      <c r="I744" s="318"/>
      <c r="J744" s="54"/>
      <c r="L744" s="54"/>
      <c r="M744" s="313"/>
    </row>
    <row r="745" ht="14.25" customHeight="1">
      <c r="E745" s="322"/>
      <c r="F745" s="315"/>
      <c r="G745" s="315"/>
      <c r="H745" s="315"/>
      <c r="I745" s="318"/>
      <c r="J745" s="54"/>
      <c r="L745" s="54"/>
      <c r="M745" s="313"/>
    </row>
    <row r="746" ht="14.25" customHeight="1">
      <c r="E746" s="322"/>
      <c r="F746" s="315"/>
      <c r="G746" s="315"/>
      <c r="H746" s="315"/>
      <c r="I746" s="318"/>
      <c r="J746" s="54"/>
      <c r="L746" s="54"/>
      <c r="M746" s="313"/>
    </row>
    <row r="747" ht="14.25" customHeight="1">
      <c r="E747" s="322"/>
      <c r="F747" s="315"/>
      <c r="G747" s="315"/>
      <c r="H747" s="315"/>
      <c r="I747" s="318"/>
      <c r="J747" s="54"/>
      <c r="L747" s="54"/>
      <c r="M747" s="313"/>
    </row>
    <row r="748" ht="14.25" customHeight="1">
      <c r="E748" s="322"/>
      <c r="F748" s="315"/>
      <c r="G748" s="315"/>
      <c r="H748" s="315"/>
      <c r="I748" s="318"/>
      <c r="J748" s="54"/>
      <c r="L748" s="54"/>
      <c r="M748" s="313"/>
    </row>
    <row r="749" ht="14.25" customHeight="1">
      <c r="E749" s="322"/>
      <c r="F749" s="315"/>
      <c r="G749" s="315"/>
      <c r="H749" s="315"/>
      <c r="I749" s="318"/>
      <c r="J749" s="54"/>
      <c r="L749" s="54"/>
      <c r="M749" s="313"/>
    </row>
    <row r="750" ht="14.25" customHeight="1">
      <c r="E750" s="322"/>
      <c r="F750" s="315"/>
      <c r="G750" s="315"/>
      <c r="H750" s="315"/>
      <c r="I750" s="318"/>
      <c r="J750" s="54"/>
      <c r="L750" s="54"/>
      <c r="M750" s="313"/>
    </row>
    <row r="751" ht="14.25" customHeight="1">
      <c r="E751" s="322"/>
      <c r="F751" s="315"/>
      <c r="G751" s="315"/>
      <c r="H751" s="315"/>
      <c r="I751" s="318"/>
      <c r="J751" s="54"/>
      <c r="L751" s="54"/>
      <c r="M751" s="313"/>
    </row>
    <row r="752" ht="14.25" customHeight="1">
      <c r="E752" s="322"/>
      <c r="F752" s="315"/>
      <c r="G752" s="315"/>
      <c r="H752" s="315"/>
      <c r="I752" s="318"/>
      <c r="J752" s="54"/>
      <c r="L752" s="54"/>
      <c r="M752" s="313"/>
    </row>
    <row r="753" ht="14.25" customHeight="1">
      <c r="E753" s="322"/>
      <c r="F753" s="315"/>
      <c r="G753" s="315"/>
      <c r="H753" s="315"/>
      <c r="I753" s="318"/>
      <c r="J753" s="54"/>
      <c r="L753" s="54"/>
      <c r="M753" s="313"/>
    </row>
    <row r="754" ht="14.25" customHeight="1">
      <c r="E754" s="322"/>
      <c r="F754" s="315"/>
      <c r="G754" s="315"/>
      <c r="H754" s="315"/>
      <c r="I754" s="318"/>
      <c r="J754" s="54"/>
      <c r="L754" s="54"/>
      <c r="M754" s="313"/>
    </row>
    <row r="755" ht="14.25" customHeight="1">
      <c r="E755" s="322"/>
      <c r="F755" s="315"/>
      <c r="G755" s="315"/>
      <c r="H755" s="315"/>
      <c r="I755" s="318"/>
      <c r="J755" s="54"/>
      <c r="L755" s="54"/>
      <c r="M755" s="313"/>
    </row>
    <row r="756" ht="14.25" customHeight="1">
      <c r="E756" s="322"/>
      <c r="F756" s="315"/>
      <c r="G756" s="315"/>
      <c r="H756" s="315"/>
      <c r="I756" s="318"/>
      <c r="J756" s="54"/>
      <c r="L756" s="54"/>
      <c r="M756" s="313"/>
    </row>
    <row r="757" ht="14.25" customHeight="1">
      <c r="E757" s="322"/>
      <c r="F757" s="315"/>
      <c r="G757" s="315"/>
      <c r="H757" s="315"/>
      <c r="I757" s="318"/>
      <c r="J757" s="54"/>
      <c r="L757" s="54"/>
      <c r="M757" s="313"/>
    </row>
    <row r="758" ht="14.25" customHeight="1">
      <c r="E758" s="322"/>
      <c r="F758" s="315"/>
      <c r="G758" s="315"/>
      <c r="H758" s="315"/>
      <c r="I758" s="318"/>
      <c r="J758" s="54"/>
      <c r="L758" s="54"/>
      <c r="M758" s="313"/>
    </row>
    <row r="759" ht="14.25" customHeight="1">
      <c r="E759" s="322"/>
      <c r="F759" s="315"/>
      <c r="G759" s="315"/>
      <c r="H759" s="315"/>
      <c r="I759" s="318"/>
      <c r="J759" s="54"/>
      <c r="L759" s="54"/>
      <c r="M759" s="313"/>
    </row>
    <row r="760" ht="14.25" customHeight="1">
      <c r="E760" s="322"/>
      <c r="F760" s="315"/>
      <c r="G760" s="315"/>
      <c r="H760" s="315"/>
      <c r="I760" s="318"/>
      <c r="J760" s="54"/>
      <c r="L760" s="54"/>
      <c r="M760" s="313"/>
    </row>
    <row r="761" ht="14.25" customHeight="1">
      <c r="E761" s="322"/>
      <c r="F761" s="315"/>
      <c r="G761" s="315"/>
      <c r="H761" s="315"/>
      <c r="I761" s="318"/>
      <c r="J761" s="54"/>
      <c r="L761" s="54"/>
      <c r="M761" s="313"/>
    </row>
    <row r="762" ht="14.25" customHeight="1">
      <c r="E762" s="322"/>
      <c r="F762" s="315"/>
      <c r="G762" s="315"/>
      <c r="H762" s="315"/>
      <c r="I762" s="318"/>
      <c r="J762" s="54"/>
      <c r="L762" s="54"/>
      <c r="M762" s="313"/>
    </row>
    <row r="763" ht="14.25" customHeight="1">
      <c r="E763" s="322"/>
      <c r="F763" s="315"/>
      <c r="G763" s="315"/>
      <c r="H763" s="315"/>
      <c r="I763" s="318"/>
      <c r="J763" s="54"/>
      <c r="L763" s="54"/>
      <c r="M763" s="313"/>
    </row>
    <row r="764" ht="14.25" customHeight="1">
      <c r="E764" s="322"/>
      <c r="F764" s="315"/>
      <c r="G764" s="315"/>
      <c r="H764" s="315"/>
      <c r="I764" s="318"/>
      <c r="J764" s="54"/>
      <c r="L764" s="54"/>
      <c r="M764" s="313"/>
    </row>
    <row r="765" ht="14.25" customHeight="1">
      <c r="E765" s="322"/>
      <c r="F765" s="315"/>
      <c r="G765" s="315"/>
      <c r="H765" s="315"/>
      <c r="I765" s="318"/>
      <c r="J765" s="54"/>
      <c r="L765" s="54"/>
      <c r="M765" s="313"/>
    </row>
    <row r="766" ht="14.25" customHeight="1">
      <c r="E766" s="322"/>
      <c r="F766" s="315"/>
      <c r="G766" s="315"/>
      <c r="H766" s="315"/>
      <c r="I766" s="318"/>
      <c r="J766" s="54"/>
      <c r="L766" s="54"/>
      <c r="M766" s="313"/>
    </row>
    <row r="767" ht="14.25" customHeight="1">
      <c r="E767" s="322"/>
      <c r="F767" s="315"/>
      <c r="G767" s="315"/>
      <c r="H767" s="315"/>
      <c r="I767" s="318"/>
      <c r="J767" s="54"/>
      <c r="L767" s="54"/>
      <c r="M767" s="313"/>
    </row>
    <row r="768" ht="14.25" customHeight="1">
      <c r="E768" s="322"/>
      <c r="F768" s="315"/>
      <c r="G768" s="315"/>
      <c r="H768" s="315"/>
      <c r="I768" s="318"/>
      <c r="J768" s="54"/>
      <c r="L768" s="54"/>
      <c r="M768" s="313"/>
    </row>
    <row r="769" ht="14.25" customHeight="1">
      <c r="E769" s="322"/>
      <c r="F769" s="315"/>
      <c r="G769" s="315"/>
      <c r="H769" s="315"/>
      <c r="I769" s="318"/>
      <c r="J769" s="54"/>
      <c r="L769" s="54"/>
      <c r="M769" s="313"/>
    </row>
    <row r="770" ht="14.25" customHeight="1">
      <c r="E770" s="322"/>
      <c r="F770" s="315"/>
      <c r="G770" s="315"/>
      <c r="H770" s="315"/>
      <c r="I770" s="318"/>
      <c r="J770" s="54"/>
      <c r="L770" s="54"/>
      <c r="M770" s="313"/>
    </row>
    <row r="771" ht="14.25" customHeight="1">
      <c r="E771" s="322"/>
      <c r="F771" s="315"/>
      <c r="G771" s="315"/>
      <c r="H771" s="315"/>
      <c r="I771" s="318"/>
      <c r="J771" s="54"/>
      <c r="L771" s="54"/>
      <c r="M771" s="313"/>
    </row>
    <row r="772" ht="14.25" customHeight="1">
      <c r="E772" s="322"/>
      <c r="F772" s="315"/>
      <c r="G772" s="315"/>
      <c r="H772" s="315"/>
      <c r="I772" s="318"/>
      <c r="J772" s="54"/>
      <c r="L772" s="54"/>
      <c r="M772" s="313"/>
    </row>
    <row r="773" ht="14.25" customHeight="1">
      <c r="E773" s="322"/>
      <c r="F773" s="315"/>
      <c r="G773" s="315"/>
      <c r="H773" s="315"/>
      <c r="I773" s="318"/>
      <c r="J773" s="54"/>
      <c r="L773" s="54"/>
      <c r="M773" s="313"/>
    </row>
    <row r="774" ht="14.25" customHeight="1">
      <c r="E774" s="322"/>
      <c r="F774" s="315"/>
      <c r="G774" s="315"/>
      <c r="H774" s="315"/>
      <c r="I774" s="318"/>
      <c r="J774" s="54"/>
      <c r="L774" s="54"/>
      <c r="M774" s="313"/>
    </row>
    <row r="775" ht="14.25" customHeight="1">
      <c r="E775" s="322"/>
      <c r="F775" s="315"/>
      <c r="G775" s="315"/>
      <c r="H775" s="315"/>
      <c r="I775" s="318"/>
      <c r="J775" s="54"/>
      <c r="L775" s="54"/>
      <c r="M775" s="313"/>
    </row>
    <row r="776" ht="14.25" customHeight="1">
      <c r="E776" s="322"/>
      <c r="F776" s="315"/>
      <c r="G776" s="315"/>
      <c r="H776" s="315"/>
      <c r="I776" s="318"/>
      <c r="J776" s="54"/>
      <c r="L776" s="54"/>
      <c r="M776" s="313"/>
    </row>
    <row r="777" ht="14.25" customHeight="1">
      <c r="E777" s="322"/>
      <c r="F777" s="315"/>
      <c r="G777" s="315"/>
      <c r="H777" s="315"/>
      <c r="I777" s="318"/>
      <c r="J777" s="54"/>
      <c r="L777" s="54"/>
      <c r="M777" s="313"/>
    </row>
    <row r="778" ht="14.25" customHeight="1">
      <c r="E778" s="322"/>
      <c r="F778" s="315"/>
      <c r="G778" s="315"/>
      <c r="H778" s="315"/>
      <c r="I778" s="318"/>
      <c r="J778" s="54"/>
      <c r="L778" s="54"/>
      <c r="M778" s="313"/>
    </row>
    <row r="779" ht="14.25" customHeight="1">
      <c r="E779" s="322"/>
      <c r="F779" s="315"/>
      <c r="G779" s="315"/>
      <c r="H779" s="315"/>
      <c r="I779" s="318"/>
      <c r="J779" s="54"/>
      <c r="L779" s="54"/>
      <c r="M779" s="313"/>
    </row>
    <row r="780" ht="14.25" customHeight="1">
      <c r="E780" s="322"/>
      <c r="F780" s="315"/>
      <c r="G780" s="315"/>
      <c r="H780" s="315"/>
      <c r="I780" s="318"/>
      <c r="J780" s="54"/>
      <c r="L780" s="54"/>
      <c r="M780" s="313"/>
    </row>
    <row r="781" ht="14.25" customHeight="1">
      <c r="E781" s="322"/>
      <c r="F781" s="315"/>
      <c r="G781" s="315"/>
      <c r="H781" s="315"/>
      <c r="I781" s="318"/>
      <c r="J781" s="54"/>
      <c r="L781" s="54"/>
      <c r="M781" s="313"/>
    </row>
    <row r="782" ht="14.25" customHeight="1">
      <c r="E782" s="322"/>
      <c r="F782" s="315"/>
      <c r="G782" s="315"/>
      <c r="H782" s="315"/>
      <c r="I782" s="318"/>
      <c r="J782" s="54"/>
      <c r="L782" s="54"/>
      <c r="M782" s="313"/>
    </row>
    <row r="783" ht="14.25" customHeight="1">
      <c r="E783" s="322"/>
      <c r="F783" s="315"/>
      <c r="G783" s="315"/>
      <c r="H783" s="315"/>
      <c r="I783" s="318"/>
      <c r="J783" s="54"/>
      <c r="L783" s="54"/>
      <c r="M783" s="313"/>
    </row>
    <row r="784" ht="14.25" customHeight="1">
      <c r="E784" s="322"/>
      <c r="F784" s="315"/>
      <c r="G784" s="315"/>
      <c r="H784" s="315"/>
      <c r="I784" s="318"/>
      <c r="J784" s="54"/>
      <c r="L784" s="54"/>
      <c r="M784" s="313"/>
    </row>
    <row r="785" ht="14.25" customHeight="1">
      <c r="E785" s="322"/>
      <c r="F785" s="315"/>
      <c r="G785" s="315"/>
      <c r="H785" s="315"/>
      <c r="I785" s="318"/>
      <c r="J785" s="54"/>
      <c r="L785" s="54"/>
      <c r="M785" s="313"/>
    </row>
    <row r="786" ht="14.25" customHeight="1">
      <c r="E786" s="322"/>
      <c r="F786" s="315"/>
      <c r="G786" s="315"/>
      <c r="H786" s="315"/>
      <c r="I786" s="318"/>
      <c r="J786" s="54"/>
      <c r="L786" s="54"/>
      <c r="M786" s="313"/>
    </row>
    <row r="787" ht="14.25" customHeight="1">
      <c r="E787" s="322"/>
      <c r="F787" s="315"/>
      <c r="G787" s="315"/>
      <c r="H787" s="315"/>
      <c r="I787" s="318"/>
      <c r="J787" s="54"/>
      <c r="L787" s="54"/>
      <c r="M787" s="313"/>
    </row>
    <row r="788" ht="14.25" customHeight="1">
      <c r="E788" s="322"/>
      <c r="F788" s="315"/>
      <c r="G788" s="315"/>
      <c r="H788" s="315"/>
      <c r="I788" s="318"/>
      <c r="J788" s="54"/>
      <c r="L788" s="54"/>
      <c r="M788" s="313"/>
    </row>
    <row r="789" ht="14.25" customHeight="1">
      <c r="E789" s="322"/>
      <c r="F789" s="315"/>
      <c r="G789" s="315"/>
      <c r="H789" s="315"/>
      <c r="I789" s="318"/>
      <c r="J789" s="54"/>
      <c r="L789" s="54"/>
      <c r="M789" s="313"/>
    </row>
    <row r="790" ht="14.25" customHeight="1">
      <c r="E790" s="322"/>
      <c r="F790" s="315"/>
      <c r="G790" s="315"/>
      <c r="H790" s="315"/>
      <c r="I790" s="318"/>
      <c r="J790" s="54"/>
      <c r="L790" s="54"/>
      <c r="M790" s="313"/>
    </row>
    <row r="791" ht="14.25" customHeight="1">
      <c r="E791" s="322"/>
      <c r="F791" s="315"/>
      <c r="G791" s="315"/>
      <c r="H791" s="315"/>
      <c r="I791" s="318"/>
      <c r="J791" s="54"/>
      <c r="L791" s="54"/>
      <c r="M791" s="313"/>
    </row>
    <row r="792" ht="14.25" customHeight="1">
      <c r="E792" s="322"/>
      <c r="F792" s="315"/>
      <c r="G792" s="315"/>
      <c r="H792" s="315"/>
      <c r="I792" s="318"/>
      <c r="J792" s="54"/>
      <c r="L792" s="54"/>
      <c r="M792" s="313"/>
    </row>
    <row r="793" ht="14.25" customHeight="1">
      <c r="E793" s="322"/>
      <c r="F793" s="315"/>
      <c r="G793" s="315"/>
      <c r="H793" s="315"/>
      <c r="I793" s="318"/>
      <c r="J793" s="54"/>
      <c r="L793" s="54"/>
      <c r="M793" s="313"/>
    </row>
    <row r="794" ht="14.25" customHeight="1">
      <c r="E794" s="322"/>
      <c r="F794" s="315"/>
      <c r="G794" s="315"/>
      <c r="H794" s="315"/>
      <c r="I794" s="318"/>
      <c r="J794" s="54"/>
      <c r="L794" s="54"/>
      <c r="M794" s="313"/>
    </row>
    <row r="795" ht="14.25" customHeight="1">
      <c r="E795" s="322"/>
      <c r="F795" s="315"/>
      <c r="G795" s="315"/>
      <c r="H795" s="315"/>
      <c r="I795" s="318"/>
      <c r="J795" s="54"/>
      <c r="L795" s="54"/>
      <c r="M795" s="313"/>
    </row>
    <row r="796" ht="14.25" customHeight="1">
      <c r="E796" s="322"/>
      <c r="F796" s="315"/>
      <c r="G796" s="315"/>
      <c r="H796" s="315"/>
      <c r="I796" s="318"/>
      <c r="J796" s="54"/>
      <c r="L796" s="54"/>
      <c r="M796" s="313"/>
    </row>
    <row r="797" ht="14.25" customHeight="1">
      <c r="E797" s="322"/>
      <c r="F797" s="315"/>
      <c r="G797" s="315"/>
      <c r="H797" s="315"/>
      <c r="I797" s="318"/>
      <c r="J797" s="54"/>
      <c r="L797" s="54"/>
      <c r="M797" s="313"/>
    </row>
    <row r="798" ht="14.25" customHeight="1">
      <c r="E798" s="322"/>
      <c r="F798" s="315"/>
      <c r="G798" s="315"/>
      <c r="H798" s="315"/>
      <c r="I798" s="318"/>
      <c r="J798" s="54"/>
      <c r="L798" s="54"/>
      <c r="M798" s="313"/>
    </row>
    <row r="799" ht="14.25" customHeight="1">
      <c r="E799" s="322"/>
      <c r="F799" s="315"/>
      <c r="G799" s="315"/>
      <c r="H799" s="315"/>
      <c r="I799" s="318"/>
      <c r="J799" s="54"/>
      <c r="L799" s="54"/>
      <c r="M799" s="313"/>
    </row>
    <row r="800" ht="14.25" customHeight="1">
      <c r="E800" s="322"/>
      <c r="F800" s="315"/>
      <c r="G800" s="315"/>
      <c r="H800" s="315"/>
      <c r="I800" s="318"/>
      <c r="J800" s="54"/>
      <c r="L800" s="54"/>
      <c r="M800" s="313"/>
    </row>
    <row r="801" ht="14.25" customHeight="1">
      <c r="E801" s="322"/>
      <c r="F801" s="315"/>
      <c r="G801" s="315"/>
      <c r="H801" s="315"/>
      <c r="I801" s="318"/>
      <c r="J801" s="54"/>
      <c r="L801" s="54"/>
      <c r="M801" s="313"/>
    </row>
    <row r="802" ht="14.25" customHeight="1">
      <c r="E802" s="322"/>
      <c r="F802" s="315"/>
      <c r="G802" s="315"/>
      <c r="H802" s="315"/>
      <c r="I802" s="318"/>
      <c r="J802" s="54"/>
      <c r="L802" s="54"/>
      <c r="M802" s="313"/>
    </row>
    <row r="803" ht="14.25" customHeight="1">
      <c r="E803" s="322"/>
      <c r="F803" s="315"/>
      <c r="G803" s="315"/>
      <c r="H803" s="315"/>
      <c r="I803" s="318"/>
      <c r="J803" s="54"/>
      <c r="L803" s="54"/>
      <c r="M803" s="313"/>
    </row>
    <row r="804" ht="14.25" customHeight="1">
      <c r="E804" s="322"/>
      <c r="F804" s="315"/>
      <c r="G804" s="315"/>
      <c r="H804" s="315"/>
      <c r="I804" s="318"/>
      <c r="J804" s="54"/>
      <c r="L804" s="54"/>
      <c r="M804" s="313"/>
    </row>
    <row r="805" ht="14.25" customHeight="1">
      <c r="E805" s="322"/>
      <c r="F805" s="315"/>
      <c r="G805" s="315"/>
      <c r="H805" s="315"/>
      <c r="I805" s="318"/>
      <c r="J805" s="54"/>
      <c r="L805" s="54"/>
      <c r="M805" s="313"/>
    </row>
    <row r="806" ht="14.25" customHeight="1">
      <c r="E806" s="322"/>
      <c r="F806" s="315"/>
      <c r="G806" s="315"/>
      <c r="H806" s="315"/>
      <c r="I806" s="318"/>
      <c r="J806" s="54"/>
      <c r="L806" s="54"/>
      <c r="M806" s="313"/>
    </row>
    <row r="807" ht="14.25" customHeight="1">
      <c r="E807" s="322"/>
      <c r="F807" s="315"/>
      <c r="G807" s="315"/>
      <c r="H807" s="315"/>
      <c r="I807" s="318"/>
      <c r="J807" s="54"/>
      <c r="L807" s="54"/>
      <c r="M807" s="313"/>
    </row>
    <row r="808" ht="14.25" customHeight="1">
      <c r="E808" s="322"/>
      <c r="F808" s="315"/>
      <c r="G808" s="315"/>
      <c r="H808" s="315"/>
      <c r="I808" s="318"/>
      <c r="J808" s="54"/>
      <c r="L808" s="54"/>
      <c r="M808" s="313"/>
    </row>
    <row r="809" ht="14.25" customHeight="1">
      <c r="E809" s="322"/>
      <c r="F809" s="315"/>
      <c r="G809" s="315"/>
      <c r="H809" s="315"/>
      <c r="I809" s="318"/>
      <c r="J809" s="54"/>
      <c r="L809" s="54"/>
      <c r="M809" s="313"/>
    </row>
    <row r="810" ht="14.25" customHeight="1">
      <c r="E810" s="322"/>
      <c r="F810" s="315"/>
      <c r="G810" s="315"/>
      <c r="H810" s="315"/>
      <c r="I810" s="318"/>
      <c r="J810" s="54"/>
      <c r="L810" s="54"/>
      <c r="M810" s="313"/>
    </row>
    <row r="811" ht="14.25" customHeight="1">
      <c r="E811" s="322"/>
      <c r="F811" s="315"/>
      <c r="G811" s="315"/>
      <c r="H811" s="315"/>
      <c r="I811" s="318"/>
      <c r="J811" s="54"/>
      <c r="L811" s="54"/>
      <c r="M811" s="313"/>
    </row>
    <row r="812" ht="14.25" customHeight="1">
      <c r="E812" s="322"/>
      <c r="F812" s="315"/>
      <c r="G812" s="315"/>
      <c r="H812" s="315"/>
      <c r="I812" s="318"/>
      <c r="J812" s="54"/>
      <c r="L812" s="54"/>
      <c r="M812" s="313"/>
    </row>
    <row r="813" ht="14.25" customHeight="1">
      <c r="E813" s="322"/>
      <c r="F813" s="315"/>
      <c r="G813" s="315"/>
      <c r="H813" s="315"/>
      <c r="I813" s="318"/>
      <c r="J813" s="54"/>
      <c r="L813" s="54"/>
      <c r="M813" s="313"/>
    </row>
    <row r="814" ht="14.25" customHeight="1">
      <c r="E814" s="322"/>
      <c r="F814" s="315"/>
      <c r="G814" s="315"/>
      <c r="H814" s="315"/>
      <c r="I814" s="318"/>
      <c r="J814" s="54"/>
      <c r="L814" s="54"/>
      <c r="M814" s="313"/>
    </row>
    <row r="815" ht="14.25" customHeight="1">
      <c r="E815" s="322"/>
      <c r="F815" s="315"/>
      <c r="G815" s="315"/>
      <c r="H815" s="315"/>
      <c r="I815" s="318"/>
      <c r="J815" s="54"/>
      <c r="L815" s="54"/>
      <c r="M815" s="313"/>
    </row>
    <row r="816" ht="14.25" customHeight="1">
      <c r="E816" s="322"/>
      <c r="F816" s="315"/>
      <c r="G816" s="315"/>
      <c r="H816" s="315"/>
      <c r="I816" s="318"/>
      <c r="J816" s="54"/>
      <c r="L816" s="54"/>
      <c r="M816" s="313"/>
    </row>
    <row r="817" ht="14.25" customHeight="1">
      <c r="E817" s="322"/>
      <c r="F817" s="315"/>
      <c r="G817" s="315"/>
      <c r="H817" s="315"/>
      <c r="I817" s="318"/>
      <c r="J817" s="54"/>
      <c r="L817" s="54"/>
      <c r="M817" s="313"/>
    </row>
    <row r="818" ht="14.25" customHeight="1">
      <c r="E818" s="322"/>
      <c r="F818" s="315"/>
      <c r="G818" s="315"/>
      <c r="H818" s="315"/>
      <c r="I818" s="318"/>
      <c r="J818" s="54"/>
      <c r="L818" s="54"/>
      <c r="M818" s="313"/>
    </row>
    <row r="819" ht="14.25" customHeight="1">
      <c r="E819" s="322"/>
      <c r="F819" s="315"/>
      <c r="G819" s="315"/>
      <c r="H819" s="315"/>
      <c r="I819" s="318"/>
      <c r="J819" s="54"/>
      <c r="L819" s="54"/>
      <c r="M819" s="313"/>
    </row>
    <row r="820" ht="14.25" customHeight="1">
      <c r="E820" s="322"/>
      <c r="F820" s="315"/>
      <c r="G820" s="315"/>
      <c r="H820" s="315"/>
      <c r="I820" s="318"/>
      <c r="J820" s="54"/>
      <c r="L820" s="54"/>
      <c r="M820" s="313"/>
    </row>
    <row r="821" ht="14.25" customHeight="1">
      <c r="E821" s="322"/>
      <c r="F821" s="315"/>
      <c r="G821" s="315"/>
      <c r="H821" s="315"/>
      <c r="I821" s="318"/>
      <c r="J821" s="54"/>
      <c r="L821" s="54"/>
      <c r="M821" s="313"/>
    </row>
    <row r="822" ht="14.25" customHeight="1">
      <c r="E822" s="322"/>
      <c r="F822" s="315"/>
      <c r="G822" s="315"/>
      <c r="H822" s="315"/>
      <c r="I822" s="318"/>
      <c r="J822" s="54"/>
      <c r="L822" s="54"/>
      <c r="M822" s="313"/>
    </row>
    <row r="823" ht="14.25" customHeight="1">
      <c r="E823" s="322"/>
      <c r="F823" s="315"/>
      <c r="G823" s="315"/>
      <c r="H823" s="315"/>
      <c r="I823" s="318"/>
      <c r="J823" s="54"/>
      <c r="L823" s="54"/>
      <c r="M823" s="313"/>
    </row>
    <row r="824" ht="14.25" customHeight="1">
      <c r="E824" s="322"/>
      <c r="F824" s="315"/>
      <c r="G824" s="315"/>
      <c r="H824" s="315"/>
      <c r="I824" s="318"/>
      <c r="J824" s="54"/>
      <c r="L824" s="54"/>
      <c r="M824" s="313"/>
    </row>
    <row r="825" ht="14.25" customHeight="1">
      <c r="E825" s="322"/>
      <c r="F825" s="315"/>
      <c r="G825" s="315"/>
      <c r="H825" s="315"/>
      <c r="I825" s="318"/>
      <c r="J825" s="54"/>
      <c r="L825" s="54"/>
      <c r="M825" s="313"/>
    </row>
    <row r="826" ht="14.25" customHeight="1">
      <c r="E826" s="322"/>
      <c r="F826" s="315"/>
      <c r="G826" s="315"/>
      <c r="H826" s="315"/>
      <c r="I826" s="318"/>
      <c r="J826" s="54"/>
      <c r="L826" s="54"/>
      <c r="M826" s="313"/>
    </row>
    <row r="827" ht="14.25" customHeight="1">
      <c r="E827" s="322"/>
      <c r="F827" s="315"/>
      <c r="G827" s="315"/>
      <c r="H827" s="315"/>
      <c r="I827" s="318"/>
      <c r="J827" s="54"/>
      <c r="L827" s="54"/>
      <c r="M827" s="313"/>
    </row>
    <row r="828" ht="14.25" customHeight="1">
      <c r="E828" s="322"/>
      <c r="F828" s="315"/>
      <c r="G828" s="315"/>
      <c r="H828" s="315"/>
      <c r="I828" s="318"/>
      <c r="J828" s="54"/>
      <c r="L828" s="54"/>
      <c r="M828" s="313"/>
    </row>
    <row r="829" ht="14.25" customHeight="1">
      <c r="E829" s="322"/>
      <c r="F829" s="315"/>
      <c r="G829" s="315"/>
      <c r="H829" s="315"/>
      <c r="I829" s="318"/>
      <c r="J829" s="54"/>
      <c r="L829" s="54"/>
      <c r="M829" s="313"/>
    </row>
    <row r="830" ht="14.25" customHeight="1">
      <c r="E830" s="322"/>
      <c r="F830" s="315"/>
      <c r="G830" s="315"/>
      <c r="H830" s="315"/>
      <c r="I830" s="318"/>
      <c r="J830" s="54"/>
      <c r="L830" s="54"/>
      <c r="M830" s="313"/>
    </row>
    <row r="831" ht="14.25" customHeight="1">
      <c r="E831" s="322"/>
      <c r="F831" s="315"/>
      <c r="G831" s="315"/>
      <c r="H831" s="315"/>
      <c r="I831" s="318"/>
      <c r="J831" s="54"/>
      <c r="L831" s="54"/>
      <c r="M831" s="313"/>
    </row>
    <row r="832" ht="14.25" customHeight="1">
      <c r="E832" s="322"/>
      <c r="F832" s="315"/>
      <c r="G832" s="315"/>
      <c r="H832" s="315"/>
      <c r="I832" s="318"/>
      <c r="J832" s="54"/>
      <c r="L832" s="54"/>
      <c r="M832" s="313"/>
    </row>
    <row r="833" ht="14.25" customHeight="1">
      <c r="E833" s="322"/>
      <c r="F833" s="315"/>
      <c r="G833" s="315"/>
      <c r="H833" s="315"/>
      <c r="I833" s="318"/>
      <c r="J833" s="54"/>
      <c r="L833" s="54"/>
      <c r="M833" s="313"/>
    </row>
    <row r="834" ht="14.25" customHeight="1">
      <c r="E834" s="322"/>
      <c r="F834" s="315"/>
      <c r="G834" s="315"/>
      <c r="H834" s="315"/>
      <c r="I834" s="318"/>
      <c r="J834" s="54"/>
      <c r="L834" s="54"/>
      <c r="M834" s="313"/>
    </row>
    <row r="835" ht="14.25" customHeight="1">
      <c r="E835" s="322"/>
      <c r="F835" s="315"/>
      <c r="G835" s="315"/>
      <c r="H835" s="315"/>
      <c r="I835" s="318"/>
      <c r="J835" s="54"/>
      <c r="L835" s="54"/>
      <c r="M835" s="313"/>
    </row>
    <row r="836" ht="14.25" customHeight="1">
      <c r="E836" s="322"/>
      <c r="F836" s="315"/>
      <c r="G836" s="315"/>
      <c r="H836" s="315"/>
      <c r="I836" s="318"/>
      <c r="J836" s="54"/>
      <c r="L836" s="54"/>
      <c r="M836" s="313"/>
    </row>
    <row r="837" ht="14.25" customHeight="1">
      <c r="E837" s="322"/>
      <c r="F837" s="315"/>
      <c r="G837" s="315"/>
      <c r="H837" s="315"/>
      <c r="I837" s="318"/>
      <c r="J837" s="54"/>
      <c r="L837" s="54"/>
      <c r="M837" s="313"/>
    </row>
    <row r="838" ht="14.25" customHeight="1">
      <c r="E838" s="322"/>
      <c r="F838" s="315"/>
      <c r="G838" s="315"/>
      <c r="H838" s="315"/>
      <c r="I838" s="318"/>
      <c r="J838" s="54"/>
      <c r="L838" s="54"/>
      <c r="M838" s="313"/>
    </row>
    <row r="839" ht="14.25" customHeight="1">
      <c r="E839" s="322"/>
      <c r="F839" s="315"/>
      <c r="G839" s="315"/>
      <c r="H839" s="315"/>
      <c r="I839" s="318"/>
      <c r="J839" s="54"/>
      <c r="L839" s="54"/>
      <c r="M839" s="313"/>
    </row>
    <row r="840" ht="14.25" customHeight="1">
      <c r="E840" s="322"/>
      <c r="F840" s="315"/>
      <c r="G840" s="315"/>
      <c r="H840" s="315"/>
      <c r="I840" s="318"/>
      <c r="J840" s="54"/>
      <c r="L840" s="54"/>
      <c r="M840" s="313"/>
    </row>
    <row r="841" ht="14.25" customHeight="1">
      <c r="E841" s="322"/>
      <c r="F841" s="315"/>
      <c r="G841" s="315"/>
      <c r="H841" s="315"/>
      <c r="I841" s="318"/>
      <c r="J841" s="54"/>
      <c r="L841" s="54"/>
      <c r="M841" s="313"/>
    </row>
    <row r="842" ht="14.25" customHeight="1">
      <c r="E842" s="322"/>
      <c r="F842" s="315"/>
      <c r="G842" s="315"/>
      <c r="H842" s="315"/>
      <c r="I842" s="318"/>
      <c r="J842" s="54"/>
      <c r="L842" s="54"/>
      <c r="M842" s="313"/>
    </row>
    <row r="843" ht="14.25" customHeight="1">
      <c r="E843" s="322"/>
      <c r="F843" s="315"/>
      <c r="G843" s="315"/>
      <c r="H843" s="315"/>
      <c r="I843" s="318"/>
      <c r="J843" s="54"/>
      <c r="L843" s="54"/>
      <c r="M843" s="313"/>
    </row>
    <row r="844" ht="14.25" customHeight="1">
      <c r="E844" s="322"/>
      <c r="F844" s="315"/>
      <c r="G844" s="315"/>
      <c r="H844" s="315"/>
      <c r="I844" s="318"/>
      <c r="J844" s="54"/>
      <c r="L844" s="54"/>
      <c r="M844" s="313"/>
    </row>
    <row r="845" ht="14.25" customHeight="1">
      <c r="E845" s="322"/>
      <c r="F845" s="315"/>
      <c r="G845" s="315"/>
      <c r="H845" s="315"/>
      <c r="I845" s="318"/>
      <c r="J845" s="54"/>
      <c r="L845" s="54"/>
      <c r="M845" s="313"/>
    </row>
    <row r="846" ht="14.25" customHeight="1">
      <c r="E846" s="322"/>
      <c r="F846" s="315"/>
      <c r="G846" s="315"/>
      <c r="H846" s="315"/>
      <c r="I846" s="318"/>
      <c r="J846" s="54"/>
      <c r="L846" s="54"/>
      <c r="M846" s="313"/>
    </row>
    <row r="847" ht="14.25" customHeight="1">
      <c r="E847" s="322"/>
      <c r="F847" s="315"/>
      <c r="G847" s="315"/>
      <c r="H847" s="315"/>
      <c r="I847" s="318"/>
      <c r="J847" s="54"/>
      <c r="L847" s="54"/>
      <c r="M847" s="313"/>
    </row>
    <row r="848" ht="14.25" customHeight="1">
      <c r="E848" s="322"/>
      <c r="F848" s="315"/>
      <c r="G848" s="315"/>
      <c r="H848" s="315"/>
      <c r="I848" s="318"/>
      <c r="J848" s="54"/>
      <c r="L848" s="54"/>
      <c r="M848" s="313"/>
    </row>
    <row r="849" ht="14.25" customHeight="1">
      <c r="E849" s="322"/>
      <c r="F849" s="315"/>
      <c r="G849" s="315"/>
      <c r="H849" s="315"/>
      <c r="I849" s="318"/>
      <c r="J849" s="54"/>
      <c r="L849" s="54"/>
      <c r="M849" s="313"/>
    </row>
    <row r="850" ht="14.25" customHeight="1">
      <c r="E850" s="322"/>
      <c r="F850" s="315"/>
      <c r="G850" s="315"/>
      <c r="H850" s="315"/>
      <c r="I850" s="318"/>
      <c r="J850" s="54"/>
      <c r="L850" s="54"/>
      <c r="M850" s="313"/>
    </row>
    <row r="851" ht="14.25" customHeight="1">
      <c r="E851" s="322"/>
      <c r="F851" s="315"/>
      <c r="G851" s="315"/>
      <c r="H851" s="315"/>
      <c r="I851" s="318"/>
      <c r="J851" s="54"/>
      <c r="L851" s="54"/>
      <c r="M851" s="313"/>
    </row>
    <row r="852" ht="14.25" customHeight="1">
      <c r="E852" s="322"/>
      <c r="F852" s="315"/>
      <c r="G852" s="315"/>
      <c r="H852" s="315"/>
      <c r="I852" s="318"/>
      <c r="J852" s="54"/>
      <c r="L852" s="54"/>
      <c r="M852" s="313"/>
    </row>
    <row r="853" ht="14.25" customHeight="1">
      <c r="E853" s="322"/>
      <c r="F853" s="315"/>
      <c r="G853" s="315"/>
      <c r="H853" s="315"/>
      <c r="I853" s="318"/>
      <c r="J853" s="54"/>
      <c r="L853" s="54"/>
      <c r="M853" s="313"/>
    </row>
    <row r="854" ht="14.25" customHeight="1">
      <c r="E854" s="322"/>
      <c r="F854" s="315"/>
      <c r="G854" s="315"/>
      <c r="H854" s="315"/>
      <c r="I854" s="318"/>
      <c r="J854" s="54"/>
      <c r="L854" s="54"/>
      <c r="M854" s="313"/>
    </row>
    <row r="855" ht="14.25" customHeight="1">
      <c r="E855" s="322"/>
      <c r="F855" s="315"/>
      <c r="G855" s="315"/>
      <c r="H855" s="315"/>
      <c r="I855" s="318"/>
      <c r="J855" s="54"/>
      <c r="L855" s="54"/>
      <c r="M855" s="313"/>
    </row>
    <row r="856" ht="14.25" customHeight="1">
      <c r="E856" s="322"/>
      <c r="F856" s="315"/>
      <c r="G856" s="315"/>
      <c r="H856" s="315"/>
      <c r="I856" s="318"/>
      <c r="J856" s="54"/>
      <c r="L856" s="54"/>
      <c r="M856" s="313"/>
    </row>
    <row r="857" ht="14.25" customHeight="1">
      <c r="E857" s="322"/>
      <c r="F857" s="315"/>
      <c r="G857" s="315"/>
      <c r="H857" s="315"/>
      <c r="I857" s="318"/>
      <c r="J857" s="54"/>
      <c r="L857" s="54"/>
      <c r="M857" s="313"/>
    </row>
    <row r="858" ht="14.25" customHeight="1">
      <c r="E858" s="322"/>
      <c r="F858" s="315"/>
      <c r="G858" s="315"/>
      <c r="H858" s="315"/>
      <c r="I858" s="318"/>
      <c r="J858" s="54"/>
      <c r="L858" s="54"/>
      <c r="M858" s="313"/>
    </row>
    <row r="859" ht="14.25" customHeight="1">
      <c r="E859" s="322"/>
      <c r="F859" s="315"/>
      <c r="G859" s="315"/>
      <c r="H859" s="315"/>
      <c r="I859" s="318"/>
      <c r="J859" s="54"/>
      <c r="L859" s="54"/>
      <c r="M859" s="313"/>
    </row>
    <row r="860" ht="14.25" customHeight="1">
      <c r="E860" s="322"/>
      <c r="F860" s="315"/>
      <c r="G860" s="315"/>
      <c r="H860" s="315"/>
      <c r="I860" s="318"/>
      <c r="J860" s="54"/>
      <c r="L860" s="54"/>
      <c r="M860" s="313"/>
    </row>
    <row r="861" ht="14.25" customHeight="1">
      <c r="E861" s="322"/>
      <c r="F861" s="315"/>
      <c r="G861" s="315"/>
      <c r="H861" s="315"/>
      <c r="I861" s="318"/>
      <c r="J861" s="54"/>
      <c r="L861" s="54"/>
      <c r="M861" s="313"/>
    </row>
    <row r="862" ht="14.25" customHeight="1">
      <c r="E862" s="322"/>
      <c r="F862" s="315"/>
      <c r="G862" s="315"/>
      <c r="H862" s="315"/>
      <c r="I862" s="318"/>
      <c r="J862" s="54"/>
      <c r="L862" s="54"/>
      <c r="M862" s="313"/>
    </row>
    <row r="863" ht="14.25" customHeight="1">
      <c r="E863" s="322"/>
      <c r="F863" s="315"/>
      <c r="G863" s="315"/>
      <c r="H863" s="315"/>
      <c r="I863" s="318"/>
      <c r="J863" s="54"/>
      <c r="L863" s="54"/>
      <c r="M863" s="313"/>
    </row>
    <row r="864" ht="14.25" customHeight="1">
      <c r="E864" s="322"/>
      <c r="F864" s="315"/>
      <c r="G864" s="315"/>
      <c r="H864" s="315"/>
      <c r="I864" s="318"/>
      <c r="J864" s="54"/>
      <c r="L864" s="54"/>
      <c r="M864" s="313"/>
    </row>
    <row r="865" ht="14.25" customHeight="1">
      <c r="E865" s="322"/>
      <c r="F865" s="315"/>
      <c r="G865" s="315"/>
      <c r="H865" s="315"/>
      <c r="I865" s="318"/>
      <c r="J865" s="54"/>
      <c r="L865" s="54"/>
      <c r="M865" s="313"/>
    </row>
    <row r="866" ht="14.25" customHeight="1">
      <c r="E866" s="322"/>
      <c r="F866" s="315"/>
      <c r="G866" s="315"/>
      <c r="H866" s="315"/>
      <c r="I866" s="318"/>
      <c r="J866" s="54"/>
      <c r="L866" s="54"/>
      <c r="M866" s="313"/>
    </row>
    <row r="867" ht="14.25" customHeight="1">
      <c r="E867" s="322"/>
      <c r="F867" s="315"/>
      <c r="G867" s="315"/>
      <c r="H867" s="315"/>
      <c r="I867" s="318"/>
      <c r="J867" s="54"/>
      <c r="L867" s="54"/>
      <c r="M867" s="313"/>
    </row>
    <row r="868" ht="14.25" customHeight="1">
      <c r="E868" s="322"/>
      <c r="F868" s="315"/>
      <c r="G868" s="315"/>
      <c r="H868" s="315"/>
      <c r="I868" s="318"/>
      <c r="J868" s="54"/>
      <c r="L868" s="54"/>
      <c r="M868" s="313"/>
    </row>
    <row r="869" ht="14.25" customHeight="1">
      <c r="E869" s="322"/>
      <c r="F869" s="315"/>
      <c r="G869" s="315"/>
      <c r="H869" s="315"/>
      <c r="I869" s="318"/>
      <c r="J869" s="54"/>
      <c r="L869" s="54"/>
      <c r="M869" s="313"/>
    </row>
    <row r="870" ht="14.25" customHeight="1">
      <c r="E870" s="322"/>
      <c r="F870" s="315"/>
      <c r="G870" s="315"/>
      <c r="H870" s="315"/>
      <c r="I870" s="318"/>
      <c r="J870" s="54"/>
      <c r="L870" s="54"/>
      <c r="M870" s="313"/>
    </row>
    <row r="871" ht="14.25" customHeight="1">
      <c r="E871" s="322"/>
      <c r="F871" s="315"/>
      <c r="G871" s="315"/>
      <c r="H871" s="315"/>
      <c r="I871" s="318"/>
      <c r="J871" s="54"/>
      <c r="L871" s="54"/>
      <c r="M871" s="313"/>
    </row>
    <row r="872" ht="14.25" customHeight="1">
      <c r="E872" s="322"/>
      <c r="F872" s="315"/>
      <c r="G872" s="315"/>
      <c r="H872" s="315"/>
      <c r="I872" s="318"/>
      <c r="J872" s="54"/>
      <c r="L872" s="54"/>
      <c r="M872" s="313"/>
    </row>
    <row r="873" ht="14.25" customHeight="1">
      <c r="E873" s="322"/>
      <c r="F873" s="315"/>
      <c r="G873" s="315"/>
      <c r="H873" s="315"/>
      <c r="I873" s="318"/>
      <c r="J873" s="54"/>
      <c r="L873" s="54"/>
      <c r="M873" s="313"/>
    </row>
    <row r="874" ht="14.25" customHeight="1">
      <c r="E874" s="322"/>
      <c r="F874" s="315"/>
      <c r="G874" s="315"/>
      <c r="H874" s="315"/>
      <c r="I874" s="318"/>
      <c r="J874" s="54"/>
      <c r="L874" s="54"/>
      <c r="M874" s="313"/>
    </row>
    <row r="875" ht="14.25" customHeight="1">
      <c r="E875" s="322"/>
      <c r="F875" s="315"/>
      <c r="G875" s="315"/>
      <c r="H875" s="315"/>
      <c r="I875" s="318"/>
      <c r="J875" s="54"/>
      <c r="L875" s="54"/>
      <c r="M875" s="313"/>
    </row>
    <row r="876" ht="14.25" customHeight="1">
      <c r="E876" s="322"/>
      <c r="F876" s="315"/>
      <c r="G876" s="315"/>
      <c r="H876" s="315"/>
      <c r="I876" s="318"/>
      <c r="J876" s="54"/>
      <c r="L876" s="54"/>
      <c r="M876" s="313"/>
    </row>
    <row r="877" ht="14.25" customHeight="1">
      <c r="E877" s="322"/>
      <c r="F877" s="315"/>
      <c r="G877" s="315"/>
      <c r="H877" s="315"/>
      <c r="I877" s="318"/>
      <c r="J877" s="54"/>
      <c r="L877" s="54"/>
      <c r="M877" s="313"/>
    </row>
    <row r="878" ht="14.25" customHeight="1">
      <c r="E878" s="322"/>
      <c r="F878" s="315"/>
      <c r="G878" s="315"/>
      <c r="H878" s="315"/>
      <c r="I878" s="318"/>
      <c r="J878" s="54"/>
      <c r="L878" s="54"/>
      <c r="M878" s="313"/>
    </row>
    <row r="879" ht="14.25" customHeight="1">
      <c r="E879" s="322"/>
      <c r="F879" s="315"/>
      <c r="G879" s="315"/>
      <c r="H879" s="315"/>
      <c r="I879" s="318"/>
      <c r="J879" s="54"/>
      <c r="L879" s="54"/>
      <c r="M879" s="313"/>
    </row>
    <row r="880" ht="14.25" customHeight="1">
      <c r="E880" s="322"/>
      <c r="F880" s="315"/>
      <c r="G880" s="315"/>
      <c r="H880" s="315"/>
      <c r="I880" s="318"/>
      <c r="J880" s="54"/>
      <c r="L880" s="54"/>
      <c r="M880" s="313"/>
    </row>
    <row r="881" ht="14.25" customHeight="1">
      <c r="E881" s="322"/>
      <c r="F881" s="315"/>
      <c r="G881" s="315"/>
      <c r="H881" s="315"/>
      <c r="I881" s="318"/>
      <c r="J881" s="54"/>
      <c r="L881" s="54"/>
      <c r="M881" s="313"/>
    </row>
    <row r="882" ht="14.25" customHeight="1">
      <c r="E882" s="322"/>
      <c r="F882" s="315"/>
      <c r="G882" s="315"/>
      <c r="H882" s="315"/>
      <c r="I882" s="318"/>
      <c r="J882" s="54"/>
      <c r="L882" s="54"/>
      <c r="M882" s="313"/>
    </row>
    <row r="883" ht="14.25" customHeight="1">
      <c r="E883" s="322"/>
      <c r="F883" s="315"/>
      <c r="G883" s="315"/>
      <c r="H883" s="315"/>
      <c r="I883" s="318"/>
      <c r="J883" s="54"/>
      <c r="L883" s="54"/>
      <c r="M883" s="313"/>
    </row>
    <row r="884" ht="14.25" customHeight="1">
      <c r="E884" s="322"/>
      <c r="F884" s="315"/>
      <c r="G884" s="315"/>
      <c r="H884" s="315"/>
      <c r="I884" s="318"/>
      <c r="J884" s="54"/>
      <c r="L884" s="54"/>
      <c r="M884" s="313"/>
    </row>
    <row r="885" ht="14.25" customHeight="1">
      <c r="E885" s="322"/>
      <c r="F885" s="315"/>
      <c r="G885" s="315"/>
      <c r="H885" s="315"/>
      <c r="I885" s="318"/>
      <c r="J885" s="54"/>
      <c r="L885" s="54"/>
      <c r="M885" s="313"/>
    </row>
    <row r="886" ht="14.25" customHeight="1">
      <c r="E886" s="322"/>
      <c r="F886" s="315"/>
      <c r="G886" s="315"/>
      <c r="H886" s="315"/>
      <c r="I886" s="318"/>
      <c r="J886" s="54"/>
      <c r="L886" s="54"/>
      <c r="M886" s="313"/>
    </row>
    <row r="887" ht="14.25" customHeight="1">
      <c r="E887" s="322"/>
      <c r="F887" s="315"/>
      <c r="G887" s="315"/>
      <c r="H887" s="315"/>
      <c r="I887" s="318"/>
      <c r="J887" s="54"/>
      <c r="L887" s="54"/>
      <c r="M887" s="313"/>
    </row>
    <row r="888" ht="14.25" customHeight="1">
      <c r="E888" s="322"/>
      <c r="F888" s="315"/>
      <c r="G888" s="315"/>
      <c r="H888" s="315"/>
      <c r="I888" s="318"/>
      <c r="J888" s="54"/>
      <c r="L888" s="54"/>
      <c r="M888" s="313"/>
    </row>
    <row r="889" ht="14.25" customHeight="1">
      <c r="E889" s="322"/>
      <c r="F889" s="315"/>
      <c r="G889" s="315"/>
      <c r="H889" s="315"/>
      <c r="I889" s="318"/>
      <c r="J889" s="54"/>
      <c r="L889" s="54"/>
      <c r="M889" s="313"/>
    </row>
    <row r="890" ht="14.25" customHeight="1">
      <c r="E890" s="322"/>
      <c r="F890" s="315"/>
      <c r="G890" s="315"/>
      <c r="H890" s="315"/>
      <c r="I890" s="318"/>
      <c r="J890" s="54"/>
      <c r="L890" s="54"/>
      <c r="M890" s="313"/>
    </row>
    <row r="891" ht="14.25" customHeight="1">
      <c r="E891" s="322"/>
      <c r="F891" s="315"/>
      <c r="G891" s="315"/>
      <c r="H891" s="315"/>
      <c r="I891" s="318"/>
      <c r="J891" s="54"/>
      <c r="L891" s="54"/>
      <c r="M891" s="313"/>
    </row>
    <row r="892" ht="14.25" customHeight="1">
      <c r="E892" s="322"/>
      <c r="F892" s="315"/>
      <c r="G892" s="315"/>
      <c r="H892" s="315"/>
      <c r="I892" s="318"/>
      <c r="J892" s="54"/>
      <c r="L892" s="54"/>
      <c r="M892" s="313"/>
    </row>
    <row r="893" ht="14.25" customHeight="1">
      <c r="E893" s="322"/>
      <c r="F893" s="315"/>
      <c r="G893" s="315"/>
      <c r="H893" s="315"/>
      <c r="I893" s="318"/>
      <c r="J893" s="54"/>
      <c r="L893" s="54"/>
      <c r="M893" s="313"/>
    </row>
    <row r="894" ht="14.25" customHeight="1">
      <c r="E894" s="322"/>
      <c r="F894" s="315"/>
      <c r="G894" s="315"/>
      <c r="H894" s="315"/>
      <c r="I894" s="318"/>
      <c r="J894" s="54"/>
      <c r="L894" s="54"/>
      <c r="M894" s="313"/>
    </row>
    <row r="895" ht="14.25" customHeight="1">
      <c r="E895" s="322"/>
      <c r="F895" s="315"/>
      <c r="G895" s="315"/>
      <c r="H895" s="315"/>
      <c r="I895" s="318"/>
      <c r="J895" s="54"/>
      <c r="L895" s="54"/>
      <c r="M895" s="313"/>
    </row>
    <row r="896" ht="14.25" customHeight="1">
      <c r="E896" s="322"/>
      <c r="F896" s="315"/>
      <c r="G896" s="315"/>
      <c r="H896" s="315"/>
      <c r="I896" s="318"/>
      <c r="J896" s="54"/>
      <c r="L896" s="54"/>
      <c r="M896" s="313"/>
    </row>
    <row r="897" ht="14.25" customHeight="1">
      <c r="E897" s="322"/>
      <c r="F897" s="315"/>
      <c r="G897" s="315"/>
      <c r="H897" s="315"/>
      <c r="I897" s="318"/>
      <c r="J897" s="54"/>
      <c r="L897" s="54"/>
      <c r="M897" s="313"/>
    </row>
    <row r="898" ht="14.25" customHeight="1">
      <c r="E898" s="322"/>
      <c r="F898" s="315"/>
      <c r="G898" s="315"/>
      <c r="H898" s="315"/>
      <c r="I898" s="318"/>
      <c r="J898" s="54"/>
      <c r="L898" s="54"/>
      <c r="M898" s="313"/>
    </row>
    <row r="899" ht="14.25" customHeight="1">
      <c r="E899" s="322"/>
      <c r="F899" s="315"/>
      <c r="G899" s="315"/>
      <c r="H899" s="315"/>
      <c r="I899" s="318"/>
      <c r="J899" s="54"/>
      <c r="L899" s="54"/>
      <c r="M899" s="313"/>
    </row>
    <row r="900" ht="14.25" customHeight="1">
      <c r="E900" s="322"/>
      <c r="F900" s="315"/>
      <c r="G900" s="315"/>
      <c r="H900" s="315"/>
      <c r="I900" s="318"/>
      <c r="J900" s="54"/>
      <c r="L900" s="54"/>
      <c r="M900" s="313"/>
    </row>
    <row r="901" ht="14.25" customHeight="1">
      <c r="E901" s="322"/>
      <c r="F901" s="315"/>
      <c r="G901" s="315"/>
      <c r="H901" s="315"/>
      <c r="I901" s="318"/>
      <c r="J901" s="54"/>
      <c r="L901" s="54"/>
      <c r="M901" s="313"/>
    </row>
    <row r="902" ht="14.25" customHeight="1">
      <c r="E902" s="322"/>
      <c r="F902" s="315"/>
      <c r="G902" s="315"/>
      <c r="H902" s="315"/>
      <c r="I902" s="318"/>
      <c r="J902" s="54"/>
      <c r="L902" s="54"/>
      <c r="M902" s="313"/>
    </row>
    <row r="903" ht="14.25" customHeight="1">
      <c r="E903" s="322"/>
      <c r="F903" s="315"/>
      <c r="G903" s="315"/>
      <c r="H903" s="315"/>
      <c r="I903" s="318"/>
      <c r="J903" s="54"/>
      <c r="L903" s="54"/>
      <c r="M903" s="313"/>
    </row>
    <row r="904" ht="14.25" customHeight="1">
      <c r="E904" s="322"/>
      <c r="F904" s="315"/>
      <c r="G904" s="315"/>
      <c r="H904" s="315"/>
      <c r="I904" s="318"/>
      <c r="J904" s="54"/>
      <c r="L904" s="54"/>
      <c r="M904" s="313"/>
    </row>
    <row r="905" ht="14.25" customHeight="1">
      <c r="E905" s="322"/>
      <c r="F905" s="315"/>
      <c r="G905" s="315"/>
      <c r="H905" s="315"/>
      <c r="I905" s="318"/>
      <c r="J905" s="54"/>
      <c r="L905" s="54"/>
      <c r="M905" s="313"/>
    </row>
    <row r="906" ht="14.25" customHeight="1">
      <c r="E906" s="322"/>
      <c r="F906" s="315"/>
      <c r="G906" s="315"/>
      <c r="H906" s="315"/>
      <c r="I906" s="318"/>
      <c r="J906" s="54"/>
      <c r="L906" s="54"/>
      <c r="M906" s="313"/>
    </row>
    <row r="907" ht="14.25" customHeight="1">
      <c r="E907" s="322"/>
      <c r="F907" s="315"/>
      <c r="G907" s="315"/>
      <c r="H907" s="315"/>
      <c r="I907" s="318"/>
      <c r="J907" s="54"/>
      <c r="L907" s="54"/>
      <c r="M907" s="313"/>
    </row>
    <row r="908" ht="14.25" customHeight="1">
      <c r="E908" s="322"/>
      <c r="F908" s="315"/>
      <c r="G908" s="315"/>
      <c r="H908" s="315"/>
      <c r="I908" s="318"/>
      <c r="J908" s="54"/>
      <c r="L908" s="54"/>
      <c r="M908" s="313"/>
    </row>
    <row r="909" ht="14.25" customHeight="1">
      <c r="E909" s="322"/>
      <c r="F909" s="315"/>
      <c r="G909" s="315"/>
      <c r="H909" s="315"/>
      <c r="I909" s="318"/>
      <c r="J909" s="54"/>
      <c r="L909" s="54"/>
      <c r="M909" s="313"/>
    </row>
    <row r="910" ht="14.25" customHeight="1">
      <c r="E910" s="322"/>
      <c r="F910" s="315"/>
      <c r="G910" s="315"/>
      <c r="H910" s="315"/>
      <c r="I910" s="318"/>
      <c r="J910" s="54"/>
      <c r="L910" s="54"/>
      <c r="M910" s="313"/>
    </row>
    <row r="911" ht="14.25" customHeight="1">
      <c r="E911" s="322"/>
      <c r="F911" s="315"/>
      <c r="G911" s="315"/>
      <c r="H911" s="315"/>
      <c r="I911" s="318"/>
      <c r="J911" s="54"/>
      <c r="L911" s="54"/>
      <c r="M911" s="313"/>
    </row>
    <row r="912" ht="14.25" customHeight="1">
      <c r="E912" s="322"/>
      <c r="F912" s="315"/>
      <c r="G912" s="315"/>
      <c r="H912" s="315"/>
      <c r="I912" s="318"/>
      <c r="J912" s="54"/>
      <c r="L912" s="54"/>
      <c r="M912" s="313"/>
    </row>
    <row r="913" ht="14.25" customHeight="1">
      <c r="E913" s="322"/>
      <c r="F913" s="315"/>
      <c r="G913" s="315"/>
      <c r="H913" s="315"/>
      <c r="I913" s="318"/>
      <c r="J913" s="54"/>
      <c r="L913" s="54"/>
      <c r="M913" s="313"/>
    </row>
    <row r="914" ht="14.25" customHeight="1">
      <c r="E914" s="322"/>
      <c r="F914" s="315"/>
      <c r="G914" s="315"/>
      <c r="H914" s="315"/>
      <c r="I914" s="318"/>
      <c r="J914" s="54"/>
      <c r="L914" s="54"/>
      <c r="M914" s="313"/>
    </row>
    <row r="915" ht="14.25" customHeight="1">
      <c r="E915" s="322"/>
      <c r="F915" s="315"/>
      <c r="G915" s="315"/>
      <c r="H915" s="315"/>
      <c r="I915" s="318"/>
      <c r="J915" s="54"/>
      <c r="L915" s="54"/>
      <c r="M915" s="313"/>
    </row>
    <row r="916" ht="14.25" customHeight="1">
      <c r="E916" s="322"/>
      <c r="F916" s="315"/>
      <c r="G916" s="315"/>
      <c r="H916" s="315"/>
      <c r="I916" s="318"/>
      <c r="J916" s="54"/>
      <c r="L916" s="54"/>
      <c r="M916" s="313"/>
    </row>
    <row r="917" ht="14.25" customHeight="1">
      <c r="E917" s="322"/>
      <c r="F917" s="315"/>
      <c r="G917" s="315"/>
      <c r="H917" s="315"/>
      <c r="I917" s="318"/>
      <c r="J917" s="54"/>
      <c r="L917" s="54"/>
      <c r="M917" s="313"/>
    </row>
    <row r="918" ht="14.25" customHeight="1">
      <c r="E918" s="322"/>
      <c r="F918" s="315"/>
      <c r="G918" s="315"/>
      <c r="H918" s="315"/>
      <c r="I918" s="318"/>
      <c r="J918" s="54"/>
      <c r="L918" s="54"/>
      <c r="M918" s="313"/>
    </row>
    <row r="919" ht="14.25" customHeight="1">
      <c r="E919" s="322"/>
      <c r="F919" s="315"/>
      <c r="G919" s="315"/>
      <c r="H919" s="315"/>
      <c r="I919" s="318"/>
      <c r="J919" s="54"/>
      <c r="L919" s="54"/>
      <c r="M919" s="313"/>
    </row>
    <row r="920" ht="14.25" customHeight="1">
      <c r="E920" s="322"/>
      <c r="F920" s="315"/>
      <c r="G920" s="315"/>
      <c r="H920" s="315"/>
      <c r="I920" s="318"/>
      <c r="J920" s="54"/>
      <c r="L920" s="54"/>
      <c r="M920" s="313"/>
    </row>
    <row r="921" ht="14.25" customHeight="1">
      <c r="E921" s="322"/>
      <c r="F921" s="315"/>
      <c r="G921" s="315"/>
      <c r="H921" s="315"/>
      <c r="I921" s="318"/>
      <c r="J921" s="54"/>
      <c r="L921" s="54"/>
      <c r="M921" s="313"/>
    </row>
    <row r="922" ht="14.25" customHeight="1">
      <c r="E922" s="322"/>
      <c r="F922" s="315"/>
      <c r="G922" s="315"/>
      <c r="H922" s="315"/>
      <c r="I922" s="318"/>
      <c r="J922" s="54"/>
      <c r="L922" s="54"/>
      <c r="M922" s="313"/>
    </row>
    <row r="923" ht="14.25" customHeight="1">
      <c r="E923" s="322"/>
      <c r="F923" s="315"/>
      <c r="G923" s="315"/>
      <c r="H923" s="315"/>
      <c r="I923" s="318"/>
      <c r="J923" s="54"/>
      <c r="L923" s="54"/>
      <c r="M923" s="313"/>
    </row>
    <row r="924" ht="14.25" customHeight="1">
      <c r="E924" s="322"/>
      <c r="F924" s="315"/>
      <c r="G924" s="315"/>
      <c r="H924" s="315"/>
      <c r="I924" s="318"/>
      <c r="J924" s="54"/>
      <c r="L924" s="54"/>
      <c r="M924" s="313"/>
    </row>
    <row r="925" ht="14.25" customHeight="1">
      <c r="E925" s="322"/>
      <c r="F925" s="315"/>
      <c r="G925" s="315"/>
      <c r="H925" s="315"/>
      <c r="I925" s="318"/>
      <c r="J925" s="54"/>
      <c r="L925" s="54"/>
      <c r="M925" s="313"/>
    </row>
    <row r="926" ht="14.25" customHeight="1">
      <c r="E926" s="322"/>
      <c r="F926" s="315"/>
      <c r="G926" s="315"/>
      <c r="H926" s="315"/>
      <c r="I926" s="318"/>
      <c r="J926" s="54"/>
      <c r="L926" s="54"/>
      <c r="M926" s="313"/>
    </row>
    <row r="927" ht="14.25" customHeight="1">
      <c r="E927" s="322"/>
      <c r="F927" s="315"/>
      <c r="G927" s="315"/>
      <c r="H927" s="315"/>
      <c r="I927" s="318"/>
      <c r="J927" s="54"/>
      <c r="L927" s="54"/>
      <c r="M927" s="313"/>
    </row>
    <row r="928" ht="14.25" customHeight="1">
      <c r="E928" s="322"/>
      <c r="F928" s="315"/>
      <c r="G928" s="315"/>
      <c r="H928" s="315"/>
      <c r="I928" s="318"/>
      <c r="J928" s="54"/>
      <c r="L928" s="54"/>
      <c r="M928" s="313"/>
    </row>
    <row r="929" ht="14.25" customHeight="1">
      <c r="E929" s="322"/>
      <c r="F929" s="315"/>
      <c r="G929" s="315"/>
      <c r="H929" s="315"/>
      <c r="I929" s="318"/>
      <c r="J929" s="54"/>
      <c r="L929" s="54"/>
      <c r="M929" s="313"/>
    </row>
    <row r="930" ht="14.25" customHeight="1">
      <c r="E930" s="322"/>
      <c r="F930" s="315"/>
      <c r="G930" s="315"/>
      <c r="H930" s="315"/>
      <c r="I930" s="318"/>
      <c r="J930" s="54"/>
      <c r="L930" s="54"/>
      <c r="M930" s="313"/>
    </row>
    <row r="931" ht="14.25" customHeight="1">
      <c r="E931" s="322"/>
      <c r="F931" s="315"/>
      <c r="G931" s="315"/>
      <c r="H931" s="315"/>
      <c r="I931" s="318"/>
      <c r="J931" s="54"/>
      <c r="L931" s="54"/>
      <c r="M931" s="313"/>
    </row>
    <row r="932" ht="14.25" customHeight="1">
      <c r="E932" s="322"/>
      <c r="F932" s="315"/>
      <c r="G932" s="315"/>
      <c r="H932" s="315"/>
      <c r="I932" s="318"/>
      <c r="J932" s="54"/>
      <c r="L932" s="54"/>
      <c r="M932" s="313"/>
    </row>
    <row r="933" ht="14.25" customHeight="1">
      <c r="E933" s="322"/>
      <c r="F933" s="315"/>
      <c r="G933" s="315"/>
      <c r="H933" s="315"/>
      <c r="I933" s="318"/>
      <c r="J933" s="54"/>
      <c r="L933" s="54"/>
      <c r="M933" s="313"/>
    </row>
    <row r="934" ht="14.25" customHeight="1">
      <c r="E934" s="322"/>
      <c r="F934" s="315"/>
      <c r="G934" s="315"/>
      <c r="H934" s="315"/>
      <c r="I934" s="318"/>
      <c r="J934" s="54"/>
      <c r="L934" s="54"/>
      <c r="M934" s="313"/>
    </row>
    <row r="935" ht="14.25" customHeight="1">
      <c r="E935" s="322"/>
      <c r="F935" s="315"/>
      <c r="G935" s="315"/>
      <c r="H935" s="315"/>
      <c r="I935" s="318"/>
      <c r="J935" s="54"/>
      <c r="L935" s="54"/>
      <c r="M935" s="313"/>
    </row>
    <row r="936" ht="14.25" customHeight="1">
      <c r="E936" s="322"/>
      <c r="F936" s="315"/>
      <c r="G936" s="315"/>
      <c r="H936" s="315"/>
      <c r="I936" s="318"/>
      <c r="J936" s="54"/>
      <c r="L936" s="54"/>
      <c r="M936" s="313"/>
    </row>
    <row r="937" ht="14.25" customHeight="1">
      <c r="E937" s="322"/>
      <c r="F937" s="315"/>
      <c r="G937" s="315"/>
      <c r="H937" s="315"/>
      <c r="I937" s="318"/>
      <c r="J937" s="54"/>
      <c r="L937" s="54"/>
      <c r="M937" s="313"/>
    </row>
    <row r="938" ht="14.25" customHeight="1">
      <c r="E938" s="322"/>
      <c r="F938" s="315"/>
      <c r="G938" s="315"/>
      <c r="H938" s="315"/>
      <c r="I938" s="318"/>
      <c r="J938" s="54"/>
      <c r="L938" s="54"/>
      <c r="M938" s="313"/>
    </row>
    <row r="939" ht="14.25" customHeight="1">
      <c r="E939" s="322"/>
      <c r="F939" s="315"/>
      <c r="G939" s="315"/>
      <c r="H939" s="315"/>
      <c r="I939" s="318"/>
      <c r="J939" s="54"/>
      <c r="L939" s="54"/>
      <c r="M939" s="313"/>
    </row>
    <row r="940" ht="14.25" customHeight="1">
      <c r="E940" s="322"/>
      <c r="F940" s="315"/>
      <c r="G940" s="315"/>
      <c r="H940" s="315"/>
      <c r="I940" s="318"/>
      <c r="J940" s="54"/>
      <c r="L940" s="54"/>
      <c r="M940" s="313"/>
    </row>
    <row r="941" ht="14.25" customHeight="1">
      <c r="E941" s="322"/>
      <c r="F941" s="315"/>
      <c r="G941" s="315"/>
      <c r="H941" s="315"/>
      <c r="I941" s="318"/>
      <c r="J941" s="54"/>
      <c r="L941" s="54"/>
      <c r="M941" s="313"/>
    </row>
    <row r="942" ht="14.25" customHeight="1">
      <c r="E942" s="322"/>
      <c r="F942" s="315"/>
      <c r="G942" s="315"/>
      <c r="H942" s="315"/>
      <c r="I942" s="318"/>
      <c r="J942" s="54"/>
      <c r="L942" s="54"/>
      <c r="M942" s="313"/>
    </row>
    <row r="943" ht="14.25" customHeight="1">
      <c r="E943" s="322"/>
      <c r="F943" s="315"/>
      <c r="G943" s="315"/>
      <c r="H943" s="315"/>
      <c r="I943" s="318"/>
      <c r="J943" s="54"/>
      <c r="L943" s="54"/>
      <c r="M943" s="313"/>
    </row>
    <row r="944" ht="14.25" customHeight="1">
      <c r="E944" s="322"/>
      <c r="F944" s="315"/>
      <c r="G944" s="315"/>
      <c r="H944" s="315"/>
      <c r="I944" s="318"/>
      <c r="J944" s="54"/>
      <c r="L944" s="54"/>
      <c r="M944" s="313"/>
    </row>
    <row r="945" ht="14.25" customHeight="1">
      <c r="E945" s="322"/>
      <c r="F945" s="315"/>
      <c r="G945" s="315"/>
      <c r="H945" s="315"/>
      <c r="I945" s="318"/>
      <c r="J945" s="54"/>
      <c r="L945" s="54"/>
      <c r="M945" s="313"/>
    </row>
    <row r="946" ht="14.25" customHeight="1">
      <c r="E946" s="322"/>
      <c r="F946" s="315"/>
      <c r="G946" s="315"/>
      <c r="H946" s="315"/>
      <c r="I946" s="318"/>
      <c r="J946" s="54"/>
      <c r="L946" s="54"/>
      <c r="M946" s="313"/>
    </row>
    <row r="947" ht="14.25" customHeight="1">
      <c r="E947" s="322"/>
      <c r="F947" s="315"/>
      <c r="G947" s="315"/>
      <c r="H947" s="315"/>
      <c r="I947" s="318"/>
      <c r="J947" s="54"/>
      <c r="L947" s="54"/>
      <c r="M947" s="313"/>
    </row>
    <row r="948" ht="14.25" customHeight="1">
      <c r="E948" s="322"/>
      <c r="F948" s="315"/>
      <c r="G948" s="315"/>
      <c r="H948" s="315"/>
      <c r="I948" s="318"/>
      <c r="J948" s="54"/>
      <c r="L948" s="54"/>
      <c r="M948" s="313"/>
    </row>
    <row r="949" ht="14.25" customHeight="1">
      <c r="E949" s="322"/>
      <c r="F949" s="315"/>
      <c r="G949" s="315"/>
      <c r="H949" s="315"/>
      <c r="I949" s="318"/>
      <c r="J949" s="54"/>
      <c r="L949" s="54"/>
      <c r="M949" s="313"/>
    </row>
    <row r="950" ht="14.25" customHeight="1">
      <c r="E950" s="322"/>
      <c r="F950" s="315"/>
      <c r="G950" s="315"/>
      <c r="H950" s="315"/>
      <c r="I950" s="318"/>
      <c r="J950" s="54"/>
      <c r="L950" s="54"/>
      <c r="M950" s="313"/>
    </row>
    <row r="951" ht="14.25" customHeight="1">
      <c r="E951" s="322"/>
      <c r="F951" s="315"/>
      <c r="G951" s="315"/>
      <c r="H951" s="315"/>
      <c r="I951" s="318"/>
      <c r="J951" s="54"/>
      <c r="L951" s="54"/>
      <c r="M951" s="313"/>
    </row>
    <row r="952" ht="14.25" customHeight="1">
      <c r="E952" s="322"/>
      <c r="F952" s="315"/>
      <c r="G952" s="315"/>
      <c r="H952" s="315"/>
      <c r="I952" s="318"/>
      <c r="J952" s="54"/>
      <c r="L952" s="54"/>
      <c r="M952" s="313"/>
    </row>
    <row r="953" ht="14.25" customHeight="1">
      <c r="E953" s="322"/>
      <c r="F953" s="315"/>
      <c r="G953" s="315"/>
      <c r="H953" s="315"/>
      <c r="I953" s="318"/>
      <c r="J953" s="54"/>
      <c r="L953" s="54"/>
      <c r="M953" s="313"/>
    </row>
    <row r="954" ht="14.25" customHeight="1">
      <c r="E954" s="322"/>
      <c r="F954" s="315"/>
      <c r="G954" s="315"/>
      <c r="H954" s="315"/>
      <c r="I954" s="318"/>
      <c r="J954" s="54"/>
      <c r="L954" s="54"/>
      <c r="M954" s="313"/>
    </row>
    <row r="955" ht="14.25" customHeight="1">
      <c r="E955" s="322"/>
      <c r="F955" s="315"/>
      <c r="G955" s="315"/>
      <c r="H955" s="315"/>
      <c r="I955" s="318"/>
      <c r="J955" s="54"/>
      <c r="L955" s="54"/>
      <c r="M955" s="313"/>
    </row>
    <row r="956" ht="14.25" customHeight="1">
      <c r="E956" s="322"/>
      <c r="F956" s="315"/>
      <c r="G956" s="315"/>
      <c r="H956" s="315"/>
      <c r="I956" s="318"/>
      <c r="J956" s="54"/>
      <c r="L956" s="54"/>
      <c r="M956" s="313"/>
    </row>
    <row r="957" ht="14.25" customHeight="1">
      <c r="E957" s="322"/>
      <c r="F957" s="315"/>
      <c r="G957" s="315"/>
      <c r="H957" s="315"/>
      <c r="I957" s="318"/>
      <c r="J957" s="54"/>
      <c r="L957" s="54"/>
      <c r="M957" s="313"/>
    </row>
    <row r="958" ht="14.25" customHeight="1">
      <c r="E958" s="322"/>
      <c r="F958" s="315"/>
      <c r="G958" s="315"/>
      <c r="H958" s="315"/>
      <c r="I958" s="318"/>
      <c r="J958" s="54"/>
      <c r="L958" s="54"/>
      <c r="M958" s="313"/>
    </row>
    <row r="959" ht="14.25" customHeight="1">
      <c r="E959" s="322"/>
      <c r="F959" s="315"/>
      <c r="G959" s="315"/>
      <c r="H959" s="315"/>
      <c r="I959" s="318"/>
      <c r="J959" s="54"/>
      <c r="L959" s="54"/>
      <c r="M959" s="313"/>
    </row>
    <row r="960" ht="14.25" customHeight="1">
      <c r="E960" s="322"/>
      <c r="F960" s="315"/>
      <c r="G960" s="315"/>
      <c r="H960" s="315"/>
      <c r="I960" s="318"/>
      <c r="J960" s="54"/>
      <c r="L960" s="54"/>
      <c r="M960" s="313"/>
    </row>
    <row r="961" ht="14.25" customHeight="1">
      <c r="E961" s="322"/>
      <c r="F961" s="315"/>
      <c r="G961" s="315"/>
      <c r="H961" s="315"/>
      <c r="I961" s="318"/>
      <c r="J961" s="54"/>
      <c r="L961" s="54"/>
      <c r="M961" s="313"/>
    </row>
    <row r="962" ht="14.25" customHeight="1">
      <c r="E962" s="322"/>
      <c r="F962" s="315"/>
      <c r="G962" s="315"/>
      <c r="H962" s="315"/>
      <c r="I962" s="318"/>
      <c r="J962" s="54"/>
      <c r="L962" s="54"/>
      <c r="M962" s="313"/>
    </row>
    <row r="963" ht="14.25" customHeight="1">
      <c r="E963" s="322"/>
      <c r="F963" s="315"/>
      <c r="G963" s="315"/>
      <c r="H963" s="315"/>
      <c r="I963" s="318"/>
      <c r="J963" s="54"/>
      <c r="L963" s="54"/>
      <c r="M963" s="313"/>
    </row>
    <row r="964" ht="14.25" customHeight="1">
      <c r="E964" s="322"/>
      <c r="F964" s="315"/>
      <c r="G964" s="315"/>
      <c r="H964" s="315"/>
      <c r="I964" s="318"/>
      <c r="J964" s="54"/>
      <c r="L964" s="54"/>
      <c r="M964" s="313"/>
    </row>
    <row r="965" ht="14.25" customHeight="1">
      <c r="E965" s="322"/>
      <c r="F965" s="315"/>
      <c r="G965" s="315"/>
      <c r="H965" s="315"/>
      <c r="I965" s="318"/>
      <c r="J965" s="54"/>
      <c r="L965" s="54"/>
      <c r="M965" s="313"/>
    </row>
    <row r="966" ht="14.25" customHeight="1">
      <c r="E966" s="322"/>
      <c r="F966" s="315"/>
      <c r="G966" s="315"/>
      <c r="H966" s="315"/>
      <c r="I966" s="318"/>
      <c r="J966" s="54"/>
      <c r="L966" s="54"/>
      <c r="M966" s="313"/>
    </row>
    <row r="967" ht="14.25" customHeight="1">
      <c r="E967" s="322"/>
      <c r="F967" s="315"/>
      <c r="G967" s="315"/>
      <c r="H967" s="315"/>
      <c r="I967" s="318"/>
      <c r="J967" s="54"/>
      <c r="L967" s="54"/>
      <c r="M967" s="313"/>
    </row>
    <row r="968" ht="14.25" customHeight="1">
      <c r="E968" s="322"/>
      <c r="F968" s="315"/>
      <c r="G968" s="315"/>
      <c r="H968" s="315"/>
      <c r="I968" s="318"/>
      <c r="J968" s="54"/>
      <c r="L968" s="54"/>
      <c r="M968" s="313"/>
    </row>
    <row r="969" ht="14.25" customHeight="1">
      <c r="E969" s="322"/>
      <c r="F969" s="315"/>
      <c r="G969" s="315"/>
      <c r="H969" s="315"/>
      <c r="I969" s="318"/>
      <c r="J969" s="54"/>
      <c r="L969" s="54"/>
      <c r="M969" s="313"/>
    </row>
    <row r="970" ht="14.25" customHeight="1">
      <c r="E970" s="322"/>
      <c r="F970" s="315"/>
      <c r="G970" s="315"/>
      <c r="H970" s="315"/>
      <c r="I970" s="318"/>
      <c r="J970" s="54"/>
      <c r="L970" s="54"/>
      <c r="M970" s="313"/>
    </row>
    <row r="971" ht="14.25" customHeight="1">
      <c r="E971" s="322"/>
      <c r="F971" s="315"/>
      <c r="G971" s="315"/>
      <c r="H971" s="315"/>
      <c r="I971" s="318"/>
      <c r="J971" s="54"/>
      <c r="L971" s="54"/>
      <c r="M971" s="313"/>
    </row>
    <row r="972" ht="14.25" customHeight="1">
      <c r="E972" s="322"/>
      <c r="F972" s="315"/>
      <c r="G972" s="315"/>
      <c r="H972" s="315"/>
      <c r="I972" s="318"/>
      <c r="J972" s="54"/>
      <c r="L972" s="54"/>
      <c r="M972" s="313"/>
    </row>
    <row r="973" ht="14.25" customHeight="1">
      <c r="E973" s="322"/>
      <c r="F973" s="315"/>
      <c r="G973" s="315"/>
      <c r="H973" s="315"/>
      <c r="I973" s="318"/>
      <c r="J973" s="54"/>
      <c r="L973" s="54"/>
      <c r="M973" s="313"/>
    </row>
    <row r="974" ht="14.25" customHeight="1">
      <c r="E974" s="322"/>
      <c r="F974" s="315"/>
      <c r="G974" s="315"/>
      <c r="H974" s="315"/>
      <c r="I974" s="318"/>
      <c r="J974" s="54"/>
      <c r="L974" s="54"/>
      <c r="M974" s="313"/>
    </row>
    <row r="975" ht="14.25" customHeight="1">
      <c r="E975" s="322"/>
      <c r="F975" s="315"/>
      <c r="G975" s="315"/>
      <c r="H975" s="315"/>
      <c r="I975" s="318"/>
      <c r="J975" s="54"/>
      <c r="L975" s="54"/>
      <c r="M975" s="313"/>
    </row>
    <row r="976" ht="14.25" customHeight="1">
      <c r="E976" s="322"/>
      <c r="F976" s="315"/>
      <c r="G976" s="315"/>
      <c r="H976" s="315"/>
      <c r="I976" s="318"/>
      <c r="J976" s="54"/>
      <c r="L976" s="54"/>
      <c r="M976" s="313"/>
    </row>
    <row r="977" ht="14.25" customHeight="1">
      <c r="E977" s="322"/>
      <c r="F977" s="315"/>
      <c r="G977" s="315"/>
      <c r="H977" s="315"/>
      <c r="I977" s="318"/>
      <c r="J977" s="54"/>
      <c r="L977" s="54"/>
      <c r="M977" s="313"/>
    </row>
    <row r="978" ht="14.25" customHeight="1">
      <c r="E978" s="322"/>
      <c r="F978" s="315"/>
      <c r="G978" s="315"/>
      <c r="H978" s="315"/>
      <c r="I978" s="318"/>
      <c r="J978" s="54"/>
      <c r="L978" s="54"/>
      <c r="M978" s="313"/>
    </row>
    <row r="979" ht="14.25" customHeight="1">
      <c r="E979" s="322"/>
      <c r="F979" s="315"/>
      <c r="G979" s="315"/>
      <c r="H979" s="315"/>
      <c r="I979" s="318"/>
      <c r="J979" s="54"/>
      <c r="L979" s="54"/>
      <c r="M979" s="313"/>
    </row>
    <row r="980" ht="14.25" customHeight="1">
      <c r="E980" s="322"/>
      <c r="F980" s="315"/>
      <c r="G980" s="315"/>
      <c r="H980" s="315"/>
      <c r="I980" s="318"/>
      <c r="J980" s="54"/>
      <c r="L980" s="54"/>
      <c r="M980" s="313"/>
    </row>
    <row r="981" ht="14.25" customHeight="1">
      <c r="E981" s="322"/>
      <c r="F981" s="315"/>
      <c r="G981" s="315"/>
      <c r="H981" s="315"/>
      <c r="I981" s="318"/>
      <c r="J981" s="54"/>
      <c r="L981" s="54"/>
      <c r="M981" s="313"/>
    </row>
    <row r="982" ht="14.25" customHeight="1">
      <c r="E982" s="322"/>
      <c r="F982" s="315"/>
      <c r="G982" s="315"/>
      <c r="H982" s="315"/>
      <c r="I982" s="318"/>
      <c r="J982" s="54"/>
      <c r="L982" s="54"/>
      <c r="M982" s="313"/>
    </row>
    <row r="983" ht="14.25" customHeight="1">
      <c r="E983" s="322"/>
      <c r="F983" s="315"/>
      <c r="G983" s="315"/>
      <c r="H983" s="315"/>
      <c r="I983" s="318"/>
      <c r="J983" s="54"/>
      <c r="L983" s="54"/>
      <c r="M983" s="313"/>
    </row>
    <row r="984" ht="14.25" customHeight="1">
      <c r="E984" s="322"/>
      <c r="F984" s="315"/>
      <c r="G984" s="315"/>
      <c r="H984" s="315"/>
      <c r="I984" s="318"/>
      <c r="J984" s="54"/>
      <c r="L984" s="54"/>
      <c r="M984" s="313"/>
    </row>
    <row r="985" ht="14.25" customHeight="1">
      <c r="E985" s="322"/>
      <c r="F985" s="315"/>
      <c r="G985" s="315"/>
      <c r="H985" s="315"/>
      <c r="I985" s="318"/>
      <c r="J985" s="54"/>
      <c r="L985" s="54"/>
      <c r="M985" s="313"/>
    </row>
    <row r="986" ht="14.25" customHeight="1">
      <c r="E986" s="322"/>
      <c r="F986" s="315"/>
      <c r="G986" s="315"/>
      <c r="H986" s="315"/>
      <c r="I986" s="318"/>
      <c r="J986" s="54"/>
      <c r="L986" s="54"/>
      <c r="M986" s="313"/>
    </row>
    <row r="987" ht="14.25" customHeight="1">
      <c r="E987" s="322"/>
      <c r="F987" s="315"/>
      <c r="G987" s="315"/>
      <c r="H987" s="315"/>
      <c r="I987" s="318"/>
      <c r="J987" s="54"/>
      <c r="L987" s="54"/>
      <c r="M987" s="313"/>
    </row>
    <row r="988" ht="14.25" customHeight="1">
      <c r="E988" s="322"/>
      <c r="F988" s="315"/>
      <c r="G988" s="315"/>
      <c r="H988" s="315"/>
      <c r="I988" s="318"/>
      <c r="J988" s="54"/>
      <c r="L988" s="54"/>
      <c r="M988" s="313"/>
    </row>
    <row r="989" ht="14.25" customHeight="1">
      <c r="E989" s="322"/>
      <c r="F989" s="315"/>
      <c r="G989" s="315"/>
      <c r="H989" s="315"/>
      <c r="I989" s="318"/>
      <c r="J989" s="54"/>
      <c r="L989" s="54"/>
      <c r="M989" s="313"/>
    </row>
    <row r="990" ht="14.25" customHeight="1">
      <c r="E990" s="322"/>
      <c r="F990" s="315"/>
      <c r="G990" s="315"/>
      <c r="H990" s="315"/>
      <c r="I990" s="318"/>
      <c r="J990" s="54"/>
      <c r="L990" s="54"/>
      <c r="M990" s="313"/>
    </row>
    <row r="991" ht="14.25" customHeight="1">
      <c r="E991" s="322"/>
      <c r="F991" s="315"/>
      <c r="G991" s="315"/>
      <c r="H991" s="315"/>
      <c r="I991" s="318"/>
      <c r="J991" s="54"/>
      <c r="L991" s="54"/>
      <c r="M991" s="313"/>
    </row>
    <row r="992" ht="14.25" customHeight="1">
      <c r="E992" s="322"/>
      <c r="F992" s="315"/>
      <c r="G992" s="315"/>
      <c r="H992" s="315"/>
      <c r="I992" s="318"/>
      <c r="J992" s="54"/>
      <c r="L992" s="54"/>
      <c r="M992" s="313"/>
    </row>
    <row r="993" ht="14.25" customHeight="1">
      <c r="E993" s="322"/>
      <c r="F993" s="315"/>
      <c r="G993" s="315"/>
      <c r="H993" s="315"/>
      <c r="I993" s="318"/>
      <c r="J993" s="54"/>
      <c r="L993" s="54"/>
      <c r="M993" s="313"/>
    </row>
    <row r="994" ht="14.25" customHeight="1">
      <c r="E994" s="322"/>
      <c r="F994" s="315"/>
      <c r="G994" s="315"/>
      <c r="H994" s="315"/>
      <c r="I994" s="318"/>
      <c r="J994" s="54"/>
      <c r="L994" s="54"/>
      <c r="M994" s="313"/>
    </row>
    <row r="995" ht="14.25" customHeight="1">
      <c r="E995" s="322"/>
      <c r="F995" s="315"/>
      <c r="G995" s="315"/>
      <c r="H995" s="315"/>
      <c r="I995" s="318"/>
      <c r="J995" s="54"/>
      <c r="L995" s="54"/>
      <c r="M995" s="313"/>
    </row>
    <row r="996" ht="14.25" customHeight="1">
      <c r="E996" s="322"/>
      <c r="F996" s="315"/>
      <c r="G996" s="315"/>
      <c r="H996" s="315"/>
      <c r="I996" s="318"/>
      <c r="J996" s="54"/>
      <c r="L996" s="54"/>
      <c r="M996" s="313"/>
    </row>
    <row r="997" ht="14.25" customHeight="1">
      <c r="E997" s="322"/>
      <c r="F997" s="315"/>
      <c r="G997" s="315"/>
      <c r="H997" s="315"/>
      <c r="I997" s="318"/>
      <c r="J997" s="54"/>
      <c r="L997" s="54"/>
      <c r="M997" s="313"/>
    </row>
    <row r="998" ht="14.25" customHeight="1">
      <c r="E998" s="322"/>
      <c r="F998" s="315"/>
      <c r="G998" s="315"/>
      <c r="H998" s="315"/>
      <c r="I998" s="318"/>
      <c r="J998" s="54"/>
      <c r="L998" s="54"/>
      <c r="M998" s="313"/>
    </row>
    <row r="999" ht="14.25" customHeight="1">
      <c r="E999" s="322"/>
      <c r="F999" s="315"/>
      <c r="G999" s="315"/>
      <c r="H999" s="315"/>
      <c r="I999" s="318"/>
      <c r="J999" s="54"/>
      <c r="L999" s="54"/>
      <c r="M999" s="313"/>
    </row>
    <row r="1000" ht="14.25" customHeight="1">
      <c r="E1000" s="322"/>
      <c r="F1000" s="315"/>
      <c r="G1000" s="315"/>
      <c r="H1000" s="315"/>
      <c r="I1000" s="318"/>
      <c r="J1000" s="54"/>
      <c r="L1000" s="54"/>
      <c r="M1000" s="313"/>
    </row>
  </sheetData>
  <mergeCells count="29">
    <mergeCell ref="H2:H3"/>
    <mergeCell ref="I2:I3"/>
    <mergeCell ref="J2:J3"/>
    <mergeCell ref="K2:K3"/>
    <mergeCell ref="L2:M2"/>
    <mergeCell ref="N2:N3"/>
    <mergeCell ref="O2:O3"/>
    <mergeCell ref="A2:A3"/>
    <mergeCell ref="B2:B3"/>
    <mergeCell ref="C2:C3"/>
    <mergeCell ref="D2:D3"/>
    <mergeCell ref="E2:E3"/>
    <mergeCell ref="F2:F3"/>
    <mergeCell ref="G2:G3"/>
    <mergeCell ref="B41:F41"/>
    <mergeCell ref="G48:I49"/>
    <mergeCell ref="J48:J49"/>
    <mergeCell ref="K48:K49"/>
    <mergeCell ref="L48:L49"/>
    <mergeCell ref="M48:M49"/>
    <mergeCell ref="N48:N49"/>
    <mergeCell ref="O48:O49"/>
    <mergeCell ref="B4:F4"/>
    <mergeCell ref="B7:F7"/>
    <mergeCell ref="B13:F13"/>
    <mergeCell ref="B15:F15"/>
    <mergeCell ref="B19:F19"/>
    <mergeCell ref="B21:F21"/>
    <mergeCell ref="B28:F28"/>
  </mergeCells>
  <printOptions/>
  <pageMargins bottom="0.75" footer="0.0" header="0.0" left="0.31" right="0.12" top="0.43"/>
  <pageSetup paperSize="14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10.86"/>
    <col customWidth="1" min="3" max="3" width="13.29"/>
    <col customWidth="1" min="4" max="4" width="11.14"/>
    <col customWidth="1" min="5" max="5" width="6.57"/>
    <col customWidth="1" min="6" max="6" width="22.29"/>
    <col customWidth="1" min="7" max="8" width="10.0"/>
    <col customWidth="1" min="9" max="9" width="8.14"/>
    <col customWidth="1" min="10" max="10" width="12.0"/>
    <col customWidth="1" min="11" max="11" width="11.71"/>
    <col customWidth="1" min="12" max="12" width="12.86"/>
    <col customWidth="1" min="13" max="13" width="11.14"/>
    <col customWidth="1" min="14" max="14" width="13.71"/>
    <col customWidth="1" min="15" max="15" width="10.86"/>
    <col customWidth="1" min="16" max="26" width="8.86"/>
  </cols>
  <sheetData>
    <row r="1" ht="50.25" customHeight="1">
      <c r="A1" s="289"/>
      <c r="B1" s="289"/>
      <c r="C1" s="290" t="s">
        <v>6111</v>
      </c>
      <c r="D1" s="289"/>
      <c r="E1" s="291"/>
      <c r="F1" s="292"/>
      <c r="G1" s="292"/>
      <c r="H1" s="292"/>
      <c r="I1" s="291"/>
      <c r="J1" s="289"/>
      <c r="K1" s="289"/>
      <c r="L1" s="293"/>
      <c r="M1" s="294"/>
      <c r="N1" s="289"/>
      <c r="O1" s="289"/>
      <c r="P1" s="295"/>
      <c r="Q1" s="295"/>
      <c r="R1" s="295"/>
      <c r="S1" s="295"/>
      <c r="T1" s="295"/>
      <c r="U1" s="295"/>
      <c r="V1" s="295"/>
      <c r="W1" s="295"/>
      <c r="X1" s="295"/>
      <c r="Y1" s="295"/>
      <c r="Z1" s="295"/>
    </row>
    <row r="2" ht="24.0" customHeight="1">
      <c r="A2" s="296" t="s">
        <v>1</v>
      </c>
      <c r="B2" s="296" t="s">
        <v>2</v>
      </c>
      <c r="C2" s="296" t="s">
        <v>3</v>
      </c>
      <c r="D2" s="296" t="s">
        <v>4</v>
      </c>
      <c r="E2" s="297" t="s">
        <v>5</v>
      </c>
      <c r="F2" s="298" t="s">
        <v>8</v>
      </c>
      <c r="G2" s="298" t="s">
        <v>11</v>
      </c>
      <c r="H2" s="298" t="s">
        <v>14</v>
      </c>
      <c r="I2" s="298" t="s">
        <v>30</v>
      </c>
      <c r="J2" s="323" t="s">
        <v>28</v>
      </c>
      <c r="K2" s="323" t="s">
        <v>6112</v>
      </c>
      <c r="L2" s="299" t="s">
        <v>6134</v>
      </c>
      <c r="M2" s="9"/>
      <c r="N2" s="300" t="s">
        <v>6114</v>
      </c>
      <c r="O2" s="300" t="s">
        <v>6112</v>
      </c>
      <c r="P2" s="301"/>
      <c r="Q2" s="301"/>
      <c r="R2" s="301"/>
      <c r="S2" s="301"/>
      <c r="T2" s="301"/>
      <c r="U2" s="301"/>
      <c r="V2" s="301"/>
      <c r="W2" s="301"/>
      <c r="X2" s="301"/>
      <c r="Y2" s="301"/>
      <c r="Z2" s="301"/>
    </row>
    <row r="3" ht="14.25" customHeight="1">
      <c r="A3" s="183"/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302" t="s">
        <v>59</v>
      </c>
      <c r="M3" s="303" t="s">
        <v>178</v>
      </c>
      <c r="N3" s="183"/>
      <c r="O3" s="183"/>
    </row>
    <row r="4" ht="14.25" customHeight="1">
      <c r="A4" s="304"/>
      <c r="B4" s="305" t="s">
        <v>6135</v>
      </c>
      <c r="C4" s="178"/>
      <c r="D4" s="178"/>
      <c r="E4" s="178"/>
      <c r="F4" s="9"/>
      <c r="G4" s="306"/>
      <c r="H4" s="306"/>
      <c r="I4" s="307"/>
      <c r="J4" s="304"/>
      <c r="K4" s="304"/>
      <c r="L4" s="302"/>
      <c r="M4" s="303"/>
      <c r="N4" s="304"/>
      <c r="O4" s="304"/>
    </row>
    <row r="5" ht="14.25" customHeight="1">
      <c r="A5" s="308">
        <v>1.0</v>
      </c>
      <c r="B5" s="164" t="s">
        <v>92</v>
      </c>
      <c r="C5" s="164" t="s">
        <v>434</v>
      </c>
      <c r="D5" s="164" t="s">
        <v>435</v>
      </c>
      <c r="E5" s="309" t="s">
        <v>102</v>
      </c>
      <c r="F5" s="310" t="s">
        <v>436</v>
      </c>
      <c r="G5" s="310" t="s">
        <v>57</v>
      </c>
      <c r="H5" s="311">
        <v>38322.0</v>
      </c>
      <c r="I5" s="310" t="s">
        <v>59</v>
      </c>
      <c r="J5" s="139">
        <v>31785.0</v>
      </c>
      <c r="K5" s="139">
        <f t="shared" ref="K5:K6" si="1">J5*12/365</f>
        <v>1044.986301</v>
      </c>
      <c r="L5" s="312">
        <f>50*365/12+0.01</f>
        <v>1520.843333</v>
      </c>
      <c r="M5" s="312"/>
      <c r="N5" s="312">
        <f t="shared" ref="N5:N6" si="2">SUM(J5+L5+M5)</f>
        <v>33305.84333</v>
      </c>
      <c r="O5" s="312">
        <f t="shared" ref="O5:O6" si="3">N5*12/365</f>
        <v>1094.98663</v>
      </c>
    </row>
    <row r="6" ht="14.25" customHeight="1">
      <c r="A6" s="308">
        <f>+A5+1</f>
        <v>2</v>
      </c>
      <c r="B6" s="164" t="s">
        <v>461</v>
      </c>
      <c r="C6" s="164" t="s">
        <v>462</v>
      </c>
      <c r="D6" s="164" t="s">
        <v>463</v>
      </c>
      <c r="E6" s="309" t="s">
        <v>308</v>
      </c>
      <c r="F6" s="310" t="s">
        <v>6116</v>
      </c>
      <c r="G6" s="310" t="s">
        <v>57</v>
      </c>
      <c r="H6" s="311">
        <v>45474.0</v>
      </c>
      <c r="I6" s="310" t="s">
        <v>59</v>
      </c>
      <c r="J6" s="139">
        <v>40000.0</v>
      </c>
      <c r="K6" s="139">
        <f t="shared" si="1"/>
        <v>1315.068493</v>
      </c>
      <c r="L6" s="312"/>
      <c r="M6" s="312"/>
      <c r="N6" s="312">
        <f t="shared" si="2"/>
        <v>40000</v>
      </c>
      <c r="O6" s="312">
        <f t="shared" si="3"/>
        <v>1315.068493</v>
      </c>
    </row>
    <row r="7" ht="14.25" customHeight="1">
      <c r="A7" s="308"/>
      <c r="B7" s="305" t="s">
        <v>6136</v>
      </c>
      <c r="C7" s="178"/>
      <c r="D7" s="178"/>
      <c r="E7" s="178"/>
      <c r="F7" s="9"/>
      <c r="G7" s="310"/>
      <c r="H7" s="311"/>
      <c r="I7" s="310"/>
      <c r="J7" s="139"/>
      <c r="K7" s="139"/>
      <c r="L7" s="312"/>
      <c r="M7" s="312"/>
      <c r="N7" s="312"/>
      <c r="O7" s="312"/>
    </row>
    <row r="8" ht="14.25" customHeight="1">
      <c r="A8" s="308">
        <f>+A6+1</f>
        <v>3</v>
      </c>
      <c r="B8" s="164" t="s">
        <v>3711</v>
      </c>
      <c r="C8" s="164" t="s">
        <v>6137</v>
      </c>
      <c r="D8" s="164" t="s">
        <v>6138</v>
      </c>
      <c r="E8" s="309" t="s">
        <v>102</v>
      </c>
      <c r="F8" s="310" t="s">
        <v>1034</v>
      </c>
      <c r="G8" s="310" t="s">
        <v>57</v>
      </c>
      <c r="H8" s="311">
        <v>45635.0</v>
      </c>
      <c r="I8" s="310" t="s">
        <v>59</v>
      </c>
      <c r="J8" s="139">
        <v>25000.0</v>
      </c>
      <c r="K8" s="139">
        <f>J8*12/365</f>
        <v>821.9178082</v>
      </c>
      <c r="L8" s="312">
        <f>50*365/12+0.01</f>
        <v>1520.843333</v>
      </c>
      <c r="M8" s="312"/>
      <c r="N8" s="312">
        <f>SUM(J8+L8+M8)</f>
        <v>26520.84333</v>
      </c>
      <c r="O8" s="312">
        <f>N8*12/365</f>
        <v>871.918137</v>
      </c>
    </row>
    <row r="9" ht="14.25" customHeight="1">
      <c r="A9" s="308"/>
      <c r="B9" s="305" t="s">
        <v>6139</v>
      </c>
      <c r="C9" s="178"/>
      <c r="D9" s="178"/>
      <c r="E9" s="178"/>
      <c r="F9" s="9"/>
      <c r="G9" s="310"/>
      <c r="H9" s="311"/>
      <c r="I9" s="310"/>
      <c r="J9" s="139"/>
      <c r="K9" s="139"/>
      <c r="L9" s="312"/>
      <c r="M9" s="312"/>
      <c r="N9" s="312"/>
      <c r="O9" s="312"/>
    </row>
    <row r="10" ht="14.25" customHeight="1">
      <c r="A10" s="308">
        <f>+A8+1</f>
        <v>4</v>
      </c>
      <c r="B10" s="164" t="s">
        <v>447</v>
      </c>
      <c r="C10" s="164" t="s">
        <v>448</v>
      </c>
      <c r="D10" s="164" t="s">
        <v>449</v>
      </c>
      <c r="E10" s="309" t="s">
        <v>450</v>
      </c>
      <c r="F10" s="310" t="s">
        <v>95</v>
      </c>
      <c r="G10" s="310" t="s">
        <v>57</v>
      </c>
      <c r="H10" s="311">
        <v>39356.0</v>
      </c>
      <c r="I10" s="310" t="s">
        <v>59</v>
      </c>
      <c r="J10" s="139">
        <v>21985.0033333333</v>
      </c>
      <c r="K10" s="139">
        <f t="shared" ref="K10:K13" si="4">J10*12/365</f>
        <v>722.7946301</v>
      </c>
      <c r="L10" s="312">
        <f t="shared" ref="L10:L13" si="5">50*365/12+0.01</f>
        <v>1520.843333</v>
      </c>
      <c r="M10" s="312"/>
      <c r="N10" s="312">
        <f t="shared" ref="N10:N13" si="6">SUM(J10+L10+M10)</f>
        <v>23505.84667</v>
      </c>
      <c r="O10" s="312">
        <f t="shared" ref="O10:O13" si="7">N10*12/365</f>
        <v>772.7949589</v>
      </c>
    </row>
    <row r="11" ht="14.25" customHeight="1">
      <c r="A11" s="308">
        <f t="shared" ref="A11:A13" si="8">+A10+1</f>
        <v>5</v>
      </c>
      <c r="B11" s="164" t="s">
        <v>475</v>
      </c>
      <c r="C11" s="86" t="s">
        <v>476</v>
      </c>
      <c r="D11" s="86" t="s">
        <v>477</v>
      </c>
      <c r="E11" s="309" t="s">
        <v>81</v>
      </c>
      <c r="F11" s="310" t="s">
        <v>478</v>
      </c>
      <c r="G11" s="310" t="s">
        <v>57</v>
      </c>
      <c r="H11" s="311">
        <v>40463.0</v>
      </c>
      <c r="I11" s="310" t="s">
        <v>59</v>
      </c>
      <c r="J11" s="139">
        <v>22101.0033333333</v>
      </c>
      <c r="K11" s="139">
        <f t="shared" si="4"/>
        <v>726.6083288</v>
      </c>
      <c r="L11" s="312">
        <f t="shared" si="5"/>
        <v>1520.843333</v>
      </c>
      <c r="M11" s="312"/>
      <c r="N11" s="312">
        <f t="shared" si="6"/>
        <v>23621.84667</v>
      </c>
      <c r="O11" s="312">
        <f t="shared" si="7"/>
        <v>776.6086575</v>
      </c>
    </row>
    <row r="12" ht="14.25" customHeight="1">
      <c r="A12" s="308">
        <f t="shared" si="8"/>
        <v>6</v>
      </c>
      <c r="B12" s="164" t="s">
        <v>489</v>
      </c>
      <c r="C12" s="164" t="s">
        <v>490</v>
      </c>
      <c r="D12" s="164" t="s">
        <v>491</v>
      </c>
      <c r="E12" s="309" t="s">
        <v>81</v>
      </c>
      <c r="F12" s="310" t="s">
        <v>492</v>
      </c>
      <c r="G12" s="310" t="s">
        <v>57</v>
      </c>
      <c r="H12" s="311">
        <v>41589.0</v>
      </c>
      <c r="I12" s="310" t="s">
        <v>59</v>
      </c>
      <c r="J12" s="139">
        <v>21785.0033333333</v>
      </c>
      <c r="K12" s="139">
        <f t="shared" si="4"/>
        <v>716.2192877</v>
      </c>
      <c r="L12" s="312">
        <f t="shared" si="5"/>
        <v>1520.843333</v>
      </c>
      <c r="M12" s="312"/>
      <c r="N12" s="312">
        <f t="shared" si="6"/>
        <v>23305.84667</v>
      </c>
      <c r="O12" s="312">
        <f t="shared" si="7"/>
        <v>766.2196164</v>
      </c>
    </row>
    <row r="13" ht="14.25" customHeight="1">
      <c r="A13" s="308">
        <f t="shared" si="8"/>
        <v>7</v>
      </c>
      <c r="B13" s="86" t="s">
        <v>740</v>
      </c>
      <c r="C13" s="86" t="s">
        <v>741</v>
      </c>
      <c r="D13" s="86" t="s">
        <v>742</v>
      </c>
      <c r="E13" s="309" t="s">
        <v>379</v>
      </c>
      <c r="F13" s="310" t="s">
        <v>743</v>
      </c>
      <c r="G13" s="310" t="s">
        <v>57</v>
      </c>
      <c r="H13" s="311">
        <v>44896.0</v>
      </c>
      <c r="I13" s="310" t="s">
        <v>59</v>
      </c>
      <c r="J13" s="139">
        <v>21781.2533333333</v>
      </c>
      <c r="K13" s="139">
        <f t="shared" si="4"/>
        <v>716.096</v>
      </c>
      <c r="L13" s="312">
        <f t="shared" si="5"/>
        <v>1520.843333</v>
      </c>
      <c r="M13" s="312"/>
      <c r="N13" s="312">
        <f t="shared" si="6"/>
        <v>23302.09667</v>
      </c>
      <c r="O13" s="312">
        <f t="shared" si="7"/>
        <v>766.0963288</v>
      </c>
    </row>
    <row r="14" ht="25.5" customHeight="1">
      <c r="A14" s="308"/>
      <c r="B14" s="305" t="s">
        <v>6140</v>
      </c>
      <c r="C14" s="178"/>
      <c r="D14" s="178"/>
      <c r="E14" s="178"/>
      <c r="F14" s="9"/>
      <c r="G14" s="310"/>
      <c r="H14" s="311"/>
      <c r="I14" s="310"/>
      <c r="J14" s="139"/>
      <c r="K14" s="139"/>
      <c r="L14" s="312"/>
      <c r="M14" s="312"/>
      <c r="N14" s="312"/>
      <c r="O14" s="312"/>
    </row>
    <row r="15" ht="14.25" customHeight="1">
      <c r="A15" s="308">
        <f>+A13+1</f>
        <v>8</v>
      </c>
      <c r="B15" s="164" t="s">
        <v>504</v>
      </c>
      <c r="C15" s="164" t="s">
        <v>505</v>
      </c>
      <c r="D15" s="164" t="s">
        <v>506</v>
      </c>
      <c r="E15" s="309" t="s">
        <v>54</v>
      </c>
      <c r="F15" s="310" t="s">
        <v>6141</v>
      </c>
      <c r="G15" s="310" t="s">
        <v>57</v>
      </c>
      <c r="H15" s="311">
        <v>42302.0</v>
      </c>
      <c r="I15" s="310" t="s">
        <v>59</v>
      </c>
      <c r="J15" s="139">
        <v>21345.0</v>
      </c>
      <c r="K15" s="139">
        <f t="shared" ref="K15:K19" si="9">J15*12/365</f>
        <v>701.7534247</v>
      </c>
      <c r="L15" s="312">
        <f t="shared" ref="L15:L19" si="10">50*365/12+0.01</f>
        <v>1520.843333</v>
      </c>
      <c r="M15" s="312"/>
      <c r="N15" s="312">
        <f t="shared" ref="N15:N19" si="11">SUM(J15+L15+M15)</f>
        <v>22865.84333</v>
      </c>
      <c r="O15" s="312">
        <f t="shared" ref="O15:O19" si="12">N15*12/365</f>
        <v>751.7537534</v>
      </c>
    </row>
    <row r="16" ht="14.25" customHeight="1">
      <c r="A16" s="308">
        <f t="shared" ref="A16:A19" si="13">+A15+1</f>
        <v>9</v>
      </c>
      <c r="B16" s="164" t="s">
        <v>532</v>
      </c>
      <c r="C16" s="164" t="s">
        <v>533</v>
      </c>
      <c r="D16" s="164" t="s">
        <v>534</v>
      </c>
      <c r="E16" s="309" t="s">
        <v>535</v>
      </c>
      <c r="F16" s="309" t="s">
        <v>536</v>
      </c>
      <c r="G16" s="310" t="s">
        <v>57</v>
      </c>
      <c r="H16" s="311">
        <v>43505.0</v>
      </c>
      <c r="I16" s="310" t="s">
        <v>59</v>
      </c>
      <c r="J16" s="139">
        <v>21135.0</v>
      </c>
      <c r="K16" s="139">
        <f t="shared" si="9"/>
        <v>694.8493151</v>
      </c>
      <c r="L16" s="312">
        <f t="shared" si="10"/>
        <v>1520.843333</v>
      </c>
      <c r="M16" s="312"/>
      <c r="N16" s="312">
        <f t="shared" si="11"/>
        <v>22655.84333</v>
      </c>
      <c r="O16" s="312">
        <f t="shared" si="12"/>
        <v>744.8496438</v>
      </c>
    </row>
    <row r="17" ht="14.25" customHeight="1">
      <c r="A17" s="308">
        <f t="shared" si="13"/>
        <v>10</v>
      </c>
      <c r="B17" s="164" t="s">
        <v>6120</v>
      </c>
      <c r="C17" s="164" t="s">
        <v>6121</v>
      </c>
      <c r="D17" s="164" t="s">
        <v>6122</v>
      </c>
      <c r="E17" s="309" t="s">
        <v>54</v>
      </c>
      <c r="F17" s="310" t="s">
        <v>550</v>
      </c>
      <c r="G17" s="310" t="s">
        <v>57</v>
      </c>
      <c r="H17" s="311">
        <v>45482.0</v>
      </c>
      <c r="I17" s="310" t="s">
        <v>59</v>
      </c>
      <c r="J17" s="139">
        <v>20600.0</v>
      </c>
      <c r="K17" s="139">
        <f t="shared" si="9"/>
        <v>677.260274</v>
      </c>
      <c r="L17" s="312">
        <f t="shared" si="10"/>
        <v>1520.843333</v>
      </c>
      <c r="M17" s="312"/>
      <c r="N17" s="312">
        <f t="shared" si="11"/>
        <v>22120.84333</v>
      </c>
      <c r="O17" s="312">
        <f t="shared" si="12"/>
        <v>727.2606027</v>
      </c>
    </row>
    <row r="18" ht="14.25" customHeight="1">
      <c r="A18" s="308">
        <f t="shared" si="13"/>
        <v>11</v>
      </c>
      <c r="B18" s="164" t="s">
        <v>6142</v>
      </c>
      <c r="C18" s="164" t="s">
        <v>6143</v>
      </c>
      <c r="D18" s="164"/>
      <c r="E18" s="309"/>
      <c r="F18" s="310" t="s">
        <v>550</v>
      </c>
      <c r="G18" s="310" t="s">
        <v>6144</v>
      </c>
      <c r="H18" s="311" t="s">
        <v>282</v>
      </c>
      <c r="I18" s="310" t="s">
        <v>59</v>
      </c>
      <c r="J18" s="139">
        <v>19618.75</v>
      </c>
      <c r="K18" s="139">
        <f t="shared" si="9"/>
        <v>645</v>
      </c>
      <c r="L18" s="312">
        <f t="shared" si="10"/>
        <v>1520.843333</v>
      </c>
      <c r="M18" s="312"/>
      <c r="N18" s="312">
        <f t="shared" si="11"/>
        <v>21139.59333</v>
      </c>
      <c r="O18" s="312">
        <f t="shared" si="12"/>
        <v>695.0003288</v>
      </c>
    </row>
    <row r="19" ht="14.25" customHeight="1">
      <c r="A19" s="308">
        <f t="shared" si="13"/>
        <v>12</v>
      </c>
      <c r="B19" s="164" t="s">
        <v>588</v>
      </c>
      <c r="C19" s="164" t="s">
        <v>589</v>
      </c>
      <c r="D19" s="164" t="s">
        <v>590</v>
      </c>
      <c r="E19" s="309" t="s">
        <v>54</v>
      </c>
      <c r="F19" s="310" t="s">
        <v>591</v>
      </c>
      <c r="G19" s="310" t="s">
        <v>57</v>
      </c>
      <c r="H19" s="311">
        <v>44697.0</v>
      </c>
      <c r="I19" s="310" t="s">
        <v>59</v>
      </c>
      <c r="J19" s="139">
        <v>20485.0</v>
      </c>
      <c r="K19" s="139">
        <f t="shared" si="9"/>
        <v>673.4794521</v>
      </c>
      <c r="L19" s="312">
        <f t="shared" si="10"/>
        <v>1520.843333</v>
      </c>
      <c r="M19" s="312"/>
      <c r="N19" s="312">
        <f t="shared" si="11"/>
        <v>22005.84333</v>
      </c>
      <c r="O19" s="312">
        <f t="shared" si="12"/>
        <v>723.4797808</v>
      </c>
      <c r="P19" s="313"/>
    </row>
    <row r="20" ht="14.25" customHeight="1">
      <c r="A20" s="308"/>
      <c r="B20" s="305" t="s">
        <v>6145</v>
      </c>
      <c r="C20" s="178"/>
      <c r="D20" s="178"/>
      <c r="E20" s="178"/>
      <c r="F20" s="9"/>
      <c r="G20" s="310"/>
      <c r="H20" s="311"/>
      <c r="I20" s="310"/>
      <c r="J20" s="139"/>
      <c r="K20" s="139"/>
      <c r="L20" s="312"/>
      <c r="M20" s="312"/>
      <c r="N20" s="312"/>
      <c r="O20" s="312"/>
      <c r="P20" s="313"/>
    </row>
    <row r="21" ht="14.25" customHeight="1">
      <c r="A21" s="308"/>
      <c r="B21" s="86" t="s">
        <v>319</v>
      </c>
      <c r="C21" s="86" t="s">
        <v>320</v>
      </c>
      <c r="D21" s="86" t="s">
        <v>321</v>
      </c>
      <c r="E21" s="309" t="s">
        <v>132</v>
      </c>
      <c r="F21" s="310" t="s">
        <v>82</v>
      </c>
      <c r="G21" s="310" t="s">
        <v>57</v>
      </c>
      <c r="H21" s="311">
        <v>45252.0</v>
      </c>
      <c r="I21" s="310" t="s">
        <v>59</v>
      </c>
      <c r="J21" s="139">
        <v>19627.75</v>
      </c>
      <c r="K21" s="139">
        <f>J21*12/365</f>
        <v>645.2958904</v>
      </c>
      <c r="L21" s="312">
        <f>50*365/12+0.01</f>
        <v>1520.843333</v>
      </c>
      <c r="M21" s="312"/>
      <c r="N21" s="312">
        <f>SUM(J21+L21+M21)</f>
        <v>21148.59333</v>
      </c>
      <c r="O21" s="312">
        <f>N21*12/365</f>
        <v>695.2962192</v>
      </c>
      <c r="P21" s="313"/>
    </row>
    <row r="22" ht="28.5" customHeight="1">
      <c r="A22" s="308"/>
      <c r="B22" s="305" t="s">
        <v>6146</v>
      </c>
      <c r="C22" s="178"/>
      <c r="D22" s="178"/>
      <c r="E22" s="178"/>
      <c r="F22" s="9"/>
      <c r="G22" s="310"/>
      <c r="H22" s="311"/>
      <c r="I22" s="310"/>
      <c r="J22" s="139"/>
      <c r="K22" s="139"/>
      <c r="L22" s="312"/>
      <c r="M22" s="312"/>
      <c r="N22" s="312"/>
      <c r="O22" s="312"/>
    </row>
    <row r="23" ht="14.25" customHeight="1">
      <c r="A23" s="308">
        <f>+A19+1</f>
        <v>13</v>
      </c>
      <c r="B23" s="164" t="s">
        <v>600</v>
      </c>
      <c r="C23" s="164" t="s">
        <v>601</v>
      </c>
      <c r="D23" s="164" t="s">
        <v>602</v>
      </c>
      <c r="E23" s="309" t="s">
        <v>93</v>
      </c>
      <c r="F23" s="310" t="s">
        <v>160</v>
      </c>
      <c r="G23" s="310" t="s">
        <v>57</v>
      </c>
      <c r="H23" s="311">
        <v>44697.0</v>
      </c>
      <c r="I23" s="310" t="s">
        <v>59</v>
      </c>
      <c r="J23" s="139">
        <v>21485.0</v>
      </c>
      <c r="K23" s="139">
        <f t="shared" ref="K23:K37" si="14">J23*12/365</f>
        <v>706.3561644</v>
      </c>
      <c r="L23" s="312">
        <f t="shared" ref="L23:L37" si="15">50*365/12+0.01</f>
        <v>1520.843333</v>
      </c>
      <c r="M23" s="312"/>
      <c r="N23" s="312">
        <f t="shared" ref="N23:N37" si="16">SUM(J23+L23+M23)</f>
        <v>23005.84333</v>
      </c>
      <c r="O23" s="312">
        <f t="shared" ref="O23:O37" si="17">N23*12/365</f>
        <v>756.3564932</v>
      </c>
    </row>
    <row r="24" ht="14.25" customHeight="1">
      <c r="A24" s="308">
        <f t="shared" ref="A24:A37" si="18">+A23+1</f>
        <v>14</v>
      </c>
      <c r="B24" s="164" t="s">
        <v>574</v>
      </c>
      <c r="C24" s="164" t="s">
        <v>575</v>
      </c>
      <c r="D24" s="164" t="s">
        <v>576</v>
      </c>
      <c r="E24" s="309" t="s">
        <v>379</v>
      </c>
      <c r="F24" s="310" t="s">
        <v>577</v>
      </c>
      <c r="G24" s="310" t="s">
        <v>57</v>
      </c>
      <c r="H24" s="311">
        <v>44697.0</v>
      </c>
      <c r="I24" s="310" t="s">
        <v>59</v>
      </c>
      <c r="J24" s="139">
        <v>20435.0</v>
      </c>
      <c r="K24" s="139">
        <f t="shared" si="14"/>
        <v>671.8356164</v>
      </c>
      <c r="L24" s="312">
        <f t="shared" si="15"/>
        <v>1520.843333</v>
      </c>
      <c r="M24" s="312"/>
      <c r="N24" s="312">
        <f t="shared" si="16"/>
        <v>21955.84333</v>
      </c>
      <c r="O24" s="312">
        <f t="shared" si="17"/>
        <v>721.8359452</v>
      </c>
    </row>
    <row r="25" ht="14.25" customHeight="1">
      <c r="A25" s="308">
        <f t="shared" si="18"/>
        <v>15</v>
      </c>
      <c r="B25" s="86" t="s">
        <v>730</v>
      </c>
      <c r="C25" s="86" t="s">
        <v>731</v>
      </c>
      <c r="D25" s="86" t="s">
        <v>732</v>
      </c>
      <c r="E25" s="310" t="s">
        <v>217</v>
      </c>
      <c r="F25" s="310" t="s">
        <v>577</v>
      </c>
      <c r="G25" s="310" t="s">
        <v>57</v>
      </c>
      <c r="H25" s="311">
        <v>44768.0</v>
      </c>
      <c r="I25" s="310" t="s">
        <v>59</v>
      </c>
      <c r="J25" s="139">
        <v>20435.0</v>
      </c>
      <c r="K25" s="139">
        <f t="shared" si="14"/>
        <v>671.8356164</v>
      </c>
      <c r="L25" s="312">
        <f t="shared" si="15"/>
        <v>1520.843333</v>
      </c>
      <c r="M25" s="312"/>
      <c r="N25" s="312">
        <f t="shared" si="16"/>
        <v>21955.84333</v>
      </c>
      <c r="O25" s="312">
        <f t="shared" si="17"/>
        <v>721.8359452</v>
      </c>
    </row>
    <row r="26" ht="14.25" customHeight="1">
      <c r="A26" s="308">
        <f t="shared" si="18"/>
        <v>16</v>
      </c>
      <c r="B26" s="86" t="s">
        <v>1214</v>
      </c>
      <c r="C26" s="86" t="s">
        <v>1215</v>
      </c>
      <c r="D26" s="86" t="s">
        <v>6147</v>
      </c>
      <c r="E26" s="310" t="s">
        <v>379</v>
      </c>
      <c r="F26" s="310" t="s">
        <v>1059</v>
      </c>
      <c r="G26" s="310" t="s">
        <v>6144</v>
      </c>
      <c r="H26" s="311">
        <v>45785.0</v>
      </c>
      <c r="I26" s="310" t="s">
        <v>59</v>
      </c>
      <c r="J26" s="139">
        <v>19618.75</v>
      </c>
      <c r="K26" s="139">
        <f t="shared" si="14"/>
        <v>645</v>
      </c>
      <c r="L26" s="312">
        <f t="shared" si="15"/>
        <v>1520.843333</v>
      </c>
      <c r="M26" s="312"/>
      <c r="N26" s="312">
        <f t="shared" si="16"/>
        <v>21139.59333</v>
      </c>
      <c r="O26" s="312">
        <f t="shared" si="17"/>
        <v>695.0003288</v>
      </c>
    </row>
    <row r="27" ht="14.25" customHeight="1">
      <c r="A27" s="308">
        <f t="shared" si="18"/>
        <v>17</v>
      </c>
      <c r="B27" s="164" t="s">
        <v>405</v>
      </c>
      <c r="C27" s="164" t="s">
        <v>612</v>
      </c>
      <c r="D27" s="164" t="s">
        <v>613</v>
      </c>
      <c r="E27" s="309" t="s">
        <v>217</v>
      </c>
      <c r="F27" s="310" t="s">
        <v>614</v>
      </c>
      <c r="G27" s="310" t="s">
        <v>57</v>
      </c>
      <c r="H27" s="311">
        <v>44697.0</v>
      </c>
      <c r="I27" s="310" t="s">
        <v>59</v>
      </c>
      <c r="J27" s="139">
        <v>19618.75</v>
      </c>
      <c r="K27" s="139">
        <f t="shared" si="14"/>
        <v>645</v>
      </c>
      <c r="L27" s="312">
        <f t="shared" si="15"/>
        <v>1520.843333</v>
      </c>
      <c r="M27" s="312"/>
      <c r="N27" s="312">
        <f t="shared" si="16"/>
        <v>21139.59333</v>
      </c>
      <c r="O27" s="312">
        <f t="shared" si="17"/>
        <v>695.0003288</v>
      </c>
    </row>
    <row r="28" ht="14.25" customHeight="1">
      <c r="A28" s="308">
        <f t="shared" si="18"/>
        <v>18</v>
      </c>
      <c r="B28" s="86" t="s">
        <v>558</v>
      </c>
      <c r="C28" s="132" t="s">
        <v>559</v>
      </c>
      <c r="D28" s="86" t="s">
        <v>560</v>
      </c>
      <c r="E28" s="310" t="s">
        <v>132</v>
      </c>
      <c r="F28" s="310" t="s">
        <v>561</v>
      </c>
      <c r="G28" s="310" t="s">
        <v>57</v>
      </c>
      <c r="H28" s="311">
        <v>44685.0</v>
      </c>
      <c r="I28" s="310" t="s">
        <v>59</v>
      </c>
      <c r="J28" s="139">
        <v>19618.75</v>
      </c>
      <c r="K28" s="139">
        <f t="shared" si="14"/>
        <v>645</v>
      </c>
      <c r="L28" s="312">
        <f t="shared" si="15"/>
        <v>1520.843333</v>
      </c>
      <c r="M28" s="312"/>
      <c r="N28" s="312">
        <f t="shared" si="16"/>
        <v>21139.59333</v>
      </c>
      <c r="O28" s="312">
        <f t="shared" si="17"/>
        <v>695.0003288</v>
      </c>
    </row>
    <row r="29" ht="14.25" customHeight="1">
      <c r="A29" s="308">
        <f t="shared" si="18"/>
        <v>19</v>
      </c>
      <c r="B29" s="164" t="s">
        <v>636</v>
      </c>
      <c r="C29" s="164" t="s">
        <v>637</v>
      </c>
      <c r="D29" s="164" t="s">
        <v>638</v>
      </c>
      <c r="E29" s="309" t="s">
        <v>132</v>
      </c>
      <c r="F29" s="310" t="s">
        <v>639</v>
      </c>
      <c r="G29" s="310" t="s">
        <v>57</v>
      </c>
      <c r="H29" s="311">
        <v>44697.0</v>
      </c>
      <c r="I29" s="310" t="s">
        <v>59</v>
      </c>
      <c r="J29" s="139">
        <v>19618.75</v>
      </c>
      <c r="K29" s="139">
        <f t="shared" si="14"/>
        <v>645</v>
      </c>
      <c r="L29" s="312">
        <f t="shared" si="15"/>
        <v>1520.843333</v>
      </c>
      <c r="M29" s="312"/>
      <c r="N29" s="312">
        <f t="shared" si="16"/>
        <v>21139.59333</v>
      </c>
      <c r="O29" s="312">
        <f t="shared" si="17"/>
        <v>695.0003288</v>
      </c>
    </row>
    <row r="30" ht="14.25" customHeight="1">
      <c r="A30" s="308">
        <f t="shared" si="18"/>
        <v>20</v>
      </c>
      <c r="B30" s="86" t="s">
        <v>51</v>
      </c>
      <c r="C30" s="86" t="s">
        <v>52</v>
      </c>
      <c r="D30" s="86" t="s">
        <v>53</v>
      </c>
      <c r="E30" s="309" t="s">
        <v>54</v>
      </c>
      <c r="F30" s="310" t="s">
        <v>561</v>
      </c>
      <c r="G30" s="310" t="s">
        <v>57</v>
      </c>
      <c r="H30" s="311">
        <v>44708.0</v>
      </c>
      <c r="I30" s="310" t="s">
        <v>59</v>
      </c>
      <c r="J30" s="139">
        <v>19618.75</v>
      </c>
      <c r="K30" s="139">
        <f t="shared" si="14"/>
        <v>645</v>
      </c>
      <c r="L30" s="312">
        <f t="shared" si="15"/>
        <v>1520.843333</v>
      </c>
      <c r="M30" s="312"/>
      <c r="N30" s="312">
        <f t="shared" si="16"/>
        <v>21139.59333</v>
      </c>
      <c r="O30" s="312">
        <f t="shared" si="17"/>
        <v>695.0003288</v>
      </c>
    </row>
    <row r="31" ht="14.25" customHeight="1">
      <c r="A31" s="308">
        <f t="shared" si="18"/>
        <v>21</v>
      </c>
      <c r="B31" s="16" t="s">
        <v>6148</v>
      </c>
      <c r="C31" s="16" t="s">
        <v>6149</v>
      </c>
      <c r="D31" s="16" t="s">
        <v>6150</v>
      </c>
      <c r="E31" s="324" t="s">
        <v>6151</v>
      </c>
      <c r="F31" s="324" t="s">
        <v>82</v>
      </c>
      <c r="G31" s="324" t="s">
        <v>57</v>
      </c>
      <c r="H31" s="324">
        <v>44694.0</v>
      </c>
      <c r="I31" s="310" t="s">
        <v>59</v>
      </c>
      <c r="J31" s="139">
        <v>19618.75</v>
      </c>
      <c r="K31" s="139">
        <f t="shared" si="14"/>
        <v>645</v>
      </c>
      <c r="L31" s="312">
        <f t="shared" si="15"/>
        <v>1520.843333</v>
      </c>
      <c r="M31" s="312"/>
      <c r="N31" s="312">
        <f t="shared" si="16"/>
        <v>21139.59333</v>
      </c>
      <c r="O31" s="312">
        <f t="shared" si="17"/>
        <v>695.0003288</v>
      </c>
    </row>
    <row r="32" ht="14.25" customHeight="1">
      <c r="A32" s="308">
        <f t="shared" si="18"/>
        <v>22</v>
      </c>
      <c r="B32" s="86" t="s">
        <v>752</v>
      </c>
      <c r="C32" s="86" t="s">
        <v>753</v>
      </c>
      <c r="D32" s="86" t="s">
        <v>754</v>
      </c>
      <c r="E32" s="310" t="s">
        <v>217</v>
      </c>
      <c r="F32" s="310" t="s">
        <v>561</v>
      </c>
      <c r="G32" s="310" t="s">
        <v>57</v>
      </c>
      <c r="H32" s="314">
        <v>44896.0</v>
      </c>
      <c r="I32" s="310" t="s">
        <v>59</v>
      </c>
      <c r="J32" s="139">
        <v>19618.75</v>
      </c>
      <c r="K32" s="139">
        <f t="shared" si="14"/>
        <v>645</v>
      </c>
      <c r="L32" s="312">
        <f t="shared" si="15"/>
        <v>1520.843333</v>
      </c>
      <c r="M32" s="312"/>
      <c r="N32" s="312">
        <f t="shared" si="16"/>
        <v>21139.59333</v>
      </c>
      <c r="O32" s="312">
        <f t="shared" si="17"/>
        <v>695.0003288</v>
      </c>
    </row>
    <row r="33" ht="14.25" customHeight="1">
      <c r="A33" s="308">
        <f t="shared" si="18"/>
        <v>23</v>
      </c>
      <c r="B33" s="86" t="s">
        <v>1082</v>
      </c>
      <c r="C33" s="86" t="s">
        <v>1083</v>
      </c>
      <c r="D33" s="86" t="s">
        <v>1084</v>
      </c>
      <c r="E33" s="309" t="s">
        <v>77</v>
      </c>
      <c r="F33" s="310" t="s">
        <v>133</v>
      </c>
      <c r="G33" s="310" t="s">
        <v>57</v>
      </c>
      <c r="H33" s="311">
        <v>44790.0</v>
      </c>
      <c r="I33" s="310" t="s">
        <v>59</v>
      </c>
      <c r="J33" s="139">
        <v>19618.75</v>
      </c>
      <c r="K33" s="139">
        <f t="shared" si="14"/>
        <v>645</v>
      </c>
      <c r="L33" s="312">
        <f t="shared" si="15"/>
        <v>1520.843333</v>
      </c>
      <c r="M33" s="312"/>
      <c r="N33" s="312">
        <f t="shared" si="16"/>
        <v>21139.59333</v>
      </c>
      <c r="O33" s="312">
        <f t="shared" si="17"/>
        <v>695.0003288</v>
      </c>
    </row>
    <row r="34" ht="14.25" customHeight="1">
      <c r="A34" s="308">
        <f t="shared" si="18"/>
        <v>24</v>
      </c>
      <c r="B34" s="86" t="s">
        <v>815</v>
      </c>
      <c r="C34" s="86" t="s">
        <v>816</v>
      </c>
      <c r="D34" s="86" t="s">
        <v>78</v>
      </c>
      <c r="E34" s="309" t="s">
        <v>54</v>
      </c>
      <c r="F34" s="310" t="s">
        <v>133</v>
      </c>
      <c r="G34" s="310" t="s">
        <v>57</v>
      </c>
      <c r="H34" s="311">
        <v>45212.0</v>
      </c>
      <c r="I34" s="310" t="s">
        <v>59</v>
      </c>
      <c r="J34" s="139">
        <v>19618.75</v>
      </c>
      <c r="K34" s="139">
        <f t="shared" si="14"/>
        <v>645</v>
      </c>
      <c r="L34" s="312">
        <f t="shared" si="15"/>
        <v>1520.843333</v>
      </c>
      <c r="M34" s="312"/>
      <c r="N34" s="312">
        <f t="shared" si="16"/>
        <v>21139.59333</v>
      </c>
      <c r="O34" s="312">
        <f t="shared" si="17"/>
        <v>695.0003288</v>
      </c>
    </row>
    <row r="35" ht="14.25" customHeight="1">
      <c r="A35" s="308">
        <f t="shared" si="18"/>
        <v>25</v>
      </c>
      <c r="B35" s="86" t="s">
        <v>779</v>
      </c>
      <c r="C35" s="86" t="s">
        <v>780</v>
      </c>
      <c r="D35" s="86" t="s">
        <v>781</v>
      </c>
      <c r="E35" s="309" t="s">
        <v>217</v>
      </c>
      <c r="F35" s="310" t="s">
        <v>133</v>
      </c>
      <c r="G35" s="310" t="s">
        <v>57</v>
      </c>
      <c r="H35" s="311">
        <v>44946.0</v>
      </c>
      <c r="I35" s="310" t="s">
        <v>59</v>
      </c>
      <c r="J35" s="139">
        <v>19618.75</v>
      </c>
      <c r="K35" s="139">
        <f t="shared" si="14"/>
        <v>645</v>
      </c>
      <c r="L35" s="312">
        <f t="shared" si="15"/>
        <v>1520.843333</v>
      </c>
      <c r="M35" s="312"/>
      <c r="N35" s="312">
        <f t="shared" si="16"/>
        <v>21139.59333</v>
      </c>
      <c r="O35" s="312">
        <f t="shared" si="17"/>
        <v>695.0003288</v>
      </c>
    </row>
    <row r="36" ht="14.25" customHeight="1">
      <c r="A36" s="308">
        <f t="shared" si="18"/>
        <v>26</v>
      </c>
      <c r="B36" s="86" t="s">
        <v>836</v>
      </c>
      <c r="C36" s="86" t="s">
        <v>837</v>
      </c>
      <c r="D36" s="86" t="s">
        <v>838</v>
      </c>
      <c r="E36" s="309" t="s">
        <v>308</v>
      </c>
      <c r="F36" s="310" t="s">
        <v>133</v>
      </c>
      <c r="G36" s="310" t="s">
        <v>57</v>
      </c>
      <c r="H36" s="311">
        <v>45410.0</v>
      </c>
      <c r="I36" s="310" t="s">
        <v>59</v>
      </c>
      <c r="J36" s="139">
        <v>19618.75</v>
      </c>
      <c r="K36" s="139">
        <f t="shared" si="14"/>
        <v>645</v>
      </c>
      <c r="L36" s="312">
        <f t="shared" si="15"/>
        <v>1520.843333</v>
      </c>
      <c r="M36" s="312"/>
      <c r="N36" s="312">
        <f t="shared" si="16"/>
        <v>21139.59333</v>
      </c>
      <c r="O36" s="312">
        <f t="shared" si="17"/>
        <v>695.0003288</v>
      </c>
    </row>
    <row r="37" ht="14.25" customHeight="1">
      <c r="A37" s="308">
        <f t="shared" si="18"/>
        <v>27</v>
      </c>
      <c r="B37" s="164" t="s">
        <v>649</v>
      </c>
      <c r="C37" s="86" t="s">
        <v>650</v>
      </c>
      <c r="D37" s="86" t="s">
        <v>359</v>
      </c>
      <c r="E37" s="309" t="s">
        <v>54</v>
      </c>
      <c r="F37" s="310" t="s">
        <v>651</v>
      </c>
      <c r="G37" s="310" t="s">
        <v>57</v>
      </c>
      <c r="H37" s="311">
        <v>44697.0</v>
      </c>
      <c r="I37" s="310" t="s">
        <v>59</v>
      </c>
      <c r="J37" s="139">
        <v>19618.75</v>
      </c>
      <c r="K37" s="139">
        <f t="shared" si="14"/>
        <v>645</v>
      </c>
      <c r="L37" s="312">
        <f t="shared" si="15"/>
        <v>1520.843333</v>
      </c>
      <c r="M37" s="312"/>
      <c r="N37" s="312">
        <f t="shared" si="16"/>
        <v>21139.59333</v>
      </c>
      <c r="O37" s="312">
        <f t="shared" si="17"/>
        <v>695.0003288</v>
      </c>
    </row>
    <row r="38" ht="14.25" customHeight="1">
      <c r="A38" s="308"/>
      <c r="B38" s="325" t="s">
        <v>6152</v>
      </c>
      <c r="C38" s="178"/>
      <c r="D38" s="178"/>
      <c r="E38" s="178"/>
      <c r="F38" s="9"/>
      <c r="G38" s="310"/>
      <c r="H38" s="311"/>
      <c r="I38" s="310"/>
      <c r="J38" s="139"/>
      <c r="K38" s="139"/>
      <c r="L38" s="312"/>
      <c r="M38" s="312"/>
      <c r="N38" s="312"/>
      <c r="O38" s="312"/>
    </row>
    <row r="39" ht="14.25" customHeight="1">
      <c r="A39" s="308">
        <f>+A37+1</f>
        <v>28</v>
      </c>
      <c r="B39" s="86" t="s">
        <v>714</v>
      </c>
      <c r="C39" s="86" t="s">
        <v>715</v>
      </c>
      <c r="D39" s="86" t="s">
        <v>716</v>
      </c>
      <c r="E39" s="310" t="s">
        <v>132</v>
      </c>
      <c r="F39" s="310" t="s">
        <v>717</v>
      </c>
      <c r="G39" s="310" t="s">
        <v>57</v>
      </c>
      <c r="H39" s="310">
        <v>44738.0</v>
      </c>
      <c r="I39" s="310" t="s">
        <v>178</v>
      </c>
      <c r="J39" s="139">
        <v>16823.75</v>
      </c>
      <c r="K39" s="139">
        <f t="shared" ref="K39:K43" si="19">J39*12/313</f>
        <v>645</v>
      </c>
      <c r="L39" s="312">
        <f t="shared" ref="L39:L43" si="20">50*313/12+0.01</f>
        <v>1304.176667</v>
      </c>
      <c r="M39" s="312"/>
      <c r="N39" s="312">
        <f t="shared" ref="N39:N43" si="21">SUM(J39+L39+M39)</f>
        <v>18127.92667</v>
      </c>
      <c r="O39" s="312">
        <f t="shared" ref="O39:O43" si="22">N39*12/313</f>
        <v>695.0003834</v>
      </c>
    </row>
    <row r="40" ht="14.25" customHeight="1">
      <c r="A40" s="308">
        <f t="shared" ref="A40:A43" si="23">+A39+1</f>
        <v>29</v>
      </c>
      <c r="B40" s="16" t="s">
        <v>6153</v>
      </c>
      <c r="C40" s="16" t="s">
        <v>6154</v>
      </c>
      <c r="D40" s="16" t="s">
        <v>84</v>
      </c>
      <c r="E40" s="324" t="s">
        <v>379</v>
      </c>
      <c r="F40" s="310" t="s">
        <v>717</v>
      </c>
      <c r="G40" s="310" t="s">
        <v>57</v>
      </c>
      <c r="H40" s="324">
        <v>45317.0</v>
      </c>
      <c r="I40" s="310" t="s">
        <v>178</v>
      </c>
      <c r="J40" s="139">
        <v>16823.75</v>
      </c>
      <c r="K40" s="139">
        <f t="shared" si="19"/>
        <v>645</v>
      </c>
      <c r="L40" s="312">
        <f t="shared" si="20"/>
        <v>1304.176667</v>
      </c>
      <c r="M40" s="312"/>
      <c r="N40" s="312">
        <f t="shared" si="21"/>
        <v>18127.92667</v>
      </c>
      <c r="O40" s="312">
        <f t="shared" si="22"/>
        <v>695.0003834</v>
      </c>
    </row>
    <row r="41" ht="14.25" customHeight="1">
      <c r="A41" s="308">
        <f t="shared" si="23"/>
        <v>30</v>
      </c>
      <c r="B41" s="86" t="s">
        <v>4196</v>
      </c>
      <c r="C41" s="86" t="s">
        <v>4197</v>
      </c>
      <c r="D41" s="86" t="s">
        <v>4198</v>
      </c>
      <c r="E41" s="309" t="s">
        <v>308</v>
      </c>
      <c r="F41" s="310" t="s">
        <v>561</v>
      </c>
      <c r="G41" s="324" t="s">
        <v>16</v>
      </c>
      <c r="H41" s="311" t="s">
        <v>6155</v>
      </c>
      <c r="I41" s="310" t="s">
        <v>178</v>
      </c>
      <c r="J41" s="139">
        <v>16823.75</v>
      </c>
      <c r="K41" s="139">
        <f t="shared" si="19"/>
        <v>645</v>
      </c>
      <c r="L41" s="312">
        <f t="shared" si="20"/>
        <v>1304.176667</v>
      </c>
      <c r="M41" s="312"/>
      <c r="N41" s="312">
        <f t="shared" si="21"/>
        <v>18127.92667</v>
      </c>
      <c r="O41" s="312">
        <f t="shared" si="22"/>
        <v>695.0003834</v>
      </c>
    </row>
    <row r="42" ht="14.25" customHeight="1">
      <c r="A42" s="308">
        <f t="shared" si="23"/>
        <v>31</v>
      </c>
      <c r="B42" s="164" t="s">
        <v>1229</v>
      </c>
      <c r="C42" s="164" t="s">
        <v>6156</v>
      </c>
      <c r="D42" s="164" t="s">
        <v>1231</v>
      </c>
      <c r="E42" s="309" t="s">
        <v>54</v>
      </c>
      <c r="F42" s="310" t="s">
        <v>133</v>
      </c>
      <c r="G42" s="324" t="s">
        <v>16</v>
      </c>
      <c r="H42" s="311" t="s">
        <v>6155</v>
      </c>
      <c r="I42" s="310" t="s">
        <v>178</v>
      </c>
      <c r="J42" s="139">
        <v>16823.75</v>
      </c>
      <c r="K42" s="139">
        <f t="shared" si="19"/>
        <v>645</v>
      </c>
      <c r="L42" s="312">
        <f t="shared" si="20"/>
        <v>1304.176667</v>
      </c>
      <c r="M42" s="312"/>
      <c r="N42" s="312">
        <f t="shared" si="21"/>
        <v>18127.92667</v>
      </c>
      <c r="O42" s="312">
        <f t="shared" si="22"/>
        <v>695.0003834</v>
      </c>
    </row>
    <row r="43" ht="14.25" customHeight="1">
      <c r="A43" s="308">
        <f t="shared" si="23"/>
        <v>32</v>
      </c>
      <c r="B43" s="164" t="s">
        <v>6157</v>
      </c>
      <c r="C43" s="164" t="s">
        <v>6158</v>
      </c>
      <c r="D43" s="164" t="s">
        <v>6159</v>
      </c>
      <c r="E43" s="309" t="s">
        <v>6160</v>
      </c>
      <c r="F43" s="310" t="s">
        <v>160</v>
      </c>
      <c r="G43" s="310" t="s">
        <v>57</v>
      </c>
      <c r="H43" s="311">
        <v>45541.0</v>
      </c>
      <c r="I43" s="310" t="s">
        <v>178</v>
      </c>
      <c r="J43" s="139">
        <v>19000.0</v>
      </c>
      <c r="K43" s="139">
        <f t="shared" si="19"/>
        <v>728.4345048</v>
      </c>
      <c r="L43" s="312">
        <f t="shared" si="20"/>
        <v>1304.176667</v>
      </c>
      <c r="M43" s="312"/>
      <c r="N43" s="312">
        <f t="shared" si="21"/>
        <v>20304.17667</v>
      </c>
      <c r="O43" s="312">
        <f t="shared" si="22"/>
        <v>778.4348882</v>
      </c>
    </row>
    <row r="44" ht="18.0" customHeight="1">
      <c r="A44" s="308"/>
      <c r="B44" s="305" t="s">
        <v>6161</v>
      </c>
      <c r="C44" s="178"/>
      <c r="D44" s="178"/>
      <c r="E44" s="178"/>
      <c r="F44" s="9"/>
      <c r="G44" s="310"/>
      <c r="H44" s="311"/>
      <c r="I44" s="310"/>
      <c r="J44" s="139"/>
      <c r="K44" s="139"/>
      <c r="L44" s="312"/>
      <c r="M44" s="312"/>
      <c r="N44" s="312"/>
      <c r="O44" s="312"/>
    </row>
    <row r="45" ht="14.25" customHeight="1">
      <c r="A45" s="308">
        <f>+A43+1</f>
        <v>33</v>
      </c>
      <c r="B45" s="86" t="s">
        <v>857</v>
      </c>
      <c r="C45" s="86" t="s">
        <v>858</v>
      </c>
      <c r="D45" s="86" t="s">
        <v>859</v>
      </c>
      <c r="E45" s="309" t="s">
        <v>217</v>
      </c>
      <c r="F45" s="310" t="s">
        <v>1881</v>
      </c>
      <c r="G45" s="310" t="s">
        <v>57</v>
      </c>
      <c r="H45" s="311">
        <v>45438.0</v>
      </c>
      <c r="I45" s="310" t="s">
        <v>178</v>
      </c>
      <c r="J45" s="139">
        <v>16823.75</v>
      </c>
      <c r="K45" s="139">
        <f t="shared" ref="K45:K50" si="24">J45*12/313</f>
        <v>645</v>
      </c>
      <c r="L45" s="312">
        <f t="shared" ref="L45:L50" si="25">50*313/12+0.01</f>
        <v>1304.176667</v>
      </c>
      <c r="M45" s="312"/>
      <c r="N45" s="312">
        <f t="shared" ref="N45:N50" si="26">SUM(J45+L45+M45)</f>
        <v>18127.92667</v>
      </c>
      <c r="O45" s="312">
        <f t="shared" ref="O45:O50" si="27">N45*12/313</f>
        <v>695.0003834</v>
      </c>
    </row>
    <row r="46" ht="14.25" customHeight="1">
      <c r="A46" s="308">
        <f t="shared" ref="A46:A50" si="28">+A45+1</f>
        <v>34</v>
      </c>
      <c r="B46" s="164" t="s">
        <v>6162</v>
      </c>
      <c r="C46" s="86" t="s">
        <v>837</v>
      </c>
      <c r="D46" s="86" t="s">
        <v>6163</v>
      </c>
      <c r="E46" s="309" t="s">
        <v>93</v>
      </c>
      <c r="F46" s="310" t="s">
        <v>1881</v>
      </c>
      <c r="G46" s="310" t="s">
        <v>57</v>
      </c>
      <c r="H46" s="311">
        <v>45512.0</v>
      </c>
      <c r="I46" s="310" t="s">
        <v>178</v>
      </c>
      <c r="J46" s="139">
        <v>16823.75</v>
      </c>
      <c r="K46" s="160">
        <f t="shared" si="24"/>
        <v>645</v>
      </c>
      <c r="L46" s="312">
        <f t="shared" si="25"/>
        <v>1304.176667</v>
      </c>
      <c r="M46" s="312"/>
      <c r="N46" s="312">
        <f t="shared" si="26"/>
        <v>18127.92667</v>
      </c>
      <c r="O46" s="312">
        <f t="shared" si="27"/>
        <v>695.0003834</v>
      </c>
    </row>
    <row r="47" ht="14.25" customHeight="1">
      <c r="A47" s="308">
        <f t="shared" si="28"/>
        <v>35</v>
      </c>
      <c r="B47" s="86" t="s">
        <v>1244</v>
      </c>
      <c r="C47" s="86" t="s">
        <v>1245</v>
      </c>
      <c r="D47" s="86" t="s">
        <v>1246</v>
      </c>
      <c r="E47" s="309" t="s">
        <v>308</v>
      </c>
      <c r="F47" s="310" t="s">
        <v>1881</v>
      </c>
      <c r="G47" s="310" t="s">
        <v>57</v>
      </c>
      <c r="H47" s="311">
        <v>45651.0</v>
      </c>
      <c r="I47" s="310" t="s">
        <v>178</v>
      </c>
      <c r="J47" s="139">
        <v>16823.75</v>
      </c>
      <c r="K47" s="139">
        <f t="shared" si="24"/>
        <v>645</v>
      </c>
      <c r="L47" s="312">
        <f t="shared" si="25"/>
        <v>1304.176667</v>
      </c>
      <c r="M47" s="312"/>
      <c r="N47" s="312">
        <f t="shared" si="26"/>
        <v>18127.92667</v>
      </c>
      <c r="O47" s="312">
        <f t="shared" si="27"/>
        <v>695.0003834</v>
      </c>
    </row>
    <row r="48" ht="14.25" customHeight="1">
      <c r="A48" s="308">
        <f t="shared" si="28"/>
        <v>36</v>
      </c>
      <c r="B48" s="86" t="s">
        <v>6164</v>
      </c>
      <c r="C48" s="86" t="s">
        <v>6165</v>
      </c>
      <c r="D48" s="86" t="s">
        <v>84</v>
      </c>
      <c r="E48" s="309" t="s">
        <v>379</v>
      </c>
      <c r="F48" s="310" t="s">
        <v>1881</v>
      </c>
      <c r="G48" s="310" t="s">
        <v>57</v>
      </c>
      <c r="H48" s="311">
        <v>45652.0</v>
      </c>
      <c r="I48" s="310" t="s">
        <v>178</v>
      </c>
      <c r="J48" s="139">
        <v>16823.75</v>
      </c>
      <c r="K48" s="139">
        <f t="shared" si="24"/>
        <v>645</v>
      </c>
      <c r="L48" s="312">
        <f t="shared" si="25"/>
        <v>1304.176667</v>
      </c>
      <c r="M48" s="312"/>
      <c r="N48" s="312">
        <f t="shared" si="26"/>
        <v>18127.92667</v>
      </c>
      <c r="O48" s="312">
        <f t="shared" si="27"/>
        <v>695.0003834</v>
      </c>
    </row>
    <row r="49" ht="14.25" customHeight="1">
      <c r="A49" s="308">
        <f t="shared" si="28"/>
        <v>37</v>
      </c>
      <c r="B49" s="86" t="s">
        <v>6166</v>
      </c>
      <c r="C49" s="86" t="s">
        <v>6167</v>
      </c>
      <c r="D49" s="86" t="s">
        <v>6168</v>
      </c>
      <c r="E49" s="309" t="s">
        <v>943</v>
      </c>
      <c r="F49" s="310" t="s">
        <v>1881</v>
      </c>
      <c r="G49" s="310" t="s">
        <v>6144</v>
      </c>
      <c r="H49" s="311">
        <v>45843.0</v>
      </c>
      <c r="I49" s="310" t="s">
        <v>178</v>
      </c>
      <c r="J49" s="139">
        <v>16823.75</v>
      </c>
      <c r="K49" s="139">
        <f t="shared" si="24"/>
        <v>645</v>
      </c>
      <c r="L49" s="312">
        <f t="shared" si="25"/>
        <v>1304.176667</v>
      </c>
      <c r="M49" s="312"/>
      <c r="N49" s="312">
        <f t="shared" si="26"/>
        <v>18127.92667</v>
      </c>
      <c r="O49" s="312">
        <f t="shared" si="27"/>
        <v>695.0003834</v>
      </c>
    </row>
    <row r="50" ht="14.25" customHeight="1">
      <c r="A50" s="308">
        <f t="shared" si="28"/>
        <v>38</v>
      </c>
      <c r="B50" s="164" t="s">
        <v>6169</v>
      </c>
      <c r="C50" s="86" t="s">
        <v>6170</v>
      </c>
      <c r="D50" s="86"/>
      <c r="E50" s="309"/>
      <c r="F50" s="310" t="s">
        <v>1881</v>
      </c>
      <c r="G50" s="310" t="s">
        <v>6144</v>
      </c>
      <c r="H50" s="311">
        <v>45843.0</v>
      </c>
      <c r="I50" s="310" t="s">
        <v>178</v>
      </c>
      <c r="J50" s="139">
        <v>16823.75</v>
      </c>
      <c r="K50" s="139">
        <f t="shared" si="24"/>
        <v>645</v>
      </c>
      <c r="L50" s="312">
        <f t="shared" si="25"/>
        <v>1304.176667</v>
      </c>
      <c r="M50" s="312"/>
      <c r="N50" s="312">
        <f t="shared" si="26"/>
        <v>18127.92667</v>
      </c>
      <c r="O50" s="312">
        <f t="shared" si="27"/>
        <v>695.0003834</v>
      </c>
    </row>
    <row r="51" ht="18.75" customHeight="1">
      <c r="A51" s="308"/>
      <c r="B51" s="305" t="s">
        <v>6171</v>
      </c>
      <c r="C51" s="178"/>
      <c r="D51" s="178"/>
      <c r="E51" s="178"/>
      <c r="F51" s="9"/>
      <c r="G51" s="310"/>
      <c r="H51" s="311"/>
      <c r="I51" s="310"/>
      <c r="J51" s="139"/>
      <c r="K51" s="139"/>
      <c r="L51" s="312"/>
      <c r="M51" s="312"/>
      <c r="N51" s="312"/>
      <c r="O51" s="312"/>
    </row>
    <row r="52" ht="14.25" customHeight="1">
      <c r="A52" s="308"/>
      <c r="B52" s="164" t="s">
        <v>664</v>
      </c>
      <c r="C52" s="86" t="s">
        <v>665</v>
      </c>
      <c r="D52" s="86" t="s">
        <v>86</v>
      </c>
      <c r="E52" s="309" t="s">
        <v>87</v>
      </c>
      <c r="F52" s="310" t="s">
        <v>666</v>
      </c>
      <c r="G52" s="310" t="s">
        <v>57</v>
      </c>
      <c r="H52" s="311">
        <v>44697.0</v>
      </c>
      <c r="I52" s="310" t="s">
        <v>59</v>
      </c>
      <c r="J52" s="139">
        <v>19618.75</v>
      </c>
      <c r="K52" s="139">
        <f>J52*12/365</f>
        <v>645</v>
      </c>
      <c r="L52" s="312">
        <f>50*365/12+0.01</f>
        <v>1520.843333</v>
      </c>
      <c r="M52" s="312"/>
      <c r="N52" s="312">
        <f>SUM(J52+L52+M52)</f>
        <v>21139.59333</v>
      </c>
      <c r="O52" s="312">
        <f>N52*12/365</f>
        <v>695.0003288</v>
      </c>
    </row>
    <row r="53" ht="21.0" customHeight="1">
      <c r="A53" s="308"/>
      <c r="B53" s="305" t="s">
        <v>6172</v>
      </c>
      <c r="C53" s="178"/>
      <c r="D53" s="178"/>
      <c r="E53" s="178"/>
      <c r="F53" s="9"/>
      <c r="G53" s="310"/>
      <c r="H53" s="311"/>
      <c r="I53" s="310"/>
      <c r="J53" s="139"/>
      <c r="K53" s="139"/>
      <c r="L53" s="312"/>
      <c r="M53" s="312"/>
      <c r="N53" s="312"/>
      <c r="O53" s="312"/>
    </row>
    <row r="54" ht="14.25" customHeight="1">
      <c r="A54" s="308"/>
      <c r="B54" s="164" t="s">
        <v>676</v>
      </c>
      <c r="C54" s="86" t="s">
        <v>677</v>
      </c>
      <c r="D54" s="86" t="s">
        <v>678</v>
      </c>
      <c r="E54" s="309" t="s">
        <v>87</v>
      </c>
      <c r="F54" s="310" t="s">
        <v>679</v>
      </c>
      <c r="G54" s="310" t="s">
        <v>57</v>
      </c>
      <c r="H54" s="311">
        <v>44697.0</v>
      </c>
      <c r="I54" s="310" t="s">
        <v>178</v>
      </c>
      <c r="J54" s="139">
        <v>16823.75</v>
      </c>
      <c r="K54" s="139">
        <f>J54*12/313</f>
        <v>645</v>
      </c>
      <c r="L54" s="312">
        <f>50*313/12+0.01</f>
        <v>1304.176667</v>
      </c>
      <c r="M54" s="312"/>
      <c r="N54" s="312">
        <f>SUM(J54+L54+M54)</f>
        <v>18127.92667</v>
      </c>
      <c r="O54" s="312">
        <f>N54*12/313</f>
        <v>695.0003834</v>
      </c>
    </row>
    <row r="55" ht="14.25" customHeight="1">
      <c r="A55" s="308"/>
      <c r="B55" s="164"/>
      <c r="C55" s="86"/>
      <c r="D55" s="86"/>
      <c r="E55" s="309"/>
      <c r="F55" s="310"/>
      <c r="G55" s="310"/>
      <c r="H55" s="311"/>
      <c r="I55" s="310"/>
      <c r="J55" s="139"/>
      <c r="K55" s="139"/>
      <c r="L55" s="312"/>
      <c r="M55" s="312"/>
      <c r="N55" s="312"/>
      <c r="O55" s="312"/>
    </row>
    <row r="56" ht="14.25" customHeight="1">
      <c r="A56" s="308"/>
      <c r="B56" s="164"/>
      <c r="C56" s="86"/>
      <c r="D56" s="86"/>
      <c r="E56" s="309"/>
      <c r="F56" s="310"/>
      <c r="G56" s="310"/>
      <c r="H56" s="311"/>
      <c r="I56" s="310"/>
      <c r="J56" s="139"/>
      <c r="K56" s="139"/>
      <c r="L56" s="312"/>
      <c r="M56" s="312"/>
      <c r="N56" s="312"/>
      <c r="O56" s="312"/>
    </row>
    <row r="57" ht="14.25" customHeight="1">
      <c r="E57" s="315"/>
      <c r="F57" s="315"/>
      <c r="G57" s="316" t="s">
        <v>6127</v>
      </c>
      <c r="H57" s="174"/>
      <c r="I57" s="175"/>
      <c r="J57" s="326"/>
      <c r="K57" s="326"/>
      <c r="L57" s="317">
        <f t="shared" ref="L57:N57" si="29">SUM(L5:L56)</f>
        <v>58233.73333</v>
      </c>
      <c r="M57" s="317">
        <f t="shared" si="29"/>
        <v>0</v>
      </c>
      <c r="N57" s="317">
        <f t="shared" si="29"/>
        <v>886942.4967</v>
      </c>
      <c r="O57" s="317"/>
    </row>
    <row r="58" ht="14.25" customHeight="1">
      <c r="E58" s="315"/>
      <c r="F58" s="315"/>
      <c r="G58" s="184"/>
      <c r="H58" s="185"/>
      <c r="I58" s="186"/>
      <c r="J58" s="327"/>
      <c r="K58" s="327"/>
      <c r="L58" s="183"/>
      <c r="M58" s="183"/>
      <c r="N58" s="183"/>
      <c r="O58" s="183"/>
    </row>
    <row r="59" ht="14.25" customHeight="1">
      <c r="E59" s="315"/>
      <c r="F59" s="315"/>
      <c r="G59" s="315"/>
      <c r="H59" s="315"/>
      <c r="I59" s="318"/>
      <c r="L59" s="54"/>
      <c r="M59" s="313"/>
    </row>
    <row r="60" ht="14.25" customHeight="1">
      <c r="A60" s="85" t="s">
        <v>6128</v>
      </c>
      <c r="G60" s="85" t="s">
        <v>6129</v>
      </c>
      <c r="H60" s="29"/>
      <c r="I60" s="54"/>
      <c r="L60" s="54"/>
      <c r="M60" s="313"/>
    </row>
    <row r="61" ht="14.25" customHeight="1">
      <c r="H61" s="29"/>
      <c r="I61" s="54"/>
      <c r="L61" s="54"/>
      <c r="M61" s="313"/>
    </row>
    <row r="62" ht="14.25" customHeight="1">
      <c r="A62" s="319" t="s">
        <v>6130</v>
      </c>
      <c r="B62" s="319"/>
      <c r="C62" s="319"/>
      <c r="D62" s="319"/>
      <c r="E62" s="319"/>
      <c r="F62" s="319"/>
      <c r="G62" s="319" t="s">
        <v>6131</v>
      </c>
      <c r="H62" s="319"/>
      <c r="I62" s="320"/>
      <c r="J62" s="319"/>
      <c r="K62" s="319"/>
      <c r="L62" s="320"/>
      <c r="M62" s="321"/>
      <c r="N62" s="319"/>
      <c r="O62" s="319"/>
      <c r="P62" s="319"/>
      <c r="Q62" s="319"/>
      <c r="R62" s="319"/>
      <c r="S62" s="319"/>
      <c r="T62" s="319"/>
      <c r="U62" s="319"/>
      <c r="V62" s="319"/>
      <c r="W62" s="319"/>
      <c r="X62" s="319"/>
      <c r="Y62" s="319"/>
      <c r="Z62" s="319"/>
    </row>
    <row r="63" ht="14.25" customHeight="1">
      <c r="A63" s="319" t="s">
        <v>6132</v>
      </c>
      <c r="B63" s="319"/>
      <c r="C63" s="319"/>
      <c r="D63" s="319"/>
      <c r="E63" s="319"/>
      <c r="F63" s="319"/>
      <c r="G63" s="319" t="s">
        <v>6133</v>
      </c>
      <c r="H63" s="319"/>
      <c r="I63" s="320"/>
      <c r="J63" s="319"/>
      <c r="K63" s="319"/>
      <c r="L63" s="320"/>
      <c r="M63" s="321"/>
      <c r="N63" s="319"/>
      <c r="O63" s="319"/>
      <c r="P63" s="319"/>
      <c r="Q63" s="319"/>
      <c r="R63" s="319"/>
      <c r="S63" s="319"/>
      <c r="T63" s="319"/>
      <c r="U63" s="319"/>
      <c r="V63" s="319"/>
      <c r="W63" s="319"/>
      <c r="X63" s="319"/>
      <c r="Y63" s="319"/>
      <c r="Z63" s="319"/>
    </row>
    <row r="64" ht="14.25" customHeight="1">
      <c r="H64" s="29"/>
      <c r="I64" s="54"/>
      <c r="L64" s="54"/>
      <c r="M64" s="313"/>
    </row>
    <row r="65" ht="14.25" customHeight="1">
      <c r="E65" s="315"/>
      <c r="F65" s="315"/>
      <c r="G65" s="315"/>
      <c r="H65" s="315"/>
      <c r="I65" s="318"/>
      <c r="L65" s="54"/>
      <c r="M65" s="313"/>
    </row>
    <row r="66" ht="14.25" customHeight="1">
      <c r="E66" s="315"/>
      <c r="F66" s="315"/>
      <c r="G66" s="315"/>
      <c r="H66" s="315"/>
      <c r="I66" s="318"/>
      <c r="L66" s="54"/>
      <c r="M66" s="313"/>
    </row>
    <row r="67" ht="14.25" customHeight="1">
      <c r="E67" s="315"/>
      <c r="F67" s="315"/>
      <c r="G67" s="315"/>
      <c r="H67" s="315"/>
      <c r="I67" s="318"/>
      <c r="L67" s="54"/>
      <c r="M67" s="313"/>
    </row>
    <row r="68" ht="14.25" customHeight="1">
      <c r="E68" s="315"/>
      <c r="F68" s="315"/>
      <c r="G68" s="315"/>
      <c r="H68" s="315"/>
      <c r="I68" s="318"/>
      <c r="L68" s="54"/>
      <c r="M68" s="313"/>
    </row>
    <row r="69" ht="14.25" customHeight="1">
      <c r="E69" s="315"/>
      <c r="F69" s="315"/>
      <c r="G69" s="315"/>
      <c r="H69" s="315"/>
      <c r="I69" s="318"/>
      <c r="L69" s="54"/>
      <c r="M69" s="313"/>
    </row>
    <row r="70" ht="14.25" customHeight="1">
      <c r="E70" s="315"/>
      <c r="F70" s="315"/>
      <c r="G70" s="315"/>
      <c r="H70" s="315"/>
      <c r="I70" s="318"/>
      <c r="L70" s="54"/>
      <c r="M70" s="313"/>
    </row>
    <row r="71" ht="14.25" customHeight="1">
      <c r="E71" s="315"/>
      <c r="F71" s="315"/>
      <c r="G71" s="315"/>
      <c r="H71" s="315"/>
      <c r="I71" s="318"/>
      <c r="L71" s="54"/>
      <c r="M71" s="313"/>
    </row>
    <row r="72" ht="14.25" customHeight="1">
      <c r="E72" s="322"/>
      <c r="F72" s="315"/>
      <c r="G72" s="315"/>
      <c r="H72" s="315"/>
      <c r="I72" s="318"/>
      <c r="L72" s="54"/>
      <c r="M72" s="313"/>
    </row>
    <row r="73" ht="14.25" customHeight="1">
      <c r="E73" s="322"/>
      <c r="F73" s="315"/>
      <c r="G73" s="315"/>
      <c r="H73" s="315"/>
      <c r="I73" s="318"/>
      <c r="L73" s="54"/>
      <c r="M73" s="313"/>
    </row>
    <row r="74" ht="14.25" customHeight="1">
      <c r="E74" s="322"/>
      <c r="F74" s="315"/>
      <c r="G74" s="315"/>
      <c r="H74" s="315"/>
      <c r="I74" s="318"/>
      <c r="L74" s="54"/>
      <c r="M74" s="313"/>
    </row>
    <row r="75" ht="14.25" customHeight="1">
      <c r="E75" s="322"/>
      <c r="F75" s="315"/>
      <c r="G75" s="315"/>
      <c r="H75" s="315"/>
      <c r="I75" s="318"/>
      <c r="L75" s="54"/>
      <c r="M75" s="313"/>
    </row>
    <row r="76" ht="14.25" customHeight="1">
      <c r="E76" s="322"/>
      <c r="F76" s="315"/>
      <c r="G76" s="315"/>
      <c r="H76" s="315"/>
      <c r="I76" s="318"/>
      <c r="L76" s="54"/>
      <c r="M76" s="313"/>
    </row>
    <row r="77" ht="14.25" customHeight="1">
      <c r="E77" s="322"/>
      <c r="F77" s="315"/>
      <c r="G77" s="315"/>
      <c r="H77" s="315"/>
      <c r="I77" s="318"/>
      <c r="L77" s="54"/>
      <c r="M77" s="313"/>
    </row>
    <row r="78" ht="14.25" customHeight="1">
      <c r="E78" s="322"/>
      <c r="F78" s="315"/>
      <c r="G78" s="315"/>
      <c r="H78" s="315"/>
      <c r="I78" s="318"/>
      <c r="L78" s="54"/>
      <c r="M78" s="313"/>
    </row>
    <row r="79" ht="14.25" customHeight="1">
      <c r="E79" s="322"/>
      <c r="F79" s="315"/>
      <c r="G79" s="315"/>
      <c r="H79" s="315"/>
      <c r="I79" s="318"/>
      <c r="L79" s="54"/>
      <c r="M79" s="313"/>
    </row>
    <row r="80" ht="14.25" customHeight="1">
      <c r="E80" s="322"/>
      <c r="F80" s="315"/>
      <c r="G80" s="315"/>
      <c r="H80" s="315"/>
      <c r="I80" s="318"/>
      <c r="L80" s="54"/>
      <c r="M80" s="313"/>
    </row>
    <row r="81" ht="14.25" customHeight="1">
      <c r="E81" s="322"/>
      <c r="F81" s="315"/>
      <c r="G81" s="315"/>
      <c r="H81" s="315"/>
      <c r="I81" s="318"/>
      <c r="L81" s="54"/>
      <c r="M81" s="313"/>
    </row>
    <row r="82" ht="14.25" customHeight="1">
      <c r="E82" s="322"/>
      <c r="F82" s="315"/>
      <c r="G82" s="315"/>
      <c r="H82" s="315"/>
      <c r="I82" s="318"/>
      <c r="L82" s="54"/>
      <c r="M82" s="313"/>
    </row>
    <row r="83" ht="14.25" customHeight="1">
      <c r="E83" s="322"/>
      <c r="F83" s="315"/>
      <c r="G83" s="315"/>
      <c r="H83" s="315"/>
      <c r="I83" s="318"/>
      <c r="L83" s="54"/>
      <c r="M83" s="313"/>
    </row>
    <row r="84" ht="14.25" customHeight="1">
      <c r="E84" s="322"/>
      <c r="F84" s="315"/>
      <c r="G84" s="315"/>
      <c r="H84" s="315"/>
      <c r="I84" s="318"/>
      <c r="L84" s="54"/>
      <c r="M84" s="313"/>
    </row>
    <row r="85" ht="14.25" customHeight="1">
      <c r="E85" s="322"/>
      <c r="F85" s="315"/>
      <c r="G85" s="315"/>
      <c r="H85" s="315"/>
      <c r="I85" s="318"/>
      <c r="L85" s="54"/>
      <c r="M85" s="313"/>
    </row>
    <row r="86" ht="14.25" customHeight="1">
      <c r="E86" s="322"/>
      <c r="F86" s="315"/>
      <c r="G86" s="315"/>
      <c r="H86" s="315"/>
      <c r="I86" s="318"/>
      <c r="L86" s="54"/>
      <c r="M86" s="313"/>
    </row>
    <row r="87" ht="14.25" customHeight="1">
      <c r="E87" s="322"/>
      <c r="F87" s="315"/>
      <c r="G87" s="315"/>
      <c r="H87" s="315"/>
      <c r="I87" s="318"/>
      <c r="L87" s="54"/>
      <c r="M87" s="313"/>
    </row>
    <row r="88" ht="14.25" customHeight="1">
      <c r="E88" s="322"/>
      <c r="F88" s="315"/>
      <c r="G88" s="315"/>
      <c r="H88" s="315"/>
      <c r="I88" s="318"/>
      <c r="L88" s="54"/>
      <c r="M88" s="313"/>
    </row>
    <row r="89" ht="14.25" customHeight="1">
      <c r="E89" s="322"/>
      <c r="F89" s="315"/>
      <c r="G89" s="315"/>
      <c r="H89" s="315"/>
      <c r="I89" s="318"/>
      <c r="L89" s="54"/>
      <c r="M89" s="313"/>
    </row>
    <row r="90" ht="14.25" customHeight="1">
      <c r="E90" s="322"/>
      <c r="F90" s="315"/>
      <c r="G90" s="315"/>
      <c r="H90" s="315"/>
      <c r="I90" s="318"/>
      <c r="L90" s="54"/>
      <c r="M90" s="313"/>
    </row>
    <row r="91" ht="14.25" customHeight="1">
      <c r="E91" s="322"/>
      <c r="F91" s="315"/>
      <c r="G91" s="315"/>
      <c r="H91" s="315"/>
      <c r="I91" s="318"/>
      <c r="L91" s="54"/>
      <c r="M91" s="313"/>
    </row>
    <row r="92" ht="14.25" customHeight="1">
      <c r="E92" s="322"/>
      <c r="F92" s="315"/>
      <c r="G92" s="315"/>
      <c r="H92" s="315"/>
      <c r="I92" s="318"/>
      <c r="L92" s="54"/>
      <c r="M92" s="313"/>
    </row>
    <row r="93" ht="14.25" customHeight="1">
      <c r="E93" s="322"/>
      <c r="F93" s="315"/>
      <c r="G93" s="315"/>
      <c r="H93" s="315"/>
      <c r="I93" s="318"/>
      <c r="L93" s="54"/>
      <c r="M93" s="313"/>
    </row>
    <row r="94" ht="14.25" customHeight="1">
      <c r="E94" s="322"/>
      <c r="F94" s="315"/>
      <c r="G94" s="315"/>
      <c r="H94" s="315"/>
      <c r="I94" s="318"/>
      <c r="L94" s="54"/>
      <c r="M94" s="313"/>
    </row>
    <row r="95" ht="14.25" customHeight="1">
      <c r="E95" s="322"/>
      <c r="F95" s="315"/>
      <c r="G95" s="315"/>
      <c r="H95" s="315"/>
      <c r="I95" s="318"/>
      <c r="L95" s="54"/>
      <c r="M95" s="313"/>
    </row>
    <row r="96" ht="14.25" customHeight="1">
      <c r="E96" s="322"/>
      <c r="F96" s="315"/>
      <c r="G96" s="315"/>
      <c r="H96" s="315"/>
      <c r="I96" s="318"/>
      <c r="L96" s="54"/>
      <c r="M96" s="313"/>
    </row>
    <row r="97" ht="14.25" customHeight="1">
      <c r="E97" s="322"/>
      <c r="F97" s="315"/>
      <c r="G97" s="315"/>
      <c r="H97" s="315"/>
      <c r="I97" s="318"/>
      <c r="L97" s="54"/>
      <c r="M97" s="313"/>
    </row>
    <row r="98" ht="14.25" customHeight="1">
      <c r="E98" s="322"/>
      <c r="F98" s="315"/>
      <c r="G98" s="315"/>
      <c r="H98" s="315"/>
      <c r="I98" s="318"/>
      <c r="L98" s="54"/>
      <c r="M98" s="313"/>
    </row>
    <row r="99" ht="14.25" customHeight="1">
      <c r="E99" s="322"/>
      <c r="F99" s="315"/>
      <c r="G99" s="315"/>
      <c r="H99" s="315"/>
      <c r="I99" s="318"/>
      <c r="L99" s="54"/>
      <c r="M99" s="313"/>
    </row>
    <row r="100" ht="14.25" customHeight="1">
      <c r="E100" s="322"/>
      <c r="F100" s="315"/>
      <c r="G100" s="315"/>
      <c r="H100" s="315"/>
      <c r="I100" s="318"/>
      <c r="L100" s="54"/>
      <c r="M100" s="313"/>
    </row>
    <row r="101" ht="14.25" customHeight="1">
      <c r="E101" s="322"/>
      <c r="F101" s="315"/>
      <c r="G101" s="315"/>
      <c r="H101" s="315"/>
      <c r="I101" s="318"/>
      <c r="L101" s="54"/>
      <c r="M101" s="313"/>
    </row>
    <row r="102" ht="14.25" customHeight="1">
      <c r="E102" s="322"/>
      <c r="F102" s="315"/>
      <c r="G102" s="315"/>
      <c r="H102" s="315"/>
      <c r="I102" s="318"/>
      <c r="L102" s="54"/>
      <c r="M102" s="313"/>
    </row>
    <row r="103" ht="14.25" customHeight="1">
      <c r="E103" s="322"/>
      <c r="F103" s="315"/>
      <c r="G103" s="315"/>
      <c r="H103" s="315"/>
      <c r="I103" s="318"/>
      <c r="L103" s="54"/>
      <c r="M103" s="313"/>
    </row>
    <row r="104" ht="14.25" customHeight="1">
      <c r="E104" s="322"/>
      <c r="F104" s="315"/>
      <c r="G104" s="315"/>
      <c r="H104" s="315"/>
      <c r="I104" s="318"/>
      <c r="L104" s="54"/>
      <c r="M104" s="313"/>
    </row>
    <row r="105" ht="14.25" customHeight="1">
      <c r="E105" s="322"/>
      <c r="F105" s="315"/>
      <c r="G105" s="315"/>
      <c r="H105" s="315"/>
      <c r="I105" s="318"/>
      <c r="L105" s="54"/>
      <c r="M105" s="313"/>
    </row>
    <row r="106" ht="14.25" customHeight="1">
      <c r="E106" s="322"/>
      <c r="F106" s="315"/>
      <c r="G106" s="315"/>
      <c r="H106" s="315"/>
      <c r="I106" s="318"/>
      <c r="L106" s="54"/>
      <c r="M106" s="313"/>
    </row>
    <row r="107" ht="14.25" customHeight="1">
      <c r="E107" s="322"/>
      <c r="F107" s="315"/>
      <c r="G107" s="315"/>
      <c r="H107" s="315"/>
      <c r="I107" s="318"/>
      <c r="L107" s="54"/>
      <c r="M107" s="313"/>
    </row>
    <row r="108" ht="14.25" customHeight="1">
      <c r="E108" s="322"/>
      <c r="F108" s="315"/>
      <c r="G108" s="315"/>
      <c r="H108" s="315"/>
      <c r="I108" s="318"/>
      <c r="L108" s="54"/>
      <c r="M108" s="313"/>
    </row>
    <row r="109" ht="14.25" customHeight="1">
      <c r="E109" s="322"/>
      <c r="F109" s="315"/>
      <c r="G109" s="315"/>
      <c r="H109" s="315"/>
      <c r="I109" s="318"/>
      <c r="L109" s="54"/>
      <c r="M109" s="313"/>
    </row>
    <row r="110" ht="14.25" customHeight="1">
      <c r="E110" s="322"/>
      <c r="F110" s="315"/>
      <c r="G110" s="315"/>
      <c r="H110" s="315"/>
      <c r="I110" s="318"/>
      <c r="L110" s="54"/>
      <c r="M110" s="313"/>
    </row>
    <row r="111" ht="14.25" customHeight="1">
      <c r="E111" s="322"/>
      <c r="F111" s="315"/>
      <c r="G111" s="315"/>
      <c r="H111" s="315"/>
      <c r="I111" s="318"/>
      <c r="L111" s="54"/>
      <c r="M111" s="313"/>
    </row>
    <row r="112" ht="14.25" customHeight="1">
      <c r="E112" s="322"/>
      <c r="F112" s="315"/>
      <c r="G112" s="315"/>
      <c r="H112" s="315"/>
      <c r="I112" s="318"/>
      <c r="L112" s="54"/>
      <c r="M112" s="313"/>
    </row>
    <row r="113" ht="14.25" customHeight="1">
      <c r="E113" s="322"/>
      <c r="F113" s="315"/>
      <c r="G113" s="315"/>
      <c r="H113" s="315"/>
      <c r="I113" s="318"/>
      <c r="L113" s="54"/>
      <c r="M113" s="313"/>
    </row>
    <row r="114" ht="14.25" customHeight="1">
      <c r="E114" s="322"/>
      <c r="F114" s="315"/>
      <c r="G114" s="315"/>
      <c r="H114" s="315"/>
      <c r="I114" s="318"/>
      <c r="L114" s="54"/>
      <c r="M114" s="313"/>
    </row>
    <row r="115" ht="14.25" customHeight="1">
      <c r="E115" s="322"/>
      <c r="F115" s="315"/>
      <c r="G115" s="315"/>
      <c r="H115" s="315"/>
      <c r="I115" s="318"/>
      <c r="L115" s="54"/>
      <c r="M115" s="313"/>
    </row>
    <row r="116" ht="14.25" customHeight="1">
      <c r="E116" s="322"/>
      <c r="F116" s="315"/>
      <c r="G116" s="315"/>
      <c r="H116" s="315"/>
      <c r="I116" s="318"/>
      <c r="L116" s="54"/>
      <c r="M116" s="313"/>
    </row>
    <row r="117" ht="14.25" customHeight="1">
      <c r="E117" s="322"/>
      <c r="F117" s="315"/>
      <c r="G117" s="315"/>
      <c r="H117" s="315"/>
      <c r="I117" s="318"/>
      <c r="L117" s="54"/>
      <c r="M117" s="313"/>
    </row>
    <row r="118" ht="14.25" customHeight="1">
      <c r="E118" s="322"/>
      <c r="F118" s="315"/>
      <c r="G118" s="315"/>
      <c r="H118" s="315"/>
      <c r="I118" s="318"/>
      <c r="L118" s="54"/>
      <c r="M118" s="313"/>
    </row>
    <row r="119" ht="14.25" customHeight="1">
      <c r="E119" s="322"/>
      <c r="F119" s="315"/>
      <c r="G119" s="315"/>
      <c r="H119" s="315"/>
      <c r="I119" s="318"/>
      <c r="L119" s="54"/>
      <c r="M119" s="313"/>
    </row>
    <row r="120" ht="14.25" customHeight="1">
      <c r="E120" s="322"/>
      <c r="F120" s="315"/>
      <c r="G120" s="315"/>
      <c r="H120" s="315"/>
      <c r="I120" s="318"/>
      <c r="L120" s="54"/>
      <c r="M120" s="313"/>
    </row>
    <row r="121" ht="14.25" customHeight="1">
      <c r="E121" s="322"/>
      <c r="F121" s="315"/>
      <c r="G121" s="315"/>
      <c r="H121" s="315"/>
      <c r="I121" s="318"/>
      <c r="L121" s="54"/>
      <c r="M121" s="313"/>
    </row>
    <row r="122" ht="14.25" customHeight="1">
      <c r="E122" s="322"/>
      <c r="F122" s="315"/>
      <c r="G122" s="315"/>
      <c r="H122" s="315"/>
      <c r="I122" s="318"/>
      <c r="L122" s="54"/>
      <c r="M122" s="313"/>
    </row>
    <row r="123" ht="14.25" customHeight="1">
      <c r="E123" s="322"/>
      <c r="F123" s="315"/>
      <c r="G123" s="315"/>
      <c r="H123" s="315"/>
      <c r="I123" s="318"/>
      <c r="L123" s="54"/>
      <c r="M123" s="313"/>
    </row>
    <row r="124" ht="14.25" customHeight="1">
      <c r="E124" s="322"/>
      <c r="F124" s="315"/>
      <c r="G124" s="315"/>
      <c r="H124" s="315"/>
      <c r="I124" s="318"/>
      <c r="L124" s="54"/>
      <c r="M124" s="313"/>
    </row>
    <row r="125" ht="14.25" customHeight="1">
      <c r="E125" s="322"/>
      <c r="F125" s="315"/>
      <c r="G125" s="315"/>
      <c r="H125" s="315"/>
      <c r="I125" s="318"/>
      <c r="L125" s="54"/>
      <c r="M125" s="313"/>
    </row>
    <row r="126" ht="14.25" customHeight="1">
      <c r="E126" s="322"/>
      <c r="F126" s="315"/>
      <c r="G126" s="315"/>
      <c r="H126" s="315"/>
      <c r="I126" s="318"/>
      <c r="L126" s="54"/>
      <c r="M126" s="313"/>
    </row>
    <row r="127" ht="14.25" customHeight="1">
      <c r="E127" s="322"/>
      <c r="F127" s="315"/>
      <c r="G127" s="315"/>
      <c r="H127" s="315"/>
      <c r="I127" s="318"/>
      <c r="L127" s="54"/>
      <c r="M127" s="313"/>
    </row>
    <row r="128" ht="14.25" customHeight="1">
      <c r="E128" s="322"/>
      <c r="F128" s="315"/>
      <c r="G128" s="315"/>
      <c r="H128" s="315"/>
      <c r="I128" s="318"/>
      <c r="L128" s="54"/>
      <c r="M128" s="313"/>
    </row>
    <row r="129" ht="14.25" customHeight="1">
      <c r="E129" s="322"/>
      <c r="F129" s="315"/>
      <c r="G129" s="315"/>
      <c r="H129" s="315"/>
      <c r="I129" s="318"/>
      <c r="L129" s="54"/>
      <c r="M129" s="313"/>
    </row>
    <row r="130" ht="14.25" customHeight="1">
      <c r="E130" s="322"/>
      <c r="F130" s="315"/>
      <c r="G130" s="315"/>
      <c r="H130" s="315"/>
      <c r="I130" s="318"/>
      <c r="L130" s="54"/>
      <c r="M130" s="313"/>
    </row>
    <row r="131" ht="14.25" customHeight="1">
      <c r="E131" s="322"/>
      <c r="F131" s="315"/>
      <c r="G131" s="315"/>
      <c r="H131" s="315"/>
      <c r="I131" s="318"/>
      <c r="L131" s="54"/>
      <c r="M131" s="313"/>
    </row>
    <row r="132" ht="14.25" customHeight="1">
      <c r="E132" s="322"/>
      <c r="F132" s="315"/>
      <c r="G132" s="315"/>
      <c r="H132" s="315"/>
      <c r="I132" s="318"/>
      <c r="L132" s="54"/>
      <c r="M132" s="313"/>
    </row>
    <row r="133" ht="14.25" customHeight="1">
      <c r="E133" s="322"/>
      <c r="F133" s="315"/>
      <c r="G133" s="315"/>
      <c r="H133" s="315"/>
      <c r="I133" s="318"/>
      <c r="L133" s="54"/>
      <c r="M133" s="313"/>
    </row>
    <row r="134" ht="14.25" customHeight="1">
      <c r="E134" s="322"/>
      <c r="F134" s="315"/>
      <c r="G134" s="315"/>
      <c r="H134" s="315"/>
      <c r="I134" s="318"/>
      <c r="L134" s="54"/>
      <c r="M134" s="313"/>
    </row>
    <row r="135" ht="14.25" customHeight="1">
      <c r="E135" s="322"/>
      <c r="F135" s="315"/>
      <c r="G135" s="315"/>
      <c r="H135" s="315"/>
      <c r="I135" s="318"/>
      <c r="L135" s="54"/>
      <c r="M135" s="313"/>
    </row>
    <row r="136" ht="14.25" customHeight="1">
      <c r="E136" s="322"/>
      <c r="F136" s="315"/>
      <c r="G136" s="315"/>
      <c r="H136" s="315"/>
      <c r="I136" s="318"/>
      <c r="L136" s="54"/>
      <c r="M136" s="313"/>
    </row>
    <row r="137" ht="14.25" customHeight="1">
      <c r="E137" s="322"/>
      <c r="F137" s="315"/>
      <c r="G137" s="315"/>
      <c r="H137" s="315"/>
      <c r="I137" s="318"/>
      <c r="L137" s="54"/>
      <c r="M137" s="313"/>
    </row>
    <row r="138" ht="14.25" customHeight="1">
      <c r="E138" s="322"/>
      <c r="F138" s="315"/>
      <c r="G138" s="315"/>
      <c r="H138" s="315"/>
      <c r="I138" s="318"/>
      <c r="L138" s="54"/>
      <c r="M138" s="313"/>
    </row>
    <row r="139" ht="14.25" customHeight="1">
      <c r="E139" s="322"/>
      <c r="F139" s="315"/>
      <c r="G139" s="315"/>
      <c r="H139" s="315"/>
      <c r="I139" s="318"/>
      <c r="L139" s="54"/>
      <c r="M139" s="313"/>
    </row>
    <row r="140" ht="14.25" customHeight="1">
      <c r="E140" s="322"/>
      <c r="F140" s="315"/>
      <c r="G140" s="315"/>
      <c r="H140" s="315"/>
      <c r="I140" s="318"/>
      <c r="L140" s="54"/>
      <c r="M140" s="313"/>
    </row>
    <row r="141" ht="14.25" customHeight="1">
      <c r="E141" s="322"/>
      <c r="F141" s="315"/>
      <c r="G141" s="315"/>
      <c r="H141" s="315"/>
      <c r="I141" s="318"/>
      <c r="L141" s="54"/>
      <c r="M141" s="313"/>
    </row>
    <row r="142" ht="14.25" customHeight="1">
      <c r="E142" s="322"/>
      <c r="F142" s="315"/>
      <c r="G142" s="315"/>
      <c r="H142" s="315"/>
      <c r="I142" s="318"/>
      <c r="L142" s="54"/>
      <c r="M142" s="313"/>
    </row>
    <row r="143" ht="14.25" customHeight="1">
      <c r="E143" s="322"/>
      <c r="F143" s="315"/>
      <c r="G143" s="315"/>
      <c r="H143" s="315"/>
      <c r="I143" s="318"/>
      <c r="L143" s="54"/>
      <c r="M143" s="313"/>
    </row>
    <row r="144" ht="14.25" customHeight="1">
      <c r="E144" s="322"/>
      <c r="F144" s="315"/>
      <c r="G144" s="315"/>
      <c r="H144" s="315"/>
      <c r="I144" s="318"/>
      <c r="L144" s="54"/>
      <c r="M144" s="313"/>
    </row>
    <row r="145" ht="14.25" customHeight="1">
      <c r="E145" s="322"/>
      <c r="F145" s="315"/>
      <c r="G145" s="315"/>
      <c r="H145" s="315"/>
      <c r="I145" s="318"/>
      <c r="L145" s="54"/>
      <c r="M145" s="313"/>
    </row>
    <row r="146" ht="14.25" customHeight="1">
      <c r="E146" s="322"/>
      <c r="F146" s="315"/>
      <c r="G146" s="315"/>
      <c r="H146" s="315"/>
      <c r="I146" s="318"/>
      <c r="L146" s="54"/>
      <c r="M146" s="313"/>
    </row>
    <row r="147" ht="14.25" customHeight="1">
      <c r="E147" s="322"/>
      <c r="F147" s="315"/>
      <c r="G147" s="315"/>
      <c r="H147" s="315"/>
      <c r="I147" s="318"/>
      <c r="L147" s="54"/>
      <c r="M147" s="313"/>
    </row>
    <row r="148" ht="14.25" customHeight="1">
      <c r="E148" s="322"/>
      <c r="F148" s="315"/>
      <c r="G148" s="315"/>
      <c r="H148" s="315"/>
      <c r="I148" s="318"/>
      <c r="L148" s="54"/>
      <c r="M148" s="313"/>
    </row>
    <row r="149" ht="14.25" customHeight="1">
      <c r="E149" s="322"/>
      <c r="F149" s="315"/>
      <c r="G149" s="315"/>
      <c r="H149" s="315"/>
      <c r="I149" s="318"/>
      <c r="L149" s="54"/>
      <c r="M149" s="313"/>
    </row>
    <row r="150" ht="14.25" customHeight="1">
      <c r="E150" s="322"/>
      <c r="F150" s="315"/>
      <c r="G150" s="315"/>
      <c r="H150" s="315"/>
      <c r="I150" s="318"/>
      <c r="L150" s="54"/>
      <c r="M150" s="313"/>
    </row>
    <row r="151" ht="14.25" customHeight="1">
      <c r="E151" s="322"/>
      <c r="F151" s="315"/>
      <c r="G151" s="315"/>
      <c r="H151" s="315"/>
      <c r="I151" s="318"/>
      <c r="L151" s="54"/>
      <c r="M151" s="313"/>
    </row>
    <row r="152" ht="14.25" customHeight="1">
      <c r="E152" s="322"/>
      <c r="F152" s="315"/>
      <c r="G152" s="315"/>
      <c r="H152" s="315"/>
      <c r="I152" s="318"/>
      <c r="L152" s="54"/>
      <c r="M152" s="313"/>
    </row>
    <row r="153" ht="14.25" customHeight="1">
      <c r="E153" s="322"/>
      <c r="F153" s="315"/>
      <c r="G153" s="315"/>
      <c r="H153" s="315"/>
      <c r="I153" s="318"/>
      <c r="L153" s="54"/>
      <c r="M153" s="313"/>
    </row>
    <row r="154" ht="14.25" customHeight="1">
      <c r="E154" s="322"/>
      <c r="F154" s="315"/>
      <c r="G154" s="315"/>
      <c r="H154" s="315"/>
      <c r="I154" s="318"/>
      <c r="L154" s="54"/>
      <c r="M154" s="313"/>
    </row>
    <row r="155" ht="14.25" customHeight="1">
      <c r="E155" s="322"/>
      <c r="F155" s="315"/>
      <c r="G155" s="315"/>
      <c r="H155" s="315"/>
      <c r="I155" s="318"/>
      <c r="L155" s="54"/>
      <c r="M155" s="313"/>
    </row>
    <row r="156" ht="14.25" customHeight="1">
      <c r="E156" s="322"/>
      <c r="F156" s="315"/>
      <c r="G156" s="315"/>
      <c r="H156" s="315"/>
      <c r="I156" s="318"/>
      <c r="L156" s="54"/>
      <c r="M156" s="313"/>
    </row>
    <row r="157" ht="14.25" customHeight="1">
      <c r="E157" s="322"/>
      <c r="F157" s="315"/>
      <c r="G157" s="315"/>
      <c r="H157" s="315"/>
      <c r="I157" s="318"/>
      <c r="L157" s="54"/>
      <c r="M157" s="313"/>
    </row>
    <row r="158" ht="14.25" customHeight="1">
      <c r="E158" s="322"/>
      <c r="F158" s="315"/>
      <c r="G158" s="315"/>
      <c r="H158" s="315"/>
      <c r="I158" s="318"/>
      <c r="L158" s="54"/>
      <c r="M158" s="313"/>
    </row>
    <row r="159" ht="14.25" customHeight="1">
      <c r="E159" s="322"/>
      <c r="F159" s="315"/>
      <c r="G159" s="315"/>
      <c r="H159" s="315"/>
      <c r="I159" s="318"/>
      <c r="L159" s="54"/>
      <c r="M159" s="313"/>
    </row>
    <row r="160" ht="14.25" customHeight="1">
      <c r="E160" s="322"/>
      <c r="F160" s="315"/>
      <c r="G160" s="315"/>
      <c r="H160" s="315"/>
      <c r="I160" s="318"/>
      <c r="L160" s="54"/>
      <c r="M160" s="313"/>
    </row>
    <row r="161" ht="14.25" customHeight="1">
      <c r="E161" s="322"/>
      <c r="F161" s="315"/>
      <c r="G161" s="315"/>
      <c r="H161" s="315"/>
      <c r="I161" s="318"/>
      <c r="L161" s="54"/>
      <c r="M161" s="313"/>
    </row>
    <row r="162" ht="14.25" customHeight="1">
      <c r="E162" s="322"/>
      <c r="F162" s="315"/>
      <c r="G162" s="315"/>
      <c r="H162" s="315"/>
      <c r="I162" s="318"/>
      <c r="L162" s="54"/>
      <c r="M162" s="313"/>
    </row>
    <row r="163" ht="14.25" customHeight="1">
      <c r="E163" s="322"/>
      <c r="F163" s="315"/>
      <c r="G163" s="315"/>
      <c r="H163" s="315"/>
      <c r="I163" s="318"/>
      <c r="L163" s="54"/>
      <c r="M163" s="313"/>
    </row>
    <row r="164" ht="14.25" customHeight="1">
      <c r="E164" s="322"/>
      <c r="F164" s="315"/>
      <c r="G164" s="315"/>
      <c r="H164" s="315"/>
      <c r="I164" s="318"/>
      <c r="L164" s="54"/>
      <c r="M164" s="313"/>
    </row>
    <row r="165" ht="14.25" customHeight="1">
      <c r="E165" s="322"/>
      <c r="F165" s="315"/>
      <c r="G165" s="315"/>
      <c r="H165" s="315"/>
      <c r="I165" s="318"/>
      <c r="L165" s="54"/>
      <c r="M165" s="313"/>
    </row>
    <row r="166" ht="14.25" customHeight="1">
      <c r="E166" s="322"/>
      <c r="F166" s="315"/>
      <c r="G166" s="315"/>
      <c r="H166" s="315"/>
      <c r="I166" s="318"/>
      <c r="L166" s="54"/>
      <c r="M166" s="313"/>
    </row>
    <row r="167" ht="14.25" customHeight="1">
      <c r="E167" s="322"/>
      <c r="F167" s="315"/>
      <c r="G167" s="315"/>
      <c r="H167" s="315"/>
      <c r="I167" s="318"/>
      <c r="L167" s="54"/>
      <c r="M167" s="313"/>
    </row>
    <row r="168" ht="14.25" customHeight="1">
      <c r="E168" s="322"/>
      <c r="F168" s="315"/>
      <c r="G168" s="315"/>
      <c r="H168" s="315"/>
      <c r="I168" s="318"/>
      <c r="L168" s="54"/>
      <c r="M168" s="313"/>
    </row>
    <row r="169" ht="14.25" customHeight="1">
      <c r="E169" s="322"/>
      <c r="F169" s="315"/>
      <c r="G169" s="315"/>
      <c r="H169" s="315"/>
      <c r="I169" s="318"/>
      <c r="L169" s="54"/>
      <c r="M169" s="313"/>
    </row>
    <row r="170" ht="14.25" customHeight="1">
      <c r="E170" s="322"/>
      <c r="F170" s="315"/>
      <c r="G170" s="315"/>
      <c r="H170" s="315"/>
      <c r="I170" s="318"/>
      <c r="L170" s="54"/>
      <c r="M170" s="313"/>
    </row>
    <row r="171" ht="14.25" customHeight="1">
      <c r="E171" s="322"/>
      <c r="F171" s="315"/>
      <c r="G171" s="315"/>
      <c r="H171" s="315"/>
      <c r="I171" s="318"/>
      <c r="L171" s="54"/>
      <c r="M171" s="313"/>
    </row>
    <row r="172" ht="14.25" customHeight="1">
      <c r="E172" s="322"/>
      <c r="F172" s="315"/>
      <c r="G172" s="315"/>
      <c r="H172" s="315"/>
      <c r="I172" s="318"/>
      <c r="L172" s="54"/>
      <c r="M172" s="313"/>
    </row>
    <row r="173" ht="14.25" customHeight="1">
      <c r="E173" s="322"/>
      <c r="F173" s="315"/>
      <c r="G173" s="315"/>
      <c r="H173" s="315"/>
      <c r="I173" s="318"/>
      <c r="L173" s="54"/>
      <c r="M173" s="313"/>
    </row>
    <row r="174" ht="14.25" customHeight="1">
      <c r="E174" s="322"/>
      <c r="F174" s="315"/>
      <c r="G174" s="315"/>
      <c r="H174" s="315"/>
      <c r="I174" s="318"/>
      <c r="L174" s="54"/>
      <c r="M174" s="313"/>
    </row>
    <row r="175" ht="14.25" customHeight="1">
      <c r="E175" s="322"/>
      <c r="F175" s="315"/>
      <c r="G175" s="315"/>
      <c r="H175" s="315"/>
      <c r="I175" s="318"/>
      <c r="L175" s="54"/>
      <c r="M175" s="313"/>
    </row>
    <row r="176" ht="14.25" customHeight="1">
      <c r="E176" s="322"/>
      <c r="F176" s="315"/>
      <c r="G176" s="315"/>
      <c r="H176" s="315"/>
      <c r="I176" s="318"/>
      <c r="L176" s="54"/>
      <c r="M176" s="313"/>
    </row>
    <row r="177" ht="14.25" customHeight="1">
      <c r="E177" s="322"/>
      <c r="F177" s="315"/>
      <c r="G177" s="315"/>
      <c r="H177" s="315"/>
      <c r="I177" s="318"/>
      <c r="L177" s="54"/>
      <c r="M177" s="313"/>
    </row>
    <row r="178" ht="14.25" customHeight="1">
      <c r="E178" s="322"/>
      <c r="F178" s="315"/>
      <c r="G178" s="315"/>
      <c r="H178" s="315"/>
      <c r="I178" s="318"/>
      <c r="L178" s="54"/>
      <c r="M178" s="313"/>
    </row>
    <row r="179" ht="14.25" customHeight="1">
      <c r="E179" s="322"/>
      <c r="F179" s="315"/>
      <c r="G179" s="315"/>
      <c r="H179" s="315"/>
      <c r="I179" s="318"/>
      <c r="L179" s="54"/>
      <c r="M179" s="313"/>
    </row>
    <row r="180" ht="14.25" customHeight="1">
      <c r="E180" s="322"/>
      <c r="F180" s="315"/>
      <c r="G180" s="315"/>
      <c r="H180" s="315"/>
      <c r="I180" s="318"/>
      <c r="L180" s="54"/>
      <c r="M180" s="313"/>
    </row>
    <row r="181" ht="14.25" customHeight="1">
      <c r="E181" s="322"/>
      <c r="F181" s="315"/>
      <c r="G181" s="315"/>
      <c r="H181" s="315"/>
      <c r="I181" s="318"/>
      <c r="L181" s="54"/>
      <c r="M181" s="313"/>
    </row>
    <row r="182" ht="14.25" customHeight="1">
      <c r="E182" s="322"/>
      <c r="F182" s="315"/>
      <c r="G182" s="315"/>
      <c r="H182" s="315"/>
      <c r="I182" s="318"/>
      <c r="L182" s="54"/>
      <c r="M182" s="313"/>
    </row>
    <row r="183" ht="14.25" customHeight="1">
      <c r="E183" s="322"/>
      <c r="F183" s="315"/>
      <c r="G183" s="315"/>
      <c r="H183" s="315"/>
      <c r="I183" s="318"/>
      <c r="L183" s="54"/>
      <c r="M183" s="313"/>
    </row>
    <row r="184" ht="14.25" customHeight="1">
      <c r="E184" s="322"/>
      <c r="F184" s="315"/>
      <c r="G184" s="315"/>
      <c r="H184" s="315"/>
      <c r="I184" s="318"/>
      <c r="L184" s="54"/>
      <c r="M184" s="313"/>
    </row>
    <row r="185" ht="14.25" customHeight="1">
      <c r="E185" s="322"/>
      <c r="F185" s="315"/>
      <c r="G185" s="315"/>
      <c r="H185" s="315"/>
      <c r="I185" s="318"/>
      <c r="L185" s="54"/>
      <c r="M185" s="313"/>
    </row>
    <row r="186" ht="14.25" customHeight="1">
      <c r="E186" s="322"/>
      <c r="F186" s="315"/>
      <c r="G186" s="315"/>
      <c r="H186" s="315"/>
      <c r="I186" s="318"/>
      <c r="L186" s="54"/>
      <c r="M186" s="313"/>
    </row>
    <row r="187" ht="14.25" customHeight="1">
      <c r="E187" s="322"/>
      <c r="F187" s="315"/>
      <c r="G187" s="315"/>
      <c r="H187" s="315"/>
      <c r="I187" s="318"/>
      <c r="L187" s="54"/>
      <c r="M187" s="313"/>
    </row>
    <row r="188" ht="14.25" customHeight="1">
      <c r="E188" s="322"/>
      <c r="F188" s="315"/>
      <c r="G188" s="315"/>
      <c r="H188" s="315"/>
      <c r="I188" s="318"/>
      <c r="L188" s="54"/>
      <c r="M188" s="313"/>
    </row>
    <row r="189" ht="14.25" customHeight="1">
      <c r="E189" s="322"/>
      <c r="F189" s="315"/>
      <c r="G189" s="315"/>
      <c r="H189" s="315"/>
      <c r="I189" s="318"/>
      <c r="L189" s="54"/>
      <c r="M189" s="313"/>
    </row>
    <row r="190" ht="14.25" customHeight="1">
      <c r="E190" s="322"/>
      <c r="F190" s="315"/>
      <c r="G190" s="315"/>
      <c r="H190" s="315"/>
      <c r="I190" s="318"/>
      <c r="L190" s="54"/>
      <c r="M190" s="313"/>
    </row>
    <row r="191" ht="14.25" customHeight="1">
      <c r="E191" s="322"/>
      <c r="F191" s="315"/>
      <c r="G191" s="315"/>
      <c r="H191" s="315"/>
      <c r="I191" s="318"/>
      <c r="L191" s="54"/>
      <c r="M191" s="313"/>
    </row>
    <row r="192" ht="14.25" customHeight="1">
      <c r="E192" s="322"/>
      <c r="F192" s="315"/>
      <c r="G192" s="315"/>
      <c r="H192" s="315"/>
      <c r="I192" s="318"/>
      <c r="L192" s="54"/>
      <c r="M192" s="313"/>
    </row>
    <row r="193" ht="14.25" customHeight="1">
      <c r="E193" s="322"/>
      <c r="F193" s="315"/>
      <c r="G193" s="315"/>
      <c r="H193" s="315"/>
      <c r="I193" s="318"/>
      <c r="L193" s="54"/>
      <c r="M193" s="313"/>
    </row>
    <row r="194" ht="14.25" customHeight="1">
      <c r="E194" s="322"/>
      <c r="F194" s="315"/>
      <c r="G194" s="315"/>
      <c r="H194" s="315"/>
      <c r="I194" s="318"/>
      <c r="L194" s="54"/>
      <c r="M194" s="313"/>
    </row>
    <row r="195" ht="14.25" customHeight="1">
      <c r="E195" s="322"/>
      <c r="F195" s="315"/>
      <c r="G195" s="315"/>
      <c r="H195" s="315"/>
      <c r="I195" s="318"/>
      <c r="L195" s="54"/>
      <c r="M195" s="313"/>
    </row>
    <row r="196" ht="14.25" customHeight="1">
      <c r="E196" s="322"/>
      <c r="F196" s="315"/>
      <c r="G196" s="315"/>
      <c r="H196" s="315"/>
      <c r="I196" s="318"/>
      <c r="L196" s="54"/>
      <c r="M196" s="313"/>
    </row>
    <row r="197" ht="14.25" customHeight="1">
      <c r="E197" s="322"/>
      <c r="F197" s="315"/>
      <c r="G197" s="315"/>
      <c r="H197" s="315"/>
      <c r="I197" s="318"/>
      <c r="L197" s="54"/>
      <c r="M197" s="313"/>
    </row>
    <row r="198" ht="14.25" customHeight="1">
      <c r="E198" s="322"/>
      <c r="F198" s="315"/>
      <c r="G198" s="315"/>
      <c r="H198" s="315"/>
      <c r="I198" s="318"/>
      <c r="L198" s="54"/>
      <c r="M198" s="313"/>
    </row>
    <row r="199" ht="14.25" customHeight="1">
      <c r="E199" s="322"/>
      <c r="F199" s="315"/>
      <c r="G199" s="315"/>
      <c r="H199" s="315"/>
      <c r="I199" s="318"/>
      <c r="L199" s="54"/>
      <c r="M199" s="313"/>
    </row>
    <row r="200" ht="14.25" customHeight="1">
      <c r="E200" s="322"/>
      <c r="F200" s="315"/>
      <c r="G200" s="315"/>
      <c r="H200" s="315"/>
      <c r="I200" s="318"/>
      <c r="L200" s="54"/>
      <c r="M200" s="313"/>
    </row>
    <row r="201" ht="14.25" customHeight="1">
      <c r="E201" s="322"/>
      <c r="F201" s="315"/>
      <c r="G201" s="315"/>
      <c r="H201" s="315"/>
      <c r="I201" s="318"/>
      <c r="L201" s="54"/>
      <c r="M201" s="313"/>
    </row>
    <row r="202" ht="14.25" customHeight="1">
      <c r="E202" s="322"/>
      <c r="F202" s="315"/>
      <c r="G202" s="315"/>
      <c r="H202" s="315"/>
      <c r="I202" s="318"/>
      <c r="L202" s="54"/>
      <c r="M202" s="313"/>
    </row>
    <row r="203" ht="14.25" customHeight="1">
      <c r="E203" s="322"/>
      <c r="F203" s="315"/>
      <c r="G203" s="315"/>
      <c r="H203" s="315"/>
      <c r="I203" s="318"/>
      <c r="L203" s="54"/>
      <c r="M203" s="313"/>
    </row>
    <row r="204" ht="14.25" customHeight="1">
      <c r="E204" s="322"/>
      <c r="F204" s="315"/>
      <c r="G204" s="315"/>
      <c r="H204" s="315"/>
      <c r="I204" s="318"/>
      <c r="L204" s="54"/>
      <c r="M204" s="313"/>
    </row>
    <row r="205" ht="14.25" customHeight="1">
      <c r="E205" s="322"/>
      <c r="F205" s="315"/>
      <c r="G205" s="315"/>
      <c r="H205" s="315"/>
      <c r="I205" s="318"/>
      <c r="L205" s="54"/>
      <c r="M205" s="313"/>
    </row>
    <row r="206" ht="14.25" customHeight="1">
      <c r="E206" s="322"/>
      <c r="F206" s="315"/>
      <c r="G206" s="315"/>
      <c r="H206" s="315"/>
      <c r="I206" s="318"/>
      <c r="L206" s="54"/>
      <c r="M206" s="313"/>
    </row>
    <row r="207" ht="14.25" customHeight="1">
      <c r="E207" s="322"/>
      <c r="F207" s="315"/>
      <c r="G207" s="315"/>
      <c r="H207" s="315"/>
      <c r="I207" s="318"/>
      <c r="L207" s="54"/>
      <c r="M207" s="313"/>
    </row>
    <row r="208" ht="14.25" customHeight="1">
      <c r="E208" s="322"/>
      <c r="F208" s="315"/>
      <c r="G208" s="315"/>
      <c r="H208" s="315"/>
      <c r="I208" s="318"/>
      <c r="L208" s="54"/>
      <c r="M208" s="313"/>
    </row>
    <row r="209" ht="14.25" customHeight="1">
      <c r="E209" s="322"/>
      <c r="F209" s="315"/>
      <c r="G209" s="315"/>
      <c r="H209" s="315"/>
      <c r="I209" s="318"/>
      <c r="L209" s="54"/>
      <c r="M209" s="313"/>
    </row>
    <row r="210" ht="14.25" customHeight="1">
      <c r="E210" s="322"/>
      <c r="F210" s="315"/>
      <c r="G210" s="315"/>
      <c r="H210" s="315"/>
      <c r="I210" s="318"/>
      <c r="L210" s="54"/>
      <c r="M210" s="313"/>
    </row>
    <row r="211" ht="14.25" customHeight="1">
      <c r="E211" s="322"/>
      <c r="F211" s="315"/>
      <c r="G211" s="315"/>
      <c r="H211" s="315"/>
      <c r="I211" s="318"/>
      <c r="L211" s="54"/>
      <c r="M211" s="313"/>
    </row>
    <row r="212" ht="14.25" customHeight="1">
      <c r="E212" s="322"/>
      <c r="F212" s="315"/>
      <c r="G212" s="315"/>
      <c r="H212" s="315"/>
      <c r="I212" s="318"/>
      <c r="L212" s="54"/>
      <c r="M212" s="313"/>
    </row>
    <row r="213" ht="14.25" customHeight="1">
      <c r="E213" s="322"/>
      <c r="F213" s="315"/>
      <c r="G213" s="315"/>
      <c r="H213" s="315"/>
      <c r="I213" s="318"/>
      <c r="L213" s="54"/>
      <c r="M213" s="313"/>
    </row>
    <row r="214" ht="14.25" customHeight="1">
      <c r="E214" s="322"/>
      <c r="F214" s="315"/>
      <c r="G214" s="315"/>
      <c r="H214" s="315"/>
      <c r="I214" s="318"/>
      <c r="L214" s="54"/>
      <c r="M214" s="313"/>
    </row>
    <row r="215" ht="14.25" customHeight="1">
      <c r="E215" s="322"/>
      <c r="F215" s="315"/>
      <c r="G215" s="315"/>
      <c r="H215" s="315"/>
      <c r="I215" s="318"/>
      <c r="L215" s="54"/>
      <c r="M215" s="313"/>
    </row>
    <row r="216" ht="14.25" customHeight="1">
      <c r="E216" s="322"/>
      <c r="F216" s="315"/>
      <c r="G216" s="315"/>
      <c r="H216" s="315"/>
      <c r="I216" s="318"/>
      <c r="L216" s="54"/>
      <c r="M216" s="313"/>
    </row>
    <row r="217" ht="14.25" customHeight="1">
      <c r="E217" s="322"/>
      <c r="F217" s="315"/>
      <c r="G217" s="315"/>
      <c r="H217" s="315"/>
      <c r="I217" s="318"/>
      <c r="L217" s="54"/>
      <c r="M217" s="313"/>
    </row>
    <row r="218" ht="14.25" customHeight="1">
      <c r="E218" s="322"/>
      <c r="F218" s="315"/>
      <c r="G218" s="315"/>
      <c r="H218" s="315"/>
      <c r="I218" s="318"/>
      <c r="L218" s="54"/>
      <c r="M218" s="313"/>
    </row>
    <row r="219" ht="14.25" customHeight="1">
      <c r="E219" s="322"/>
      <c r="F219" s="315"/>
      <c r="G219" s="315"/>
      <c r="H219" s="315"/>
      <c r="I219" s="318"/>
      <c r="L219" s="54"/>
      <c r="M219" s="313"/>
    </row>
    <row r="220" ht="14.25" customHeight="1">
      <c r="E220" s="322"/>
      <c r="F220" s="315"/>
      <c r="G220" s="315"/>
      <c r="H220" s="315"/>
      <c r="I220" s="318"/>
      <c r="L220" s="54"/>
      <c r="M220" s="313"/>
    </row>
    <row r="221" ht="14.25" customHeight="1">
      <c r="E221" s="322"/>
      <c r="F221" s="315"/>
      <c r="G221" s="315"/>
      <c r="H221" s="315"/>
      <c r="I221" s="318"/>
      <c r="L221" s="54"/>
      <c r="M221" s="313"/>
    </row>
    <row r="222" ht="14.25" customHeight="1">
      <c r="E222" s="322"/>
      <c r="F222" s="315"/>
      <c r="G222" s="315"/>
      <c r="H222" s="315"/>
      <c r="I222" s="318"/>
      <c r="L222" s="54"/>
      <c r="M222" s="313"/>
    </row>
    <row r="223" ht="14.25" customHeight="1">
      <c r="E223" s="322"/>
      <c r="F223" s="315"/>
      <c r="G223" s="315"/>
      <c r="H223" s="315"/>
      <c r="I223" s="318"/>
      <c r="L223" s="54"/>
      <c r="M223" s="313"/>
    </row>
    <row r="224" ht="14.25" customHeight="1">
      <c r="E224" s="322"/>
      <c r="F224" s="315"/>
      <c r="G224" s="315"/>
      <c r="H224" s="315"/>
      <c r="I224" s="318"/>
      <c r="L224" s="54"/>
      <c r="M224" s="313"/>
    </row>
    <row r="225" ht="14.25" customHeight="1">
      <c r="E225" s="322"/>
      <c r="F225" s="315"/>
      <c r="G225" s="315"/>
      <c r="H225" s="315"/>
      <c r="I225" s="318"/>
      <c r="L225" s="54"/>
      <c r="M225" s="313"/>
    </row>
    <row r="226" ht="14.25" customHeight="1">
      <c r="E226" s="322"/>
      <c r="F226" s="315"/>
      <c r="G226" s="315"/>
      <c r="H226" s="315"/>
      <c r="I226" s="318"/>
      <c r="L226" s="54"/>
      <c r="M226" s="313"/>
    </row>
    <row r="227" ht="14.25" customHeight="1">
      <c r="E227" s="322"/>
      <c r="F227" s="315"/>
      <c r="G227" s="315"/>
      <c r="H227" s="315"/>
      <c r="I227" s="318"/>
      <c r="L227" s="54"/>
      <c r="M227" s="313"/>
    </row>
    <row r="228" ht="14.25" customHeight="1">
      <c r="E228" s="322"/>
      <c r="F228" s="315"/>
      <c r="G228" s="315"/>
      <c r="H228" s="315"/>
      <c r="I228" s="318"/>
      <c r="L228" s="54"/>
      <c r="M228" s="313"/>
    </row>
    <row r="229" ht="14.25" customHeight="1">
      <c r="E229" s="322"/>
      <c r="F229" s="315"/>
      <c r="G229" s="315"/>
      <c r="H229" s="315"/>
      <c r="I229" s="318"/>
      <c r="L229" s="54"/>
      <c r="M229" s="313"/>
    </row>
    <row r="230" ht="14.25" customHeight="1">
      <c r="E230" s="322"/>
      <c r="F230" s="315"/>
      <c r="G230" s="315"/>
      <c r="H230" s="315"/>
      <c r="I230" s="318"/>
      <c r="L230" s="54"/>
      <c r="M230" s="313"/>
    </row>
    <row r="231" ht="14.25" customHeight="1">
      <c r="E231" s="322"/>
      <c r="F231" s="315"/>
      <c r="G231" s="315"/>
      <c r="H231" s="315"/>
      <c r="I231" s="318"/>
      <c r="L231" s="54"/>
      <c r="M231" s="313"/>
    </row>
    <row r="232" ht="14.25" customHeight="1">
      <c r="E232" s="322"/>
      <c r="F232" s="315"/>
      <c r="G232" s="315"/>
      <c r="H232" s="315"/>
      <c r="I232" s="318"/>
      <c r="L232" s="54"/>
      <c r="M232" s="313"/>
    </row>
    <row r="233" ht="14.25" customHeight="1">
      <c r="E233" s="322"/>
      <c r="F233" s="315"/>
      <c r="G233" s="315"/>
      <c r="H233" s="315"/>
      <c r="I233" s="318"/>
      <c r="L233" s="54"/>
      <c r="M233" s="313"/>
    </row>
    <row r="234" ht="14.25" customHeight="1">
      <c r="E234" s="322"/>
      <c r="F234" s="315"/>
      <c r="G234" s="315"/>
      <c r="H234" s="315"/>
      <c r="I234" s="318"/>
      <c r="L234" s="54"/>
      <c r="M234" s="313"/>
    </row>
    <row r="235" ht="14.25" customHeight="1">
      <c r="E235" s="322"/>
      <c r="F235" s="315"/>
      <c r="G235" s="315"/>
      <c r="H235" s="315"/>
      <c r="I235" s="318"/>
      <c r="L235" s="54"/>
      <c r="M235" s="313"/>
    </row>
    <row r="236" ht="14.25" customHeight="1">
      <c r="E236" s="322"/>
      <c r="F236" s="315"/>
      <c r="G236" s="315"/>
      <c r="H236" s="315"/>
      <c r="I236" s="318"/>
      <c r="L236" s="54"/>
      <c r="M236" s="313"/>
    </row>
    <row r="237" ht="14.25" customHeight="1">
      <c r="E237" s="322"/>
      <c r="F237" s="315"/>
      <c r="G237" s="315"/>
      <c r="H237" s="315"/>
      <c r="I237" s="318"/>
      <c r="L237" s="54"/>
      <c r="M237" s="313"/>
    </row>
    <row r="238" ht="14.25" customHeight="1">
      <c r="E238" s="322"/>
      <c r="F238" s="315"/>
      <c r="G238" s="315"/>
      <c r="H238" s="315"/>
      <c r="I238" s="318"/>
      <c r="L238" s="54"/>
      <c r="M238" s="313"/>
    </row>
    <row r="239" ht="14.25" customHeight="1">
      <c r="E239" s="322"/>
      <c r="F239" s="315"/>
      <c r="G239" s="315"/>
      <c r="H239" s="315"/>
      <c r="I239" s="318"/>
      <c r="L239" s="54"/>
      <c r="M239" s="313"/>
    </row>
    <row r="240" ht="14.25" customHeight="1">
      <c r="E240" s="322"/>
      <c r="F240" s="315"/>
      <c r="G240" s="315"/>
      <c r="H240" s="315"/>
      <c r="I240" s="318"/>
      <c r="L240" s="54"/>
      <c r="M240" s="313"/>
    </row>
    <row r="241" ht="14.25" customHeight="1">
      <c r="E241" s="322"/>
      <c r="F241" s="315"/>
      <c r="G241" s="315"/>
      <c r="H241" s="315"/>
      <c r="I241" s="318"/>
      <c r="L241" s="54"/>
      <c r="M241" s="313"/>
    </row>
    <row r="242" ht="14.25" customHeight="1">
      <c r="E242" s="322"/>
      <c r="F242" s="315"/>
      <c r="G242" s="315"/>
      <c r="H242" s="315"/>
      <c r="I242" s="318"/>
      <c r="L242" s="54"/>
      <c r="M242" s="313"/>
    </row>
    <row r="243" ht="14.25" customHeight="1">
      <c r="E243" s="322"/>
      <c r="F243" s="315"/>
      <c r="G243" s="315"/>
      <c r="H243" s="315"/>
      <c r="I243" s="318"/>
      <c r="L243" s="54"/>
      <c r="M243" s="313"/>
    </row>
    <row r="244" ht="14.25" customHeight="1">
      <c r="E244" s="322"/>
      <c r="F244" s="315"/>
      <c r="G244" s="315"/>
      <c r="H244" s="315"/>
      <c r="I244" s="318"/>
      <c r="L244" s="54"/>
      <c r="M244" s="313"/>
    </row>
    <row r="245" ht="14.25" customHeight="1">
      <c r="E245" s="322"/>
      <c r="F245" s="315"/>
      <c r="G245" s="315"/>
      <c r="H245" s="315"/>
      <c r="I245" s="318"/>
      <c r="L245" s="54"/>
      <c r="M245" s="313"/>
    </row>
    <row r="246" ht="14.25" customHeight="1">
      <c r="E246" s="322"/>
      <c r="F246" s="315"/>
      <c r="G246" s="315"/>
      <c r="H246" s="315"/>
      <c r="I246" s="318"/>
      <c r="L246" s="54"/>
      <c r="M246" s="313"/>
    </row>
    <row r="247" ht="14.25" customHeight="1">
      <c r="E247" s="322"/>
      <c r="F247" s="315"/>
      <c r="G247" s="315"/>
      <c r="H247" s="315"/>
      <c r="I247" s="318"/>
      <c r="L247" s="54"/>
      <c r="M247" s="313"/>
    </row>
    <row r="248" ht="14.25" customHeight="1">
      <c r="E248" s="322"/>
      <c r="F248" s="315"/>
      <c r="G248" s="315"/>
      <c r="H248" s="315"/>
      <c r="I248" s="318"/>
      <c r="L248" s="54"/>
      <c r="M248" s="313"/>
    </row>
    <row r="249" ht="14.25" customHeight="1">
      <c r="E249" s="322"/>
      <c r="F249" s="315"/>
      <c r="G249" s="315"/>
      <c r="H249" s="315"/>
      <c r="I249" s="318"/>
      <c r="L249" s="54"/>
      <c r="M249" s="313"/>
    </row>
    <row r="250" ht="14.25" customHeight="1">
      <c r="E250" s="322"/>
      <c r="F250" s="315"/>
      <c r="G250" s="315"/>
      <c r="H250" s="315"/>
      <c r="I250" s="318"/>
      <c r="L250" s="54"/>
      <c r="M250" s="313"/>
    </row>
    <row r="251" ht="14.25" customHeight="1">
      <c r="E251" s="322"/>
      <c r="F251" s="315"/>
      <c r="G251" s="315"/>
      <c r="H251" s="315"/>
      <c r="I251" s="318"/>
      <c r="L251" s="54"/>
      <c r="M251" s="313"/>
    </row>
    <row r="252" ht="14.25" customHeight="1">
      <c r="E252" s="322"/>
      <c r="F252" s="315"/>
      <c r="G252" s="315"/>
      <c r="H252" s="315"/>
      <c r="I252" s="318"/>
      <c r="L252" s="54"/>
      <c r="M252" s="313"/>
    </row>
    <row r="253" ht="14.25" customHeight="1">
      <c r="E253" s="322"/>
      <c r="F253" s="315"/>
      <c r="G253" s="315"/>
      <c r="H253" s="315"/>
      <c r="I253" s="318"/>
      <c r="L253" s="54"/>
      <c r="M253" s="313"/>
    </row>
    <row r="254" ht="14.25" customHeight="1">
      <c r="E254" s="322"/>
      <c r="F254" s="315"/>
      <c r="G254" s="315"/>
      <c r="H254" s="315"/>
      <c r="I254" s="318"/>
      <c r="L254" s="54"/>
      <c r="M254" s="313"/>
    </row>
    <row r="255" ht="14.25" customHeight="1">
      <c r="E255" s="322"/>
      <c r="F255" s="315"/>
      <c r="G255" s="315"/>
      <c r="H255" s="315"/>
      <c r="I255" s="318"/>
      <c r="L255" s="54"/>
      <c r="M255" s="313"/>
    </row>
    <row r="256" ht="14.25" customHeight="1">
      <c r="E256" s="322"/>
      <c r="F256" s="315"/>
      <c r="G256" s="315"/>
      <c r="H256" s="315"/>
      <c r="I256" s="318"/>
      <c r="L256" s="54"/>
      <c r="M256" s="313"/>
    </row>
    <row r="257" ht="14.25" customHeight="1">
      <c r="E257" s="322"/>
      <c r="F257" s="315"/>
      <c r="G257" s="315"/>
      <c r="H257" s="315"/>
      <c r="I257" s="318"/>
      <c r="L257" s="54"/>
      <c r="M257" s="313"/>
    </row>
    <row r="258" ht="14.25" customHeight="1">
      <c r="E258" s="322"/>
      <c r="F258" s="315"/>
      <c r="G258" s="315"/>
      <c r="H258" s="315"/>
      <c r="I258" s="318"/>
      <c r="L258" s="54"/>
      <c r="M258" s="313"/>
    </row>
    <row r="259" ht="14.25" customHeight="1">
      <c r="E259" s="322"/>
      <c r="F259" s="315"/>
      <c r="G259" s="315"/>
      <c r="H259" s="315"/>
      <c r="I259" s="318"/>
      <c r="L259" s="54"/>
      <c r="M259" s="313"/>
    </row>
    <row r="260" ht="14.25" customHeight="1">
      <c r="E260" s="322"/>
      <c r="F260" s="315"/>
      <c r="G260" s="315"/>
      <c r="H260" s="315"/>
      <c r="I260" s="318"/>
      <c r="L260" s="54"/>
      <c r="M260" s="313"/>
    </row>
    <row r="261" ht="14.25" customHeight="1">
      <c r="E261" s="322"/>
      <c r="F261" s="315"/>
      <c r="G261" s="315"/>
      <c r="H261" s="315"/>
      <c r="I261" s="318"/>
      <c r="L261" s="54"/>
      <c r="M261" s="313"/>
    </row>
    <row r="262" ht="14.25" customHeight="1">
      <c r="E262" s="322"/>
      <c r="F262" s="315"/>
      <c r="G262" s="315"/>
      <c r="H262" s="315"/>
      <c r="I262" s="318"/>
      <c r="L262" s="54"/>
      <c r="M262" s="313"/>
    </row>
    <row r="263" ht="14.25" customHeight="1">
      <c r="E263" s="322"/>
      <c r="F263" s="315"/>
      <c r="G263" s="315"/>
      <c r="H263" s="315"/>
      <c r="I263" s="318"/>
      <c r="L263" s="54"/>
      <c r="M263" s="313"/>
    </row>
    <row r="264" ht="14.25" customHeight="1">
      <c r="E264" s="322"/>
      <c r="F264" s="315"/>
      <c r="G264" s="315"/>
      <c r="H264" s="315"/>
      <c r="I264" s="318"/>
      <c r="L264" s="54"/>
      <c r="M264" s="313"/>
    </row>
    <row r="265" ht="14.25" customHeight="1">
      <c r="E265" s="322"/>
      <c r="F265" s="315"/>
      <c r="G265" s="315"/>
      <c r="H265" s="315"/>
      <c r="I265" s="318"/>
      <c r="L265" s="54"/>
      <c r="M265" s="313"/>
    </row>
    <row r="266" ht="14.25" customHeight="1">
      <c r="E266" s="322"/>
      <c r="F266" s="315"/>
      <c r="G266" s="315"/>
      <c r="H266" s="315"/>
      <c r="I266" s="318"/>
      <c r="L266" s="54"/>
      <c r="M266" s="313"/>
    </row>
    <row r="267" ht="14.25" customHeight="1">
      <c r="E267" s="322"/>
      <c r="F267" s="315"/>
      <c r="G267" s="315"/>
      <c r="H267" s="315"/>
      <c r="I267" s="318"/>
      <c r="L267" s="54"/>
      <c r="M267" s="313"/>
    </row>
    <row r="268" ht="14.25" customHeight="1">
      <c r="E268" s="322"/>
      <c r="F268" s="315"/>
      <c r="G268" s="315"/>
      <c r="H268" s="315"/>
      <c r="I268" s="318"/>
      <c r="L268" s="54"/>
      <c r="M268" s="313"/>
    </row>
    <row r="269" ht="14.25" customHeight="1">
      <c r="E269" s="322"/>
      <c r="F269" s="315"/>
      <c r="G269" s="315"/>
      <c r="H269" s="315"/>
      <c r="I269" s="318"/>
      <c r="L269" s="54"/>
      <c r="M269" s="313"/>
    </row>
    <row r="270" ht="14.25" customHeight="1">
      <c r="E270" s="322"/>
      <c r="F270" s="315"/>
      <c r="G270" s="315"/>
      <c r="H270" s="315"/>
      <c r="I270" s="318"/>
      <c r="L270" s="54"/>
      <c r="M270" s="313"/>
    </row>
    <row r="271" ht="14.25" customHeight="1">
      <c r="E271" s="322"/>
      <c r="F271" s="315"/>
      <c r="G271" s="315"/>
      <c r="H271" s="315"/>
      <c r="I271" s="318"/>
      <c r="L271" s="54"/>
      <c r="M271" s="313"/>
    </row>
    <row r="272" ht="14.25" customHeight="1">
      <c r="E272" s="322"/>
      <c r="F272" s="315"/>
      <c r="G272" s="315"/>
      <c r="H272" s="315"/>
      <c r="I272" s="318"/>
      <c r="L272" s="54"/>
      <c r="M272" s="313"/>
    </row>
    <row r="273" ht="14.25" customHeight="1">
      <c r="E273" s="322"/>
      <c r="F273" s="315"/>
      <c r="G273" s="315"/>
      <c r="H273" s="315"/>
      <c r="I273" s="318"/>
      <c r="L273" s="54"/>
      <c r="M273" s="313"/>
    </row>
    <row r="274" ht="14.25" customHeight="1">
      <c r="E274" s="322"/>
      <c r="F274" s="315"/>
      <c r="G274" s="315"/>
      <c r="H274" s="315"/>
      <c r="I274" s="318"/>
      <c r="L274" s="54"/>
      <c r="M274" s="313"/>
    </row>
    <row r="275" ht="14.25" customHeight="1">
      <c r="E275" s="322"/>
      <c r="F275" s="315"/>
      <c r="G275" s="315"/>
      <c r="H275" s="315"/>
      <c r="I275" s="318"/>
      <c r="L275" s="54"/>
      <c r="M275" s="313"/>
    </row>
    <row r="276" ht="14.25" customHeight="1">
      <c r="E276" s="322"/>
      <c r="F276" s="315"/>
      <c r="G276" s="315"/>
      <c r="H276" s="315"/>
      <c r="I276" s="318"/>
      <c r="L276" s="54"/>
      <c r="M276" s="313"/>
    </row>
    <row r="277" ht="14.25" customHeight="1">
      <c r="E277" s="322"/>
      <c r="F277" s="315"/>
      <c r="G277" s="315"/>
      <c r="H277" s="315"/>
      <c r="I277" s="318"/>
      <c r="L277" s="54"/>
      <c r="M277" s="313"/>
    </row>
    <row r="278" ht="14.25" customHeight="1">
      <c r="E278" s="322"/>
      <c r="F278" s="315"/>
      <c r="G278" s="315"/>
      <c r="H278" s="315"/>
      <c r="I278" s="318"/>
      <c r="L278" s="54"/>
      <c r="M278" s="313"/>
    </row>
    <row r="279" ht="14.25" customHeight="1">
      <c r="E279" s="322"/>
      <c r="F279" s="315"/>
      <c r="G279" s="315"/>
      <c r="H279" s="315"/>
      <c r="I279" s="318"/>
      <c r="L279" s="54"/>
      <c r="M279" s="313"/>
    </row>
    <row r="280" ht="14.25" customHeight="1">
      <c r="E280" s="322"/>
      <c r="F280" s="315"/>
      <c r="G280" s="315"/>
      <c r="H280" s="315"/>
      <c r="I280" s="318"/>
      <c r="L280" s="54"/>
      <c r="M280" s="313"/>
    </row>
    <row r="281" ht="14.25" customHeight="1">
      <c r="E281" s="322"/>
      <c r="F281" s="315"/>
      <c r="G281" s="315"/>
      <c r="H281" s="315"/>
      <c r="I281" s="318"/>
      <c r="L281" s="54"/>
      <c r="M281" s="313"/>
    </row>
    <row r="282" ht="14.25" customHeight="1">
      <c r="E282" s="322"/>
      <c r="F282" s="315"/>
      <c r="G282" s="315"/>
      <c r="H282" s="315"/>
      <c r="I282" s="318"/>
      <c r="L282" s="54"/>
      <c r="M282" s="313"/>
    </row>
    <row r="283" ht="14.25" customHeight="1">
      <c r="E283" s="322"/>
      <c r="F283" s="315"/>
      <c r="G283" s="315"/>
      <c r="H283" s="315"/>
      <c r="I283" s="318"/>
      <c r="L283" s="54"/>
      <c r="M283" s="313"/>
    </row>
    <row r="284" ht="14.25" customHeight="1">
      <c r="E284" s="322"/>
      <c r="F284" s="315"/>
      <c r="G284" s="315"/>
      <c r="H284" s="315"/>
      <c r="I284" s="318"/>
      <c r="L284" s="54"/>
      <c r="M284" s="313"/>
    </row>
    <row r="285" ht="14.25" customHeight="1">
      <c r="E285" s="322"/>
      <c r="F285" s="315"/>
      <c r="G285" s="315"/>
      <c r="H285" s="315"/>
      <c r="I285" s="318"/>
      <c r="L285" s="54"/>
      <c r="M285" s="313"/>
    </row>
    <row r="286" ht="14.25" customHeight="1">
      <c r="E286" s="322"/>
      <c r="F286" s="315"/>
      <c r="G286" s="315"/>
      <c r="H286" s="315"/>
      <c r="I286" s="318"/>
      <c r="L286" s="54"/>
      <c r="M286" s="313"/>
    </row>
    <row r="287" ht="14.25" customHeight="1">
      <c r="E287" s="322"/>
      <c r="F287" s="315"/>
      <c r="G287" s="315"/>
      <c r="H287" s="315"/>
      <c r="I287" s="318"/>
      <c r="L287" s="54"/>
      <c r="M287" s="313"/>
    </row>
    <row r="288" ht="14.25" customHeight="1">
      <c r="E288" s="322"/>
      <c r="F288" s="315"/>
      <c r="G288" s="315"/>
      <c r="H288" s="315"/>
      <c r="I288" s="318"/>
      <c r="L288" s="54"/>
      <c r="M288" s="313"/>
    </row>
    <row r="289" ht="14.25" customHeight="1">
      <c r="E289" s="322"/>
      <c r="F289" s="315"/>
      <c r="G289" s="315"/>
      <c r="H289" s="315"/>
      <c r="I289" s="318"/>
      <c r="L289" s="54"/>
      <c r="M289" s="313"/>
    </row>
    <row r="290" ht="14.25" customHeight="1">
      <c r="E290" s="322"/>
      <c r="F290" s="315"/>
      <c r="G290" s="315"/>
      <c r="H290" s="315"/>
      <c r="I290" s="318"/>
      <c r="L290" s="54"/>
      <c r="M290" s="313"/>
    </row>
    <row r="291" ht="14.25" customHeight="1">
      <c r="E291" s="322"/>
      <c r="F291" s="315"/>
      <c r="G291" s="315"/>
      <c r="H291" s="315"/>
      <c r="I291" s="318"/>
      <c r="L291" s="54"/>
      <c r="M291" s="313"/>
    </row>
    <row r="292" ht="14.25" customHeight="1">
      <c r="E292" s="322"/>
      <c r="F292" s="315"/>
      <c r="G292" s="315"/>
      <c r="H292" s="315"/>
      <c r="I292" s="318"/>
      <c r="L292" s="54"/>
      <c r="M292" s="313"/>
    </row>
    <row r="293" ht="14.25" customHeight="1">
      <c r="E293" s="322"/>
      <c r="F293" s="315"/>
      <c r="G293" s="315"/>
      <c r="H293" s="315"/>
      <c r="I293" s="318"/>
      <c r="L293" s="54"/>
      <c r="M293" s="313"/>
    </row>
    <row r="294" ht="14.25" customHeight="1">
      <c r="E294" s="322"/>
      <c r="F294" s="315"/>
      <c r="G294" s="315"/>
      <c r="H294" s="315"/>
      <c r="I294" s="318"/>
      <c r="L294" s="54"/>
      <c r="M294" s="313"/>
    </row>
    <row r="295" ht="14.25" customHeight="1">
      <c r="E295" s="322"/>
      <c r="F295" s="315"/>
      <c r="G295" s="315"/>
      <c r="H295" s="315"/>
      <c r="I295" s="318"/>
      <c r="L295" s="54"/>
      <c r="M295" s="313"/>
    </row>
    <row r="296" ht="14.25" customHeight="1">
      <c r="E296" s="322"/>
      <c r="F296" s="315"/>
      <c r="G296" s="315"/>
      <c r="H296" s="315"/>
      <c r="I296" s="318"/>
      <c r="L296" s="54"/>
      <c r="M296" s="313"/>
    </row>
    <row r="297" ht="14.25" customHeight="1">
      <c r="E297" s="322"/>
      <c r="F297" s="315"/>
      <c r="G297" s="315"/>
      <c r="H297" s="315"/>
      <c r="I297" s="318"/>
      <c r="L297" s="54"/>
      <c r="M297" s="313"/>
    </row>
    <row r="298" ht="14.25" customHeight="1">
      <c r="E298" s="322"/>
      <c r="F298" s="315"/>
      <c r="G298" s="315"/>
      <c r="H298" s="315"/>
      <c r="I298" s="318"/>
      <c r="L298" s="54"/>
      <c r="M298" s="313"/>
    </row>
    <row r="299" ht="14.25" customHeight="1">
      <c r="E299" s="322"/>
      <c r="F299" s="315"/>
      <c r="G299" s="315"/>
      <c r="H299" s="315"/>
      <c r="I299" s="318"/>
      <c r="L299" s="54"/>
      <c r="M299" s="313"/>
    </row>
    <row r="300" ht="14.25" customHeight="1">
      <c r="E300" s="322"/>
      <c r="F300" s="315"/>
      <c r="G300" s="315"/>
      <c r="H300" s="315"/>
      <c r="I300" s="318"/>
      <c r="L300" s="54"/>
      <c r="M300" s="313"/>
    </row>
    <row r="301" ht="14.25" customHeight="1">
      <c r="E301" s="322"/>
      <c r="F301" s="315"/>
      <c r="G301" s="315"/>
      <c r="H301" s="315"/>
      <c r="I301" s="318"/>
      <c r="L301" s="54"/>
      <c r="M301" s="313"/>
    </row>
    <row r="302" ht="14.25" customHeight="1">
      <c r="E302" s="322"/>
      <c r="F302" s="315"/>
      <c r="G302" s="315"/>
      <c r="H302" s="315"/>
      <c r="I302" s="318"/>
      <c r="L302" s="54"/>
      <c r="M302" s="313"/>
    </row>
    <row r="303" ht="14.25" customHeight="1">
      <c r="E303" s="322"/>
      <c r="F303" s="315"/>
      <c r="G303" s="315"/>
      <c r="H303" s="315"/>
      <c r="I303" s="318"/>
      <c r="L303" s="54"/>
      <c r="M303" s="313"/>
    </row>
    <row r="304" ht="14.25" customHeight="1">
      <c r="E304" s="322"/>
      <c r="F304" s="315"/>
      <c r="G304" s="315"/>
      <c r="H304" s="315"/>
      <c r="I304" s="318"/>
      <c r="L304" s="54"/>
      <c r="M304" s="313"/>
    </row>
    <row r="305" ht="14.25" customHeight="1">
      <c r="E305" s="322"/>
      <c r="F305" s="315"/>
      <c r="G305" s="315"/>
      <c r="H305" s="315"/>
      <c r="I305" s="318"/>
      <c r="L305" s="54"/>
      <c r="M305" s="313"/>
    </row>
    <row r="306" ht="14.25" customHeight="1">
      <c r="E306" s="322"/>
      <c r="F306" s="315"/>
      <c r="G306" s="315"/>
      <c r="H306" s="315"/>
      <c r="I306" s="318"/>
      <c r="L306" s="54"/>
      <c r="M306" s="313"/>
    </row>
    <row r="307" ht="14.25" customHeight="1">
      <c r="E307" s="322"/>
      <c r="F307" s="315"/>
      <c r="G307" s="315"/>
      <c r="H307" s="315"/>
      <c r="I307" s="318"/>
      <c r="L307" s="54"/>
      <c r="M307" s="313"/>
    </row>
    <row r="308" ht="14.25" customHeight="1">
      <c r="E308" s="322"/>
      <c r="F308" s="315"/>
      <c r="G308" s="315"/>
      <c r="H308" s="315"/>
      <c r="I308" s="318"/>
      <c r="L308" s="54"/>
      <c r="M308" s="313"/>
    </row>
    <row r="309" ht="14.25" customHeight="1">
      <c r="E309" s="322"/>
      <c r="F309" s="315"/>
      <c r="G309" s="315"/>
      <c r="H309" s="315"/>
      <c r="I309" s="318"/>
      <c r="L309" s="54"/>
      <c r="M309" s="313"/>
    </row>
    <row r="310" ht="14.25" customHeight="1">
      <c r="E310" s="322"/>
      <c r="F310" s="315"/>
      <c r="G310" s="315"/>
      <c r="H310" s="315"/>
      <c r="I310" s="318"/>
      <c r="L310" s="54"/>
      <c r="M310" s="313"/>
    </row>
    <row r="311" ht="14.25" customHeight="1">
      <c r="E311" s="322"/>
      <c r="F311" s="315"/>
      <c r="G311" s="315"/>
      <c r="H311" s="315"/>
      <c r="I311" s="318"/>
      <c r="L311" s="54"/>
      <c r="M311" s="313"/>
    </row>
    <row r="312" ht="14.25" customHeight="1">
      <c r="E312" s="322"/>
      <c r="F312" s="315"/>
      <c r="G312" s="315"/>
      <c r="H312" s="315"/>
      <c r="I312" s="318"/>
      <c r="L312" s="54"/>
      <c r="M312" s="313"/>
    </row>
    <row r="313" ht="14.25" customHeight="1">
      <c r="E313" s="322"/>
      <c r="F313" s="315"/>
      <c r="G313" s="315"/>
      <c r="H313" s="315"/>
      <c r="I313" s="318"/>
      <c r="L313" s="54"/>
      <c r="M313" s="313"/>
    </row>
    <row r="314" ht="14.25" customHeight="1">
      <c r="E314" s="322"/>
      <c r="F314" s="315"/>
      <c r="G314" s="315"/>
      <c r="H314" s="315"/>
      <c r="I314" s="318"/>
      <c r="L314" s="54"/>
      <c r="M314" s="313"/>
    </row>
    <row r="315" ht="14.25" customHeight="1">
      <c r="E315" s="322"/>
      <c r="F315" s="315"/>
      <c r="G315" s="315"/>
      <c r="H315" s="315"/>
      <c r="I315" s="318"/>
      <c r="L315" s="54"/>
      <c r="M315" s="313"/>
    </row>
    <row r="316" ht="14.25" customHeight="1">
      <c r="E316" s="322"/>
      <c r="F316" s="315"/>
      <c r="G316" s="315"/>
      <c r="H316" s="315"/>
      <c r="I316" s="318"/>
      <c r="L316" s="54"/>
      <c r="M316" s="313"/>
    </row>
    <row r="317" ht="14.25" customHeight="1">
      <c r="E317" s="322"/>
      <c r="F317" s="315"/>
      <c r="G317" s="315"/>
      <c r="H317" s="315"/>
      <c r="I317" s="318"/>
      <c r="L317" s="54"/>
      <c r="M317" s="313"/>
    </row>
    <row r="318" ht="14.25" customHeight="1">
      <c r="E318" s="322"/>
      <c r="F318" s="315"/>
      <c r="G318" s="315"/>
      <c r="H318" s="315"/>
      <c r="I318" s="318"/>
      <c r="L318" s="54"/>
      <c r="M318" s="313"/>
    </row>
    <row r="319" ht="14.25" customHeight="1">
      <c r="E319" s="322"/>
      <c r="F319" s="315"/>
      <c r="G319" s="315"/>
      <c r="H319" s="315"/>
      <c r="I319" s="318"/>
      <c r="L319" s="54"/>
      <c r="M319" s="313"/>
    </row>
    <row r="320" ht="14.25" customHeight="1">
      <c r="E320" s="322"/>
      <c r="F320" s="315"/>
      <c r="G320" s="315"/>
      <c r="H320" s="315"/>
      <c r="I320" s="318"/>
      <c r="L320" s="54"/>
      <c r="M320" s="313"/>
    </row>
    <row r="321" ht="14.25" customHeight="1">
      <c r="E321" s="322"/>
      <c r="F321" s="315"/>
      <c r="G321" s="315"/>
      <c r="H321" s="315"/>
      <c r="I321" s="318"/>
      <c r="L321" s="54"/>
      <c r="M321" s="313"/>
    </row>
    <row r="322" ht="14.25" customHeight="1">
      <c r="E322" s="322"/>
      <c r="F322" s="315"/>
      <c r="G322" s="315"/>
      <c r="H322" s="315"/>
      <c r="I322" s="318"/>
      <c r="L322" s="54"/>
      <c r="M322" s="313"/>
    </row>
    <row r="323" ht="14.25" customHeight="1">
      <c r="E323" s="322"/>
      <c r="F323" s="315"/>
      <c r="G323" s="315"/>
      <c r="H323" s="315"/>
      <c r="I323" s="318"/>
      <c r="L323" s="54"/>
      <c r="M323" s="313"/>
    </row>
    <row r="324" ht="14.25" customHeight="1">
      <c r="E324" s="322"/>
      <c r="F324" s="315"/>
      <c r="G324" s="315"/>
      <c r="H324" s="315"/>
      <c r="I324" s="318"/>
      <c r="L324" s="54"/>
      <c r="M324" s="313"/>
    </row>
    <row r="325" ht="14.25" customHeight="1">
      <c r="E325" s="322"/>
      <c r="F325" s="315"/>
      <c r="G325" s="315"/>
      <c r="H325" s="315"/>
      <c r="I325" s="318"/>
      <c r="L325" s="54"/>
      <c r="M325" s="313"/>
    </row>
    <row r="326" ht="14.25" customHeight="1">
      <c r="E326" s="322"/>
      <c r="F326" s="315"/>
      <c r="G326" s="315"/>
      <c r="H326" s="315"/>
      <c r="I326" s="318"/>
      <c r="L326" s="54"/>
      <c r="M326" s="313"/>
    </row>
    <row r="327" ht="14.25" customHeight="1">
      <c r="E327" s="322"/>
      <c r="F327" s="315"/>
      <c r="G327" s="315"/>
      <c r="H327" s="315"/>
      <c r="I327" s="318"/>
      <c r="L327" s="54"/>
      <c r="M327" s="313"/>
    </row>
    <row r="328" ht="14.25" customHeight="1">
      <c r="E328" s="322"/>
      <c r="F328" s="315"/>
      <c r="G328" s="315"/>
      <c r="H328" s="315"/>
      <c r="I328" s="318"/>
      <c r="L328" s="54"/>
      <c r="M328" s="313"/>
    </row>
    <row r="329" ht="14.25" customHeight="1">
      <c r="E329" s="322"/>
      <c r="F329" s="315"/>
      <c r="G329" s="315"/>
      <c r="H329" s="315"/>
      <c r="I329" s="318"/>
      <c r="L329" s="54"/>
      <c r="M329" s="313"/>
    </row>
    <row r="330" ht="14.25" customHeight="1">
      <c r="E330" s="322"/>
      <c r="F330" s="315"/>
      <c r="G330" s="315"/>
      <c r="H330" s="315"/>
      <c r="I330" s="318"/>
      <c r="L330" s="54"/>
      <c r="M330" s="313"/>
    </row>
    <row r="331" ht="14.25" customHeight="1">
      <c r="E331" s="322"/>
      <c r="F331" s="315"/>
      <c r="G331" s="315"/>
      <c r="H331" s="315"/>
      <c r="I331" s="318"/>
      <c r="L331" s="54"/>
      <c r="M331" s="313"/>
    </row>
    <row r="332" ht="14.25" customHeight="1">
      <c r="E332" s="322"/>
      <c r="F332" s="315"/>
      <c r="G332" s="315"/>
      <c r="H332" s="315"/>
      <c r="I332" s="318"/>
      <c r="L332" s="54"/>
      <c r="M332" s="313"/>
    </row>
    <row r="333" ht="14.25" customHeight="1">
      <c r="E333" s="322"/>
      <c r="F333" s="315"/>
      <c r="G333" s="315"/>
      <c r="H333" s="315"/>
      <c r="I333" s="318"/>
      <c r="L333" s="54"/>
      <c r="M333" s="313"/>
    </row>
    <row r="334" ht="14.25" customHeight="1">
      <c r="E334" s="322"/>
      <c r="F334" s="315"/>
      <c r="G334" s="315"/>
      <c r="H334" s="315"/>
      <c r="I334" s="318"/>
      <c r="L334" s="54"/>
      <c r="M334" s="313"/>
    </row>
    <row r="335" ht="14.25" customHeight="1">
      <c r="E335" s="322"/>
      <c r="F335" s="315"/>
      <c r="G335" s="315"/>
      <c r="H335" s="315"/>
      <c r="I335" s="318"/>
      <c r="L335" s="54"/>
      <c r="M335" s="313"/>
    </row>
    <row r="336" ht="14.25" customHeight="1">
      <c r="E336" s="322"/>
      <c r="F336" s="315"/>
      <c r="G336" s="315"/>
      <c r="H336" s="315"/>
      <c r="I336" s="318"/>
      <c r="L336" s="54"/>
      <c r="M336" s="313"/>
    </row>
    <row r="337" ht="14.25" customHeight="1">
      <c r="E337" s="322"/>
      <c r="F337" s="315"/>
      <c r="G337" s="315"/>
      <c r="H337" s="315"/>
      <c r="I337" s="318"/>
      <c r="L337" s="54"/>
      <c r="M337" s="313"/>
    </row>
    <row r="338" ht="14.25" customHeight="1">
      <c r="E338" s="322"/>
      <c r="F338" s="315"/>
      <c r="G338" s="315"/>
      <c r="H338" s="315"/>
      <c r="I338" s="318"/>
      <c r="L338" s="54"/>
      <c r="M338" s="313"/>
    </row>
    <row r="339" ht="14.25" customHeight="1">
      <c r="E339" s="322"/>
      <c r="F339" s="315"/>
      <c r="G339" s="315"/>
      <c r="H339" s="315"/>
      <c r="I339" s="318"/>
      <c r="L339" s="54"/>
      <c r="M339" s="313"/>
    </row>
    <row r="340" ht="14.25" customHeight="1">
      <c r="E340" s="322"/>
      <c r="F340" s="315"/>
      <c r="G340" s="315"/>
      <c r="H340" s="315"/>
      <c r="I340" s="318"/>
      <c r="L340" s="54"/>
      <c r="M340" s="313"/>
    </row>
    <row r="341" ht="14.25" customHeight="1">
      <c r="E341" s="322"/>
      <c r="F341" s="315"/>
      <c r="G341" s="315"/>
      <c r="H341" s="315"/>
      <c r="I341" s="318"/>
      <c r="L341" s="54"/>
      <c r="M341" s="313"/>
    </row>
    <row r="342" ht="14.25" customHeight="1">
      <c r="E342" s="322"/>
      <c r="F342" s="315"/>
      <c r="G342" s="315"/>
      <c r="H342" s="315"/>
      <c r="I342" s="318"/>
      <c r="L342" s="54"/>
      <c r="M342" s="313"/>
    </row>
    <row r="343" ht="14.25" customHeight="1">
      <c r="E343" s="322"/>
      <c r="F343" s="315"/>
      <c r="G343" s="315"/>
      <c r="H343" s="315"/>
      <c r="I343" s="318"/>
      <c r="L343" s="54"/>
      <c r="M343" s="313"/>
    </row>
    <row r="344" ht="14.25" customHeight="1">
      <c r="E344" s="322"/>
      <c r="F344" s="315"/>
      <c r="G344" s="315"/>
      <c r="H344" s="315"/>
      <c r="I344" s="318"/>
      <c r="L344" s="54"/>
      <c r="M344" s="313"/>
    </row>
    <row r="345" ht="14.25" customHeight="1">
      <c r="E345" s="322"/>
      <c r="F345" s="315"/>
      <c r="G345" s="315"/>
      <c r="H345" s="315"/>
      <c r="I345" s="318"/>
      <c r="L345" s="54"/>
      <c r="M345" s="313"/>
    </row>
    <row r="346" ht="14.25" customHeight="1">
      <c r="E346" s="322"/>
      <c r="F346" s="315"/>
      <c r="G346" s="315"/>
      <c r="H346" s="315"/>
      <c r="I346" s="318"/>
      <c r="L346" s="54"/>
      <c r="M346" s="313"/>
    </row>
    <row r="347" ht="14.25" customHeight="1">
      <c r="E347" s="322"/>
      <c r="F347" s="315"/>
      <c r="G347" s="315"/>
      <c r="H347" s="315"/>
      <c r="I347" s="318"/>
      <c r="L347" s="54"/>
      <c r="M347" s="313"/>
    </row>
    <row r="348" ht="14.25" customHeight="1">
      <c r="E348" s="322"/>
      <c r="F348" s="315"/>
      <c r="G348" s="315"/>
      <c r="H348" s="315"/>
      <c r="I348" s="318"/>
      <c r="L348" s="54"/>
      <c r="M348" s="313"/>
    </row>
    <row r="349" ht="14.25" customHeight="1">
      <c r="E349" s="322"/>
      <c r="F349" s="315"/>
      <c r="G349" s="315"/>
      <c r="H349" s="315"/>
      <c r="I349" s="318"/>
      <c r="L349" s="54"/>
      <c r="M349" s="313"/>
    </row>
    <row r="350" ht="14.25" customHeight="1">
      <c r="E350" s="322"/>
      <c r="F350" s="315"/>
      <c r="G350" s="315"/>
      <c r="H350" s="315"/>
      <c r="I350" s="318"/>
      <c r="L350" s="54"/>
      <c r="M350" s="313"/>
    </row>
    <row r="351" ht="14.25" customHeight="1">
      <c r="E351" s="322"/>
      <c r="F351" s="315"/>
      <c r="G351" s="315"/>
      <c r="H351" s="315"/>
      <c r="I351" s="318"/>
      <c r="L351" s="54"/>
      <c r="M351" s="313"/>
    </row>
    <row r="352" ht="14.25" customHeight="1">
      <c r="E352" s="322"/>
      <c r="F352" s="315"/>
      <c r="G352" s="315"/>
      <c r="H352" s="315"/>
      <c r="I352" s="318"/>
      <c r="L352" s="54"/>
      <c r="M352" s="313"/>
    </row>
    <row r="353" ht="14.25" customHeight="1">
      <c r="E353" s="322"/>
      <c r="F353" s="315"/>
      <c r="G353" s="315"/>
      <c r="H353" s="315"/>
      <c r="I353" s="318"/>
      <c r="L353" s="54"/>
      <c r="M353" s="313"/>
    </row>
    <row r="354" ht="14.25" customHeight="1">
      <c r="E354" s="322"/>
      <c r="F354" s="315"/>
      <c r="G354" s="315"/>
      <c r="H354" s="315"/>
      <c r="I354" s="318"/>
      <c r="L354" s="54"/>
      <c r="M354" s="313"/>
    </row>
    <row r="355" ht="14.25" customHeight="1">
      <c r="E355" s="322"/>
      <c r="F355" s="315"/>
      <c r="G355" s="315"/>
      <c r="H355" s="315"/>
      <c r="I355" s="318"/>
      <c r="L355" s="54"/>
      <c r="M355" s="313"/>
    </row>
    <row r="356" ht="14.25" customHeight="1">
      <c r="E356" s="322"/>
      <c r="F356" s="315"/>
      <c r="G356" s="315"/>
      <c r="H356" s="315"/>
      <c r="I356" s="318"/>
      <c r="L356" s="54"/>
      <c r="M356" s="313"/>
    </row>
    <row r="357" ht="14.25" customHeight="1">
      <c r="E357" s="322"/>
      <c r="F357" s="315"/>
      <c r="G357" s="315"/>
      <c r="H357" s="315"/>
      <c r="I357" s="318"/>
      <c r="L357" s="54"/>
      <c r="M357" s="313"/>
    </row>
    <row r="358" ht="14.25" customHeight="1">
      <c r="E358" s="322"/>
      <c r="F358" s="315"/>
      <c r="G358" s="315"/>
      <c r="H358" s="315"/>
      <c r="I358" s="318"/>
      <c r="L358" s="54"/>
      <c r="M358" s="313"/>
    </row>
    <row r="359" ht="14.25" customHeight="1">
      <c r="E359" s="322"/>
      <c r="F359" s="315"/>
      <c r="G359" s="315"/>
      <c r="H359" s="315"/>
      <c r="I359" s="318"/>
      <c r="L359" s="54"/>
      <c r="M359" s="313"/>
    </row>
    <row r="360" ht="14.25" customHeight="1">
      <c r="E360" s="322"/>
      <c r="F360" s="315"/>
      <c r="G360" s="315"/>
      <c r="H360" s="315"/>
      <c r="I360" s="318"/>
      <c r="L360" s="54"/>
      <c r="M360" s="313"/>
    </row>
    <row r="361" ht="14.25" customHeight="1">
      <c r="E361" s="322"/>
      <c r="F361" s="315"/>
      <c r="G361" s="315"/>
      <c r="H361" s="315"/>
      <c r="I361" s="318"/>
      <c r="L361" s="54"/>
      <c r="M361" s="313"/>
    </row>
    <row r="362" ht="14.25" customHeight="1">
      <c r="E362" s="322"/>
      <c r="F362" s="315"/>
      <c r="G362" s="315"/>
      <c r="H362" s="315"/>
      <c r="I362" s="318"/>
      <c r="L362" s="54"/>
      <c r="M362" s="313"/>
    </row>
    <row r="363" ht="14.25" customHeight="1">
      <c r="E363" s="322"/>
      <c r="F363" s="315"/>
      <c r="G363" s="315"/>
      <c r="H363" s="315"/>
      <c r="I363" s="318"/>
      <c r="L363" s="54"/>
      <c r="M363" s="313"/>
    </row>
    <row r="364" ht="14.25" customHeight="1">
      <c r="E364" s="322"/>
      <c r="F364" s="315"/>
      <c r="G364" s="315"/>
      <c r="H364" s="315"/>
      <c r="I364" s="318"/>
      <c r="L364" s="54"/>
      <c r="M364" s="313"/>
    </row>
    <row r="365" ht="14.25" customHeight="1">
      <c r="E365" s="322"/>
      <c r="F365" s="315"/>
      <c r="G365" s="315"/>
      <c r="H365" s="315"/>
      <c r="I365" s="318"/>
      <c r="L365" s="54"/>
      <c r="M365" s="313"/>
    </row>
    <row r="366" ht="14.25" customHeight="1">
      <c r="E366" s="322"/>
      <c r="F366" s="315"/>
      <c r="G366" s="315"/>
      <c r="H366" s="315"/>
      <c r="I366" s="318"/>
      <c r="L366" s="54"/>
      <c r="M366" s="313"/>
    </row>
    <row r="367" ht="14.25" customHeight="1">
      <c r="E367" s="322"/>
      <c r="F367" s="315"/>
      <c r="G367" s="315"/>
      <c r="H367" s="315"/>
      <c r="I367" s="318"/>
      <c r="L367" s="54"/>
      <c r="M367" s="313"/>
    </row>
    <row r="368" ht="14.25" customHeight="1">
      <c r="E368" s="322"/>
      <c r="F368" s="315"/>
      <c r="G368" s="315"/>
      <c r="H368" s="315"/>
      <c r="I368" s="318"/>
      <c r="L368" s="54"/>
      <c r="M368" s="313"/>
    </row>
    <row r="369" ht="14.25" customHeight="1">
      <c r="E369" s="322"/>
      <c r="F369" s="315"/>
      <c r="G369" s="315"/>
      <c r="H369" s="315"/>
      <c r="I369" s="318"/>
      <c r="L369" s="54"/>
      <c r="M369" s="313"/>
    </row>
    <row r="370" ht="14.25" customHeight="1">
      <c r="E370" s="322"/>
      <c r="F370" s="315"/>
      <c r="G370" s="315"/>
      <c r="H370" s="315"/>
      <c r="I370" s="318"/>
      <c r="L370" s="54"/>
      <c r="M370" s="313"/>
    </row>
    <row r="371" ht="14.25" customHeight="1">
      <c r="E371" s="322"/>
      <c r="F371" s="315"/>
      <c r="G371" s="315"/>
      <c r="H371" s="315"/>
      <c r="I371" s="318"/>
      <c r="L371" s="54"/>
      <c r="M371" s="313"/>
    </row>
    <row r="372" ht="14.25" customHeight="1">
      <c r="E372" s="322"/>
      <c r="F372" s="315"/>
      <c r="G372" s="315"/>
      <c r="H372" s="315"/>
      <c r="I372" s="318"/>
      <c r="L372" s="54"/>
      <c r="M372" s="313"/>
    </row>
    <row r="373" ht="14.25" customHeight="1">
      <c r="E373" s="322"/>
      <c r="F373" s="315"/>
      <c r="G373" s="315"/>
      <c r="H373" s="315"/>
      <c r="I373" s="318"/>
      <c r="L373" s="54"/>
      <c r="M373" s="313"/>
    </row>
    <row r="374" ht="14.25" customHeight="1">
      <c r="E374" s="322"/>
      <c r="F374" s="315"/>
      <c r="G374" s="315"/>
      <c r="H374" s="315"/>
      <c r="I374" s="318"/>
      <c r="L374" s="54"/>
      <c r="M374" s="313"/>
    </row>
    <row r="375" ht="14.25" customHeight="1">
      <c r="E375" s="322"/>
      <c r="F375" s="315"/>
      <c r="G375" s="315"/>
      <c r="H375" s="315"/>
      <c r="I375" s="318"/>
      <c r="L375" s="54"/>
      <c r="M375" s="313"/>
    </row>
    <row r="376" ht="14.25" customHeight="1">
      <c r="E376" s="322"/>
      <c r="F376" s="315"/>
      <c r="G376" s="315"/>
      <c r="H376" s="315"/>
      <c r="I376" s="318"/>
      <c r="L376" s="54"/>
      <c r="M376" s="313"/>
    </row>
    <row r="377" ht="14.25" customHeight="1">
      <c r="E377" s="322"/>
      <c r="F377" s="315"/>
      <c r="G377" s="315"/>
      <c r="H377" s="315"/>
      <c r="I377" s="318"/>
      <c r="L377" s="54"/>
      <c r="M377" s="313"/>
    </row>
    <row r="378" ht="14.25" customHeight="1">
      <c r="E378" s="322"/>
      <c r="F378" s="315"/>
      <c r="G378" s="315"/>
      <c r="H378" s="315"/>
      <c r="I378" s="318"/>
      <c r="L378" s="54"/>
      <c r="M378" s="313"/>
    </row>
    <row r="379" ht="14.25" customHeight="1">
      <c r="E379" s="322"/>
      <c r="F379" s="315"/>
      <c r="G379" s="315"/>
      <c r="H379" s="315"/>
      <c r="I379" s="318"/>
      <c r="L379" s="54"/>
      <c r="M379" s="313"/>
    </row>
    <row r="380" ht="14.25" customHeight="1">
      <c r="E380" s="322"/>
      <c r="F380" s="315"/>
      <c r="G380" s="315"/>
      <c r="H380" s="315"/>
      <c r="I380" s="318"/>
      <c r="L380" s="54"/>
      <c r="M380" s="313"/>
    </row>
    <row r="381" ht="14.25" customHeight="1">
      <c r="E381" s="322"/>
      <c r="F381" s="315"/>
      <c r="G381" s="315"/>
      <c r="H381" s="315"/>
      <c r="I381" s="318"/>
      <c r="L381" s="54"/>
      <c r="M381" s="313"/>
    </row>
    <row r="382" ht="14.25" customHeight="1">
      <c r="E382" s="322"/>
      <c r="F382" s="315"/>
      <c r="G382" s="315"/>
      <c r="H382" s="315"/>
      <c r="I382" s="318"/>
      <c r="L382" s="54"/>
      <c r="M382" s="313"/>
    </row>
    <row r="383" ht="14.25" customHeight="1">
      <c r="E383" s="322"/>
      <c r="F383" s="315"/>
      <c r="G383" s="315"/>
      <c r="H383" s="315"/>
      <c r="I383" s="318"/>
      <c r="L383" s="54"/>
      <c r="M383" s="313"/>
    </row>
    <row r="384" ht="14.25" customHeight="1">
      <c r="E384" s="322"/>
      <c r="F384" s="315"/>
      <c r="G384" s="315"/>
      <c r="H384" s="315"/>
      <c r="I384" s="318"/>
      <c r="L384" s="54"/>
      <c r="M384" s="313"/>
    </row>
    <row r="385" ht="14.25" customHeight="1">
      <c r="E385" s="322"/>
      <c r="F385" s="315"/>
      <c r="G385" s="315"/>
      <c r="H385" s="315"/>
      <c r="I385" s="318"/>
      <c r="L385" s="54"/>
      <c r="M385" s="313"/>
    </row>
    <row r="386" ht="14.25" customHeight="1">
      <c r="E386" s="322"/>
      <c r="F386" s="315"/>
      <c r="G386" s="315"/>
      <c r="H386" s="315"/>
      <c r="I386" s="318"/>
      <c r="L386" s="54"/>
      <c r="M386" s="313"/>
    </row>
    <row r="387" ht="14.25" customHeight="1">
      <c r="E387" s="322"/>
      <c r="F387" s="315"/>
      <c r="G387" s="315"/>
      <c r="H387" s="315"/>
      <c r="I387" s="318"/>
      <c r="L387" s="54"/>
      <c r="M387" s="313"/>
    </row>
    <row r="388" ht="14.25" customHeight="1">
      <c r="E388" s="322"/>
      <c r="F388" s="315"/>
      <c r="G388" s="315"/>
      <c r="H388" s="315"/>
      <c r="I388" s="318"/>
      <c r="L388" s="54"/>
      <c r="M388" s="313"/>
    </row>
    <row r="389" ht="14.25" customHeight="1">
      <c r="E389" s="322"/>
      <c r="F389" s="315"/>
      <c r="G389" s="315"/>
      <c r="H389" s="315"/>
      <c r="I389" s="318"/>
      <c r="L389" s="54"/>
      <c r="M389" s="313"/>
    </row>
    <row r="390" ht="14.25" customHeight="1">
      <c r="E390" s="322"/>
      <c r="F390" s="315"/>
      <c r="G390" s="315"/>
      <c r="H390" s="315"/>
      <c r="I390" s="318"/>
      <c r="L390" s="54"/>
      <c r="M390" s="313"/>
    </row>
    <row r="391" ht="14.25" customHeight="1">
      <c r="E391" s="322"/>
      <c r="F391" s="315"/>
      <c r="G391" s="315"/>
      <c r="H391" s="315"/>
      <c r="I391" s="318"/>
      <c r="L391" s="54"/>
      <c r="M391" s="313"/>
    </row>
    <row r="392" ht="14.25" customHeight="1">
      <c r="E392" s="322"/>
      <c r="F392" s="315"/>
      <c r="G392" s="315"/>
      <c r="H392" s="315"/>
      <c r="I392" s="318"/>
      <c r="L392" s="54"/>
      <c r="M392" s="313"/>
    </row>
    <row r="393" ht="14.25" customHeight="1">
      <c r="E393" s="322"/>
      <c r="F393" s="315"/>
      <c r="G393" s="315"/>
      <c r="H393" s="315"/>
      <c r="I393" s="318"/>
      <c r="L393" s="54"/>
      <c r="M393" s="313"/>
    </row>
    <row r="394" ht="14.25" customHeight="1">
      <c r="E394" s="322"/>
      <c r="F394" s="315"/>
      <c r="G394" s="315"/>
      <c r="H394" s="315"/>
      <c r="I394" s="318"/>
      <c r="L394" s="54"/>
      <c r="M394" s="313"/>
    </row>
    <row r="395" ht="14.25" customHeight="1">
      <c r="E395" s="322"/>
      <c r="F395" s="315"/>
      <c r="G395" s="315"/>
      <c r="H395" s="315"/>
      <c r="I395" s="318"/>
      <c r="L395" s="54"/>
      <c r="M395" s="313"/>
    </row>
    <row r="396" ht="14.25" customHeight="1">
      <c r="E396" s="322"/>
      <c r="F396" s="315"/>
      <c r="G396" s="315"/>
      <c r="H396" s="315"/>
      <c r="I396" s="318"/>
      <c r="L396" s="54"/>
      <c r="M396" s="313"/>
    </row>
    <row r="397" ht="14.25" customHeight="1">
      <c r="E397" s="322"/>
      <c r="F397" s="315"/>
      <c r="G397" s="315"/>
      <c r="H397" s="315"/>
      <c r="I397" s="318"/>
      <c r="L397" s="54"/>
      <c r="M397" s="313"/>
    </row>
    <row r="398" ht="14.25" customHeight="1">
      <c r="E398" s="322"/>
      <c r="F398" s="315"/>
      <c r="G398" s="315"/>
      <c r="H398" s="315"/>
      <c r="I398" s="318"/>
      <c r="L398" s="54"/>
      <c r="M398" s="313"/>
    </row>
    <row r="399" ht="14.25" customHeight="1">
      <c r="E399" s="322"/>
      <c r="F399" s="315"/>
      <c r="G399" s="315"/>
      <c r="H399" s="315"/>
      <c r="I399" s="318"/>
      <c r="L399" s="54"/>
      <c r="M399" s="313"/>
    </row>
    <row r="400" ht="14.25" customHeight="1">
      <c r="E400" s="322"/>
      <c r="F400" s="315"/>
      <c r="G400" s="315"/>
      <c r="H400" s="315"/>
      <c r="I400" s="318"/>
      <c r="L400" s="54"/>
      <c r="M400" s="313"/>
    </row>
    <row r="401" ht="14.25" customHeight="1">
      <c r="E401" s="322"/>
      <c r="F401" s="315"/>
      <c r="G401" s="315"/>
      <c r="H401" s="315"/>
      <c r="I401" s="318"/>
      <c r="L401" s="54"/>
      <c r="M401" s="313"/>
    </row>
    <row r="402" ht="14.25" customHeight="1">
      <c r="E402" s="322"/>
      <c r="F402" s="315"/>
      <c r="G402" s="315"/>
      <c r="H402" s="315"/>
      <c r="I402" s="318"/>
      <c r="L402" s="54"/>
      <c r="M402" s="313"/>
    </row>
    <row r="403" ht="14.25" customHeight="1">
      <c r="E403" s="322"/>
      <c r="F403" s="315"/>
      <c r="G403" s="315"/>
      <c r="H403" s="315"/>
      <c r="I403" s="318"/>
      <c r="L403" s="54"/>
      <c r="M403" s="313"/>
    </row>
    <row r="404" ht="14.25" customHeight="1">
      <c r="E404" s="322"/>
      <c r="F404" s="315"/>
      <c r="G404" s="315"/>
      <c r="H404" s="315"/>
      <c r="I404" s="318"/>
      <c r="L404" s="54"/>
      <c r="M404" s="313"/>
    </row>
    <row r="405" ht="14.25" customHeight="1">
      <c r="E405" s="322"/>
      <c r="F405" s="315"/>
      <c r="G405" s="315"/>
      <c r="H405" s="315"/>
      <c r="I405" s="318"/>
      <c r="L405" s="54"/>
      <c r="M405" s="313"/>
    </row>
    <row r="406" ht="14.25" customHeight="1">
      <c r="E406" s="322"/>
      <c r="F406" s="315"/>
      <c r="G406" s="315"/>
      <c r="H406" s="315"/>
      <c r="I406" s="318"/>
      <c r="L406" s="54"/>
      <c r="M406" s="313"/>
    </row>
    <row r="407" ht="14.25" customHeight="1">
      <c r="E407" s="322"/>
      <c r="F407" s="315"/>
      <c r="G407" s="315"/>
      <c r="H407" s="315"/>
      <c r="I407" s="318"/>
      <c r="L407" s="54"/>
      <c r="M407" s="313"/>
    </row>
    <row r="408" ht="14.25" customHeight="1">
      <c r="E408" s="322"/>
      <c r="F408" s="315"/>
      <c r="G408" s="315"/>
      <c r="H408" s="315"/>
      <c r="I408" s="318"/>
      <c r="L408" s="54"/>
      <c r="M408" s="313"/>
    </row>
    <row r="409" ht="14.25" customHeight="1">
      <c r="E409" s="322"/>
      <c r="F409" s="315"/>
      <c r="G409" s="315"/>
      <c r="H409" s="315"/>
      <c r="I409" s="318"/>
      <c r="L409" s="54"/>
      <c r="M409" s="313"/>
    </row>
    <row r="410" ht="14.25" customHeight="1">
      <c r="E410" s="322"/>
      <c r="F410" s="315"/>
      <c r="G410" s="315"/>
      <c r="H410" s="315"/>
      <c r="I410" s="318"/>
      <c r="L410" s="54"/>
      <c r="M410" s="313"/>
    </row>
    <row r="411" ht="14.25" customHeight="1">
      <c r="E411" s="322"/>
      <c r="F411" s="315"/>
      <c r="G411" s="315"/>
      <c r="H411" s="315"/>
      <c r="I411" s="318"/>
      <c r="L411" s="54"/>
      <c r="M411" s="313"/>
    </row>
    <row r="412" ht="14.25" customHeight="1">
      <c r="E412" s="322"/>
      <c r="F412" s="315"/>
      <c r="G412" s="315"/>
      <c r="H412" s="315"/>
      <c r="I412" s="318"/>
      <c r="L412" s="54"/>
      <c r="M412" s="313"/>
    </row>
    <row r="413" ht="14.25" customHeight="1">
      <c r="E413" s="322"/>
      <c r="F413" s="315"/>
      <c r="G413" s="315"/>
      <c r="H413" s="315"/>
      <c r="I413" s="318"/>
      <c r="L413" s="54"/>
      <c r="M413" s="313"/>
    </row>
    <row r="414" ht="14.25" customHeight="1">
      <c r="E414" s="322"/>
      <c r="F414" s="315"/>
      <c r="G414" s="315"/>
      <c r="H414" s="315"/>
      <c r="I414" s="318"/>
      <c r="L414" s="54"/>
      <c r="M414" s="313"/>
    </row>
    <row r="415" ht="14.25" customHeight="1">
      <c r="E415" s="322"/>
      <c r="F415" s="315"/>
      <c r="G415" s="315"/>
      <c r="H415" s="315"/>
      <c r="I415" s="318"/>
      <c r="L415" s="54"/>
      <c r="M415" s="313"/>
    </row>
    <row r="416" ht="14.25" customHeight="1">
      <c r="E416" s="322"/>
      <c r="F416" s="315"/>
      <c r="G416" s="315"/>
      <c r="H416" s="315"/>
      <c r="I416" s="318"/>
      <c r="L416" s="54"/>
      <c r="M416" s="313"/>
    </row>
    <row r="417" ht="14.25" customHeight="1">
      <c r="E417" s="322"/>
      <c r="F417" s="315"/>
      <c r="G417" s="315"/>
      <c r="H417" s="315"/>
      <c r="I417" s="318"/>
      <c r="L417" s="54"/>
      <c r="M417" s="313"/>
    </row>
    <row r="418" ht="14.25" customHeight="1">
      <c r="E418" s="322"/>
      <c r="F418" s="315"/>
      <c r="G418" s="315"/>
      <c r="H418" s="315"/>
      <c r="I418" s="318"/>
      <c r="L418" s="54"/>
      <c r="M418" s="313"/>
    </row>
    <row r="419" ht="14.25" customHeight="1">
      <c r="E419" s="322"/>
      <c r="F419" s="315"/>
      <c r="G419" s="315"/>
      <c r="H419" s="315"/>
      <c r="I419" s="318"/>
      <c r="L419" s="54"/>
      <c r="M419" s="313"/>
    </row>
    <row r="420" ht="14.25" customHeight="1">
      <c r="E420" s="322"/>
      <c r="F420" s="315"/>
      <c r="G420" s="315"/>
      <c r="H420" s="315"/>
      <c r="I420" s="318"/>
      <c r="L420" s="54"/>
      <c r="M420" s="313"/>
    </row>
    <row r="421" ht="14.25" customHeight="1">
      <c r="E421" s="322"/>
      <c r="F421" s="315"/>
      <c r="G421" s="315"/>
      <c r="H421" s="315"/>
      <c r="I421" s="318"/>
      <c r="L421" s="54"/>
      <c r="M421" s="313"/>
    </row>
    <row r="422" ht="14.25" customHeight="1">
      <c r="E422" s="322"/>
      <c r="F422" s="315"/>
      <c r="G422" s="315"/>
      <c r="H422" s="315"/>
      <c r="I422" s="318"/>
      <c r="L422" s="54"/>
      <c r="M422" s="313"/>
    </row>
    <row r="423" ht="14.25" customHeight="1">
      <c r="E423" s="322"/>
      <c r="F423" s="315"/>
      <c r="G423" s="315"/>
      <c r="H423" s="315"/>
      <c r="I423" s="318"/>
      <c r="L423" s="54"/>
      <c r="M423" s="313"/>
    </row>
    <row r="424" ht="14.25" customHeight="1">
      <c r="E424" s="322"/>
      <c r="F424" s="315"/>
      <c r="G424" s="315"/>
      <c r="H424" s="315"/>
      <c r="I424" s="318"/>
      <c r="L424" s="54"/>
      <c r="M424" s="313"/>
    </row>
    <row r="425" ht="14.25" customHeight="1">
      <c r="E425" s="322"/>
      <c r="F425" s="315"/>
      <c r="G425" s="315"/>
      <c r="H425" s="315"/>
      <c r="I425" s="318"/>
      <c r="L425" s="54"/>
      <c r="M425" s="313"/>
    </row>
    <row r="426" ht="14.25" customHeight="1">
      <c r="E426" s="322"/>
      <c r="F426" s="315"/>
      <c r="G426" s="315"/>
      <c r="H426" s="315"/>
      <c r="I426" s="318"/>
      <c r="L426" s="54"/>
      <c r="M426" s="313"/>
    </row>
    <row r="427" ht="14.25" customHeight="1">
      <c r="E427" s="322"/>
      <c r="F427" s="315"/>
      <c r="G427" s="315"/>
      <c r="H427" s="315"/>
      <c r="I427" s="318"/>
      <c r="L427" s="54"/>
      <c r="M427" s="313"/>
    </row>
    <row r="428" ht="14.25" customHeight="1">
      <c r="E428" s="322"/>
      <c r="F428" s="315"/>
      <c r="G428" s="315"/>
      <c r="H428" s="315"/>
      <c r="I428" s="318"/>
      <c r="L428" s="54"/>
      <c r="M428" s="313"/>
    </row>
    <row r="429" ht="14.25" customHeight="1">
      <c r="E429" s="322"/>
      <c r="F429" s="315"/>
      <c r="G429" s="315"/>
      <c r="H429" s="315"/>
      <c r="I429" s="318"/>
      <c r="L429" s="54"/>
      <c r="M429" s="313"/>
    </row>
    <row r="430" ht="14.25" customHeight="1">
      <c r="E430" s="322"/>
      <c r="F430" s="315"/>
      <c r="G430" s="315"/>
      <c r="H430" s="315"/>
      <c r="I430" s="318"/>
      <c r="L430" s="54"/>
      <c r="M430" s="313"/>
    </row>
    <row r="431" ht="14.25" customHeight="1">
      <c r="E431" s="322"/>
      <c r="F431" s="315"/>
      <c r="G431" s="315"/>
      <c r="H431" s="315"/>
      <c r="I431" s="318"/>
      <c r="L431" s="54"/>
      <c r="M431" s="313"/>
    </row>
    <row r="432" ht="14.25" customHeight="1">
      <c r="E432" s="322"/>
      <c r="F432" s="315"/>
      <c r="G432" s="315"/>
      <c r="H432" s="315"/>
      <c r="I432" s="318"/>
      <c r="L432" s="54"/>
      <c r="M432" s="313"/>
    </row>
    <row r="433" ht="14.25" customHeight="1">
      <c r="E433" s="322"/>
      <c r="F433" s="315"/>
      <c r="G433" s="315"/>
      <c r="H433" s="315"/>
      <c r="I433" s="318"/>
      <c r="L433" s="54"/>
      <c r="M433" s="313"/>
    </row>
    <row r="434" ht="14.25" customHeight="1">
      <c r="E434" s="322"/>
      <c r="F434" s="315"/>
      <c r="G434" s="315"/>
      <c r="H434" s="315"/>
      <c r="I434" s="318"/>
      <c r="L434" s="54"/>
      <c r="M434" s="313"/>
    </row>
    <row r="435" ht="14.25" customHeight="1">
      <c r="E435" s="322"/>
      <c r="F435" s="315"/>
      <c r="G435" s="315"/>
      <c r="H435" s="315"/>
      <c r="I435" s="318"/>
      <c r="L435" s="54"/>
      <c r="M435" s="313"/>
    </row>
    <row r="436" ht="14.25" customHeight="1">
      <c r="E436" s="322"/>
      <c r="F436" s="315"/>
      <c r="G436" s="315"/>
      <c r="H436" s="315"/>
      <c r="I436" s="318"/>
      <c r="L436" s="54"/>
      <c r="M436" s="313"/>
    </row>
    <row r="437" ht="14.25" customHeight="1">
      <c r="E437" s="322"/>
      <c r="F437" s="315"/>
      <c r="G437" s="315"/>
      <c r="H437" s="315"/>
      <c r="I437" s="318"/>
      <c r="L437" s="54"/>
      <c r="M437" s="313"/>
    </row>
    <row r="438" ht="14.25" customHeight="1">
      <c r="E438" s="322"/>
      <c r="F438" s="315"/>
      <c r="G438" s="315"/>
      <c r="H438" s="315"/>
      <c r="I438" s="318"/>
      <c r="L438" s="54"/>
      <c r="M438" s="313"/>
    </row>
    <row r="439" ht="14.25" customHeight="1">
      <c r="E439" s="322"/>
      <c r="F439" s="315"/>
      <c r="G439" s="315"/>
      <c r="H439" s="315"/>
      <c r="I439" s="318"/>
      <c r="L439" s="54"/>
      <c r="M439" s="313"/>
    </row>
    <row r="440" ht="14.25" customHeight="1">
      <c r="E440" s="322"/>
      <c r="F440" s="315"/>
      <c r="G440" s="315"/>
      <c r="H440" s="315"/>
      <c r="I440" s="318"/>
      <c r="L440" s="54"/>
      <c r="M440" s="313"/>
    </row>
    <row r="441" ht="14.25" customHeight="1">
      <c r="E441" s="322"/>
      <c r="F441" s="315"/>
      <c r="G441" s="315"/>
      <c r="H441" s="315"/>
      <c r="I441" s="318"/>
      <c r="L441" s="54"/>
      <c r="M441" s="313"/>
    </row>
    <row r="442" ht="14.25" customHeight="1">
      <c r="E442" s="322"/>
      <c r="F442" s="315"/>
      <c r="G442" s="315"/>
      <c r="H442" s="315"/>
      <c r="I442" s="318"/>
      <c r="L442" s="54"/>
      <c r="M442" s="313"/>
    </row>
    <row r="443" ht="14.25" customHeight="1">
      <c r="E443" s="322"/>
      <c r="F443" s="315"/>
      <c r="G443" s="315"/>
      <c r="H443" s="315"/>
      <c r="I443" s="318"/>
      <c r="L443" s="54"/>
      <c r="M443" s="313"/>
    </row>
    <row r="444" ht="14.25" customHeight="1">
      <c r="E444" s="322"/>
      <c r="F444" s="315"/>
      <c r="G444" s="315"/>
      <c r="H444" s="315"/>
      <c r="I444" s="318"/>
      <c r="L444" s="54"/>
      <c r="M444" s="313"/>
    </row>
    <row r="445" ht="14.25" customHeight="1">
      <c r="E445" s="322"/>
      <c r="F445" s="315"/>
      <c r="G445" s="315"/>
      <c r="H445" s="315"/>
      <c r="I445" s="318"/>
      <c r="L445" s="54"/>
      <c r="M445" s="313"/>
    </row>
    <row r="446" ht="14.25" customHeight="1">
      <c r="E446" s="322"/>
      <c r="F446" s="315"/>
      <c r="G446" s="315"/>
      <c r="H446" s="315"/>
      <c r="I446" s="318"/>
      <c r="L446" s="54"/>
      <c r="M446" s="313"/>
    </row>
    <row r="447" ht="14.25" customHeight="1">
      <c r="E447" s="322"/>
      <c r="F447" s="315"/>
      <c r="G447" s="315"/>
      <c r="H447" s="315"/>
      <c r="I447" s="318"/>
      <c r="L447" s="54"/>
      <c r="M447" s="313"/>
    </row>
    <row r="448" ht="14.25" customHeight="1">
      <c r="E448" s="322"/>
      <c r="F448" s="315"/>
      <c r="G448" s="315"/>
      <c r="H448" s="315"/>
      <c r="I448" s="318"/>
      <c r="L448" s="54"/>
      <c r="M448" s="313"/>
    </row>
    <row r="449" ht="14.25" customHeight="1">
      <c r="E449" s="322"/>
      <c r="F449" s="315"/>
      <c r="G449" s="315"/>
      <c r="H449" s="315"/>
      <c r="I449" s="318"/>
      <c r="L449" s="54"/>
      <c r="M449" s="313"/>
    </row>
    <row r="450" ht="14.25" customHeight="1">
      <c r="E450" s="322"/>
      <c r="F450" s="315"/>
      <c r="G450" s="315"/>
      <c r="H450" s="315"/>
      <c r="I450" s="318"/>
      <c r="L450" s="54"/>
      <c r="M450" s="313"/>
    </row>
    <row r="451" ht="14.25" customHeight="1">
      <c r="E451" s="322"/>
      <c r="F451" s="315"/>
      <c r="G451" s="315"/>
      <c r="H451" s="315"/>
      <c r="I451" s="318"/>
      <c r="L451" s="54"/>
      <c r="M451" s="313"/>
    </row>
    <row r="452" ht="14.25" customHeight="1">
      <c r="E452" s="322"/>
      <c r="F452" s="315"/>
      <c r="G452" s="315"/>
      <c r="H452" s="315"/>
      <c r="I452" s="318"/>
      <c r="L452" s="54"/>
      <c r="M452" s="313"/>
    </row>
    <row r="453" ht="14.25" customHeight="1">
      <c r="E453" s="322"/>
      <c r="F453" s="315"/>
      <c r="G453" s="315"/>
      <c r="H453" s="315"/>
      <c r="I453" s="318"/>
      <c r="L453" s="54"/>
      <c r="M453" s="313"/>
    </row>
    <row r="454" ht="14.25" customHeight="1">
      <c r="E454" s="322"/>
      <c r="F454" s="315"/>
      <c r="G454" s="315"/>
      <c r="H454" s="315"/>
      <c r="I454" s="318"/>
      <c r="L454" s="54"/>
      <c r="M454" s="313"/>
    </row>
    <row r="455" ht="14.25" customHeight="1">
      <c r="E455" s="322"/>
      <c r="F455" s="315"/>
      <c r="G455" s="315"/>
      <c r="H455" s="315"/>
      <c r="I455" s="318"/>
      <c r="L455" s="54"/>
      <c r="M455" s="313"/>
    </row>
    <row r="456" ht="14.25" customHeight="1">
      <c r="E456" s="322"/>
      <c r="F456" s="315"/>
      <c r="G456" s="315"/>
      <c r="H456" s="315"/>
      <c r="I456" s="318"/>
      <c r="L456" s="54"/>
      <c r="M456" s="313"/>
    </row>
    <row r="457" ht="14.25" customHeight="1">
      <c r="E457" s="322"/>
      <c r="F457" s="315"/>
      <c r="G457" s="315"/>
      <c r="H457" s="315"/>
      <c r="I457" s="318"/>
      <c r="L457" s="54"/>
      <c r="M457" s="313"/>
    </row>
    <row r="458" ht="14.25" customHeight="1">
      <c r="E458" s="322"/>
      <c r="F458" s="315"/>
      <c r="G458" s="315"/>
      <c r="H458" s="315"/>
      <c r="I458" s="318"/>
      <c r="L458" s="54"/>
      <c r="M458" s="313"/>
    </row>
    <row r="459" ht="14.25" customHeight="1">
      <c r="E459" s="322"/>
      <c r="F459" s="315"/>
      <c r="G459" s="315"/>
      <c r="H459" s="315"/>
      <c r="I459" s="318"/>
      <c r="L459" s="54"/>
      <c r="M459" s="313"/>
    </row>
    <row r="460" ht="14.25" customHeight="1">
      <c r="E460" s="322"/>
      <c r="F460" s="315"/>
      <c r="G460" s="315"/>
      <c r="H460" s="315"/>
      <c r="I460" s="318"/>
      <c r="L460" s="54"/>
      <c r="M460" s="313"/>
    </row>
    <row r="461" ht="14.25" customHeight="1">
      <c r="E461" s="322"/>
      <c r="F461" s="315"/>
      <c r="G461" s="315"/>
      <c r="H461" s="315"/>
      <c r="I461" s="318"/>
      <c r="L461" s="54"/>
      <c r="M461" s="313"/>
    </row>
    <row r="462" ht="14.25" customHeight="1">
      <c r="E462" s="322"/>
      <c r="F462" s="315"/>
      <c r="G462" s="315"/>
      <c r="H462" s="315"/>
      <c r="I462" s="318"/>
      <c r="L462" s="54"/>
      <c r="M462" s="313"/>
    </row>
    <row r="463" ht="14.25" customHeight="1">
      <c r="E463" s="322"/>
      <c r="F463" s="315"/>
      <c r="G463" s="315"/>
      <c r="H463" s="315"/>
      <c r="I463" s="318"/>
      <c r="L463" s="54"/>
      <c r="M463" s="313"/>
    </row>
    <row r="464" ht="14.25" customHeight="1">
      <c r="E464" s="322"/>
      <c r="F464" s="315"/>
      <c r="G464" s="315"/>
      <c r="H464" s="315"/>
      <c r="I464" s="318"/>
      <c r="L464" s="54"/>
      <c r="M464" s="313"/>
    </row>
    <row r="465" ht="14.25" customHeight="1">
      <c r="E465" s="322"/>
      <c r="F465" s="315"/>
      <c r="G465" s="315"/>
      <c r="H465" s="315"/>
      <c r="I465" s="318"/>
      <c r="L465" s="54"/>
      <c r="M465" s="313"/>
    </row>
    <row r="466" ht="14.25" customHeight="1">
      <c r="E466" s="322"/>
      <c r="F466" s="315"/>
      <c r="G466" s="315"/>
      <c r="H466" s="315"/>
      <c r="I466" s="318"/>
      <c r="L466" s="54"/>
      <c r="M466" s="313"/>
    </row>
    <row r="467" ht="14.25" customHeight="1">
      <c r="E467" s="322"/>
      <c r="F467" s="315"/>
      <c r="G467" s="315"/>
      <c r="H467" s="315"/>
      <c r="I467" s="318"/>
      <c r="L467" s="54"/>
      <c r="M467" s="313"/>
    </row>
    <row r="468" ht="14.25" customHeight="1">
      <c r="E468" s="322"/>
      <c r="F468" s="315"/>
      <c r="G468" s="315"/>
      <c r="H468" s="315"/>
      <c r="I468" s="318"/>
      <c r="L468" s="54"/>
      <c r="M468" s="313"/>
    </row>
    <row r="469" ht="14.25" customHeight="1">
      <c r="E469" s="322"/>
      <c r="F469" s="315"/>
      <c r="G469" s="315"/>
      <c r="H469" s="315"/>
      <c r="I469" s="318"/>
      <c r="L469" s="54"/>
      <c r="M469" s="313"/>
    </row>
    <row r="470" ht="14.25" customHeight="1">
      <c r="E470" s="322"/>
      <c r="F470" s="315"/>
      <c r="G470" s="315"/>
      <c r="H470" s="315"/>
      <c r="I470" s="318"/>
      <c r="L470" s="54"/>
      <c r="M470" s="313"/>
    </row>
    <row r="471" ht="14.25" customHeight="1">
      <c r="E471" s="322"/>
      <c r="F471" s="315"/>
      <c r="G471" s="315"/>
      <c r="H471" s="315"/>
      <c r="I471" s="318"/>
      <c r="L471" s="54"/>
      <c r="M471" s="313"/>
    </row>
    <row r="472" ht="14.25" customHeight="1">
      <c r="E472" s="322"/>
      <c r="F472" s="315"/>
      <c r="G472" s="315"/>
      <c r="H472" s="315"/>
      <c r="I472" s="318"/>
      <c r="L472" s="54"/>
      <c r="M472" s="313"/>
    </row>
    <row r="473" ht="14.25" customHeight="1">
      <c r="E473" s="322"/>
      <c r="F473" s="315"/>
      <c r="G473" s="315"/>
      <c r="H473" s="315"/>
      <c r="I473" s="318"/>
      <c r="L473" s="54"/>
      <c r="M473" s="313"/>
    </row>
    <row r="474" ht="14.25" customHeight="1">
      <c r="E474" s="322"/>
      <c r="F474" s="315"/>
      <c r="G474" s="315"/>
      <c r="H474" s="315"/>
      <c r="I474" s="318"/>
      <c r="L474" s="54"/>
      <c r="M474" s="313"/>
    </row>
    <row r="475" ht="14.25" customHeight="1">
      <c r="E475" s="322"/>
      <c r="F475" s="315"/>
      <c r="G475" s="315"/>
      <c r="H475" s="315"/>
      <c r="I475" s="318"/>
      <c r="L475" s="54"/>
      <c r="M475" s="313"/>
    </row>
    <row r="476" ht="14.25" customHeight="1">
      <c r="E476" s="322"/>
      <c r="F476" s="315"/>
      <c r="G476" s="315"/>
      <c r="H476" s="315"/>
      <c r="I476" s="318"/>
      <c r="L476" s="54"/>
      <c r="M476" s="313"/>
    </row>
    <row r="477" ht="14.25" customHeight="1">
      <c r="E477" s="322"/>
      <c r="F477" s="315"/>
      <c r="G477" s="315"/>
      <c r="H477" s="315"/>
      <c r="I477" s="318"/>
      <c r="L477" s="54"/>
      <c r="M477" s="313"/>
    </row>
    <row r="478" ht="14.25" customHeight="1">
      <c r="E478" s="322"/>
      <c r="F478" s="315"/>
      <c r="G478" s="315"/>
      <c r="H478" s="315"/>
      <c r="I478" s="318"/>
      <c r="L478" s="54"/>
      <c r="M478" s="313"/>
    </row>
    <row r="479" ht="14.25" customHeight="1">
      <c r="E479" s="322"/>
      <c r="F479" s="315"/>
      <c r="G479" s="315"/>
      <c r="H479" s="315"/>
      <c r="I479" s="318"/>
      <c r="L479" s="54"/>
      <c r="M479" s="313"/>
    </row>
    <row r="480" ht="14.25" customHeight="1">
      <c r="E480" s="322"/>
      <c r="F480" s="315"/>
      <c r="G480" s="315"/>
      <c r="H480" s="315"/>
      <c r="I480" s="318"/>
      <c r="L480" s="54"/>
      <c r="M480" s="313"/>
    </row>
    <row r="481" ht="14.25" customHeight="1">
      <c r="E481" s="322"/>
      <c r="F481" s="315"/>
      <c r="G481" s="315"/>
      <c r="H481" s="315"/>
      <c r="I481" s="318"/>
      <c r="L481" s="54"/>
      <c r="M481" s="313"/>
    </row>
    <row r="482" ht="14.25" customHeight="1">
      <c r="E482" s="322"/>
      <c r="F482" s="315"/>
      <c r="G482" s="315"/>
      <c r="H482" s="315"/>
      <c r="I482" s="318"/>
      <c r="L482" s="54"/>
      <c r="M482" s="313"/>
    </row>
    <row r="483" ht="14.25" customHeight="1">
      <c r="E483" s="322"/>
      <c r="F483" s="315"/>
      <c r="G483" s="315"/>
      <c r="H483" s="315"/>
      <c r="I483" s="318"/>
      <c r="L483" s="54"/>
      <c r="M483" s="313"/>
    </row>
    <row r="484" ht="14.25" customHeight="1">
      <c r="E484" s="322"/>
      <c r="F484" s="315"/>
      <c r="G484" s="315"/>
      <c r="H484" s="315"/>
      <c r="I484" s="318"/>
      <c r="L484" s="54"/>
      <c r="M484" s="313"/>
    </row>
    <row r="485" ht="14.25" customHeight="1">
      <c r="E485" s="322"/>
      <c r="F485" s="315"/>
      <c r="G485" s="315"/>
      <c r="H485" s="315"/>
      <c r="I485" s="318"/>
      <c r="L485" s="54"/>
      <c r="M485" s="313"/>
    </row>
    <row r="486" ht="14.25" customHeight="1">
      <c r="E486" s="322"/>
      <c r="F486" s="315"/>
      <c r="G486" s="315"/>
      <c r="H486" s="315"/>
      <c r="I486" s="318"/>
      <c r="L486" s="54"/>
      <c r="M486" s="313"/>
    </row>
    <row r="487" ht="14.25" customHeight="1">
      <c r="E487" s="322"/>
      <c r="F487" s="315"/>
      <c r="G487" s="315"/>
      <c r="H487" s="315"/>
      <c r="I487" s="318"/>
      <c r="L487" s="54"/>
      <c r="M487" s="313"/>
    </row>
    <row r="488" ht="14.25" customHeight="1">
      <c r="E488" s="322"/>
      <c r="F488" s="315"/>
      <c r="G488" s="315"/>
      <c r="H488" s="315"/>
      <c r="I488" s="318"/>
      <c r="L488" s="54"/>
      <c r="M488" s="313"/>
    </row>
    <row r="489" ht="14.25" customHeight="1">
      <c r="E489" s="322"/>
      <c r="F489" s="315"/>
      <c r="G489" s="315"/>
      <c r="H489" s="315"/>
      <c r="I489" s="318"/>
      <c r="L489" s="54"/>
      <c r="M489" s="313"/>
    </row>
    <row r="490" ht="14.25" customHeight="1">
      <c r="E490" s="322"/>
      <c r="F490" s="315"/>
      <c r="G490" s="315"/>
      <c r="H490" s="315"/>
      <c r="I490" s="318"/>
      <c r="L490" s="54"/>
      <c r="M490" s="313"/>
    </row>
    <row r="491" ht="14.25" customHeight="1">
      <c r="E491" s="322"/>
      <c r="F491" s="315"/>
      <c r="G491" s="315"/>
      <c r="H491" s="315"/>
      <c r="I491" s="318"/>
      <c r="L491" s="54"/>
      <c r="M491" s="313"/>
    </row>
    <row r="492" ht="14.25" customHeight="1">
      <c r="E492" s="322"/>
      <c r="F492" s="315"/>
      <c r="G492" s="315"/>
      <c r="H492" s="315"/>
      <c r="I492" s="318"/>
      <c r="L492" s="54"/>
      <c r="M492" s="313"/>
    </row>
    <row r="493" ht="14.25" customHeight="1">
      <c r="E493" s="322"/>
      <c r="F493" s="315"/>
      <c r="G493" s="315"/>
      <c r="H493" s="315"/>
      <c r="I493" s="318"/>
      <c r="L493" s="54"/>
      <c r="M493" s="313"/>
    </row>
    <row r="494" ht="14.25" customHeight="1">
      <c r="E494" s="322"/>
      <c r="F494" s="315"/>
      <c r="G494" s="315"/>
      <c r="H494" s="315"/>
      <c r="I494" s="318"/>
      <c r="L494" s="54"/>
      <c r="M494" s="313"/>
    </row>
    <row r="495" ht="14.25" customHeight="1">
      <c r="E495" s="322"/>
      <c r="F495" s="315"/>
      <c r="G495" s="315"/>
      <c r="H495" s="315"/>
      <c r="I495" s="318"/>
      <c r="L495" s="54"/>
      <c r="M495" s="313"/>
    </row>
    <row r="496" ht="14.25" customHeight="1">
      <c r="E496" s="322"/>
      <c r="F496" s="315"/>
      <c r="G496" s="315"/>
      <c r="H496" s="315"/>
      <c r="I496" s="318"/>
      <c r="L496" s="54"/>
      <c r="M496" s="313"/>
    </row>
    <row r="497" ht="14.25" customHeight="1">
      <c r="E497" s="322"/>
      <c r="F497" s="315"/>
      <c r="G497" s="315"/>
      <c r="H497" s="315"/>
      <c r="I497" s="318"/>
      <c r="L497" s="54"/>
      <c r="M497" s="313"/>
    </row>
    <row r="498" ht="14.25" customHeight="1">
      <c r="E498" s="322"/>
      <c r="F498" s="315"/>
      <c r="G498" s="315"/>
      <c r="H498" s="315"/>
      <c r="I498" s="318"/>
      <c r="L498" s="54"/>
      <c r="M498" s="313"/>
    </row>
    <row r="499" ht="14.25" customHeight="1">
      <c r="E499" s="322"/>
      <c r="F499" s="315"/>
      <c r="G499" s="315"/>
      <c r="H499" s="315"/>
      <c r="I499" s="318"/>
      <c r="L499" s="54"/>
      <c r="M499" s="313"/>
    </row>
    <row r="500" ht="14.25" customHeight="1">
      <c r="E500" s="322"/>
      <c r="F500" s="315"/>
      <c r="G500" s="315"/>
      <c r="H500" s="315"/>
      <c r="I500" s="318"/>
      <c r="L500" s="54"/>
      <c r="M500" s="313"/>
    </row>
    <row r="501" ht="14.25" customHeight="1">
      <c r="E501" s="322"/>
      <c r="F501" s="315"/>
      <c r="G501" s="315"/>
      <c r="H501" s="315"/>
      <c r="I501" s="318"/>
      <c r="L501" s="54"/>
      <c r="M501" s="313"/>
    </row>
    <row r="502" ht="14.25" customHeight="1">
      <c r="E502" s="322"/>
      <c r="F502" s="315"/>
      <c r="G502" s="315"/>
      <c r="H502" s="315"/>
      <c r="I502" s="318"/>
      <c r="L502" s="54"/>
      <c r="M502" s="313"/>
    </row>
    <row r="503" ht="14.25" customHeight="1">
      <c r="E503" s="322"/>
      <c r="F503" s="315"/>
      <c r="G503" s="315"/>
      <c r="H503" s="315"/>
      <c r="I503" s="318"/>
      <c r="L503" s="54"/>
      <c r="M503" s="313"/>
    </row>
    <row r="504" ht="14.25" customHeight="1">
      <c r="E504" s="322"/>
      <c r="F504" s="315"/>
      <c r="G504" s="315"/>
      <c r="H504" s="315"/>
      <c r="I504" s="318"/>
      <c r="L504" s="54"/>
      <c r="M504" s="313"/>
    </row>
    <row r="505" ht="14.25" customHeight="1">
      <c r="E505" s="322"/>
      <c r="F505" s="315"/>
      <c r="G505" s="315"/>
      <c r="H505" s="315"/>
      <c r="I505" s="318"/>
      <c r="L505" s="54"/>
      <c r="M505" s="313"/>
    </row>
    <row r="506" ht="14.25" customHeight="1">
      <c r="E506" s="322"/>
      <c r="F506" s="315"/>
      <c r="G506" s="315"/>
      <c r="H506" s="315"/>
      <c r="I506" s="318"/>
      <c r="L506" s="54"/>
      <c r="M506" s="313"/>
    </row>
    <row r="507" ht="14.25" customHeight="1">
      <c r="E507" s="322"/>
      <c r="F507" s="315"/>
      <c r="G507" s="315"/>
      <c r="H507" s="315"/>
      <c r="I507" s="318"/>
      <c r="L507" s="54"/>
      <c r="M507" s="313"/>
    </row>
    <row r="508" ht="14.25" customHeight="1">
      <c r="E508" s="322"/>
      <c r="F508" s="315"/>
      <c r="G508" s="315"/>
      <c r="H508" s="315"/>
      <c r="I508" s="318"/>
      <c r="L508" s="54"/>
      <c r="M508" s="313"/>
    </row>
    <row r="509" ht="14.25" customHeight="1">
      <c r="E509" s="322"/>
      <c r="F509" s="315"/>
      <c r="G509" s="315"/>
      <c r="H509" s="315"/>
      <c r="I509" s="318"/>
      <c r="L509" s="54"/>
      <c r="M509" s="313"/>
    </row>
    <row r="510" ht="14.25" customHeight="1">
      <c r="E510" s="322"/>
      <c r="F510" s="315"/>
      <c r="G510" s="315"/>
      <c r="H510" s="315"/>
      <c r="I510" s="318"/>
      <c r="L510" s="54"/>
      <c r="M510" s="313"/>
    </row>
    <row r="511" ht="14.25" customHeight="1">
      <c r="E511" s="322"/>
      <c r="F511" s="315"/>
      <c r="G511" s="315"/>
      <c r="H511" s="315"/>
      <c r="I511" s="318"/>
      <c r="L511" s="54"/>
      <c r="M511" s="313"/>
    </row>
    <row r="512" ht="14.25" customHeight="1">
      <c r="E512" s="322"/>
      <c r="F512" s="315"/>
      <c r="G512" s="315"/>
      <c r="H512" s="315"/>
      <c r="I512" s="318"/>
      <c r="L512" s="54"/>
      <c r="M512" s="313"/>
    </row>
    <row r="513" ht="14.25" customHeight="1">
      <c r="E513" s="322"/>
      <c r="F513" s="315"/>
      <c r="G513" s="315"/>
      <c r="H513" s="315"/>
      <c r="I513" s="318"/>
      <c r="L513" s="54"/>
      <c r="M513" s="313"/>
    </row>
    <row r="514" ht="14.25" customHeight="1">
      <c r="E514" s="322"/>
      <c r="F514" s="315"/>
      <c r="G514" s="315"/>
      <c r="H514" s="315"/>
      <c r="I514" s="318"/>
      <c r="L514" s="54"/>
      <c r="M514" s="313"/>
    </row>
    <row r="515" ht="14.25" customHeight="1">
      <c r="E515" s="322"/>
      <c r="F515" s="315"/>
      <c r="G515" s="315"/>
      <c r="H515" s="315"/>
      <c r="I515" s="318"/>
      <c r="L515" s="54"/>
      <c r="M515" s="313"/>
    </row>
    <row r="516" ht="14.25" customHeight="1">
      <c r="E516" s="322"/>
      <c r="F516" s="315"/>
      <c r="G516" s="315"/>
      <c r="H516" s="315"/>
      <c r="I516" s="318"/>
      <c r="L516" s="54"/>
      <c r="M516" s="313"/>
    </row>
    <row r="517" ht="14.25" customHeight="1">
      <c r="E517" s="322"/>
      <c r="F517" s="315"/>
      <c r="G517" s="315"/>
      <c r="H517" s="315"/>
      <c r="I517" s="318"/>
      <c r="L517" s="54"/>
      <c r="M517" s="313"/>
    </row>
    <row r="518" ht="14.25" customHeight="1">
      <c r="E518" s="322"/>
      <c r="F518" s="315"/>
      <c r="G518" s="315"/>
      <c r="H518" s="315"/>
      <c r="I518" s="318"/>
      <c r="L518" s="54"/>
      <c r="M518" s="313"/>
    </row>
    <row r="519" ht="14.25" customHeight="1">
      <c r="E519" s="322"/>
      <c r="F519" s="315"/>
      <c r="G519" s="315"/>
      <c r="H519" s="315"/>
      <c r="I519" s="318"/>
      <c r="L519" s="54"/>
      <c r="M519" s="313"/>
    </row>
    <row r="520" ht="14.25" customHeight="1">
      <c r="E520" s="322"/>
      <c r="F520" s="315"/>
      <c r="G520" s="315"/>
      <c r="H520" s="315"/>
      <c r="I520" s="318"/>
      <c r="L520" s="54"/>
      <c r="M520" s="313"/>
    </row>
    <row r="521" ht="14.25" customHeight="1">
      <c r="E521" s="322"/>
      <c r="F521" s="315"/>
      <c r="G521" s="315"/>
      <c r="H521" s="315"/>
      <c r="I521" s="318"/>
      <c r="L521" s="54"/>
      <c r="M521" s="313"/>
    </row>
    <row r="522" ht="14.25" customHeight="1">
      <c r="E522" s="322"/>
      <c r="F522" s="315"/>
      <c r="G522" s="315"/>
      <c r="H522" s="315"/>
      <c r="I522" s="318"/>
      <c r="L522" s="54"/>
      <c r="M522" s="313"/>
    </row>
    <row r="523" ht="14.25" customHeight="1">
      <c r="E523" s="322"/>
      <c r="F523" s="315"/>
      <c r="G523" s="315"/>
      <c r="H523" s="315"/>
      <c r="I523" s="318"/>
      <c r="L523" s="54"/>
      <c r="M523" s="313"/>
    </row>
    <row r="524" ht="14.25" customHeight="1">
      <c r="E524" s="322"/>
      <c r="F524" s="315"/>
      <c r="G524" s="315"/>
      <c r="H524" s="315"/>
      <c r="I524" s="318"/>
      <c r="L524" s="54"/>
      <c r="M524" s="313"/>
    </row>
    <row r="525" ht="14.25" customHeight="1">
      <c r="E525" s="322"/>
      <c r="F525" s="315"/>
      <c r="G525" s="315"/>
      <c r="H525" s="315"/>
      <c r="I525" s="318"/>
      <c r="L525" s="54"/>
      <c r="M525" s="313"/>
    </row>
    <row r="526" ht="14.25" customHeight="1">
      <c r="E526" s="322"/>
      <c r="F526" s="315"/>
      <c r="G526" s="315"/>
      <c r="H526" s="315"/>
      <c r="I526" s="318"/>
      <c r="L526" s="54"/>
      <c r="M526" s="313"/>
    </row>
    <row r="527" ht="14.25" customHeight="1">
      <c r="E527" s="322"/>
      <c r="F527" s="315"/>
      <c r="G527" s="315"/>
      <c r="H527" s="315"/>
      <c r="I527" s="318"/>
      <c r="L527" s="54"/>
      <c r="M527" s="313"/>
    </row>
    <row r="528" ht="14.25" customHeight="1">
      <c r="E528" s="322"/>
      <c r="F528" s="315"/>
      <c r="G528" s="315"/>
      <c r="H528" s="315"/>
      <c r="I528" s="318"/>
      <c r="L528" s="54"/>
      <c r="M528" s="313"/>
    </row>
    <row r="529" ht="14.25" customHeight="1">
      <c r="E529" s="322"/>
      <c r="F529" s="315"/>
      <c r="G529" s="315"/>
      <c r="H529" s="315"/>
      <c r="I529" s="318"/>
      <c r="L529" s="54"/>
      <c r="M529" s="313"/>
    </row>
    <row r="530" ht="14.25" customHeight="1">
      <c r="E530" s="322"/>
      <c r="F530" s="315"/>
      <c r="G530" s="315"/>
      <c r="H530" s="315"/>
      <c r="I530" s="318"/>
      <c r="L530" s="54"/>
      <c r="M530" s="313"/>
    </row>
    <row r="531" ht="14.25" customHeight="1">
      <c r="E531" s="322"/>
      <c r="F531" s="315"/>
      <c r="G531" s="315"/>
      <c r="H531" s="315"/>
      <c r="I531" s="318"/>
      <c r="L531" s="54"/>
      <c r="M531" s="313"/>
    </row>
    <row r="532" ht="14.25" customHeight="1">
      <c r="E532" s="322"/>
      <c r="F532" s="315"/>
      <c r="G532" s="315"/>
      <c r="H532" s="315"/>
      <c r="I532" s="318"/>
      <c r="L532" s="54"/>
      <c r="M532" s="313"/>
    </row>
    <row r="533" ht="14.25" customHeight="1">
      <c r="E533" s="322"/>
      <c r="F533" s="315"/>
      <c r="G533" s="315"/>
      <c r="H533" s="315"/>
      <c r="I533" s="318"/>
      <c r="L533" s="54"/>
      <c r="M533" s="313"/>
    </row>
    <row r="534" ht="14.25" customHeight="1">
      <c r="E534" s="322"/>
      <c r="F534" s="315"/>
      <c r="G534" s="315"/>
      <c r="H534" s="315"/>
      <c r="I534" s="318"/>
      <c r="L534" s="54"/>
      <c r="M534" s="313"/>
    </row>
    <row r="535" ht="14.25" customHeight="1">
      <c r="E535" s="322"/>
      <c r="F535" s="315"/>
      <c r="G535" s="315"/>
      <c r="H535" s="315"/>
      <c r="I535" s="318"/>
      <c r="L535" s="54"/>
      <c r="M535" s="313"/>
    </row>
    <row r="536" ht="14.25" customHeight="1">
      <c r="E536" s="322"/>
      <c r="F536" s="315"/>
      <c r="G536" s="315"/>
      <c r="H536" s="315"/>
      <c r="I536" s="318"/>
      <c r="L536" s="54"/>
      <c r="M536" s="313"/>
    </row>
    <row r="537" ht="14.25" customHeight="1">
      <c r="E537" s="322"/>
      <c r="F537" s="315"/>
      <c r="G537" s="315"/>
      <c r="H537" s="315"/>
      <c r="I537" s="318"/>
      <c r="L537" s="54"/>
      <c r="M537" s="313"/>
    </row>
    <row r="538" ht="14.25" customHeight="1">
      <c r="E538" s="322"/>
      <c r="F538" s="315"/>
      <c r="G538" s="315"/>
      <c r="H538" s="315"/>
      <c r="I538" s="318"/>
      <c r="L538" s="54"/>
      <c r="M538" s="313"/>
    </row>
    <row r="539" ht="14.25" customHeight="1">
      <c r="E539" s="322"/>
      <c r="F539" s="315"/>
      <c r="G539" s="315"/>
      <c r="H539" s="315"/>
      <c r="I539" s="318"/>
      <c r="L539" s="54"/>
      <c r="M539" s="313"/>
    </row>
    <row r="540" ht="14.25" customHeight="1">
      <c r="E540" s="322"/>
      <c r="F540" s="315"/>
      <c r="G540" s="315"/>
      <c r="H540" s="315"/>
      <c r="I540" s="318"/>
      <c r="L540" s="54"/>
      <c r="M540" s="313"/>
    </row>
    <row r="541" ht="14.25" customHeight="1">
      <c r="E541" s="322"/>
      <c r="F541" s="315"/>
      <c r="G541" s="315"/>
      <c r="H541" s="315"/>
      <c r="I541" s="318"/>
      <c r="L541" s="54"/>
      <c r="M541" s="313"/>
    </row>
    <row r="542" ht="14.25" customHeight="1">
      <c r="E542" s="322"/>
      <c r="F542" s="315"/>
      <c r="G542" s="315"/>
      <c r="H542" s="315"/>
      <c r="I542" s="318"/>
      <c r="L542" s="54"/>
      <c r="M542" s="313"/>
    </row>
    <row r="543" ht="14.25" customHeight="1">
      <c r="E543" s="322"/>
      <c r="F543" s="315"/>
      <c r="G543" s="315"/>
      <c r="H543" s="315"/>
      <c r="I543" s="318"/>
      <c r="L543" s="54"/>
      <c r="M543" s="313"/>
    </row>
    <row r="544" ht="14.25" customHeight="1">
      <c r="E544" s="322"/>
      <c r="F544" s="315"/>
      <c r="G544" s="315"/>
      <c r="H544" s="315"/>
      <c r="I544" s="318"/>
      <c r="L544" s="54"/>
      <c r="M544" s="313"/>
    </row>
    <row r="545" ht="14.25" customHeight="1">
      <c r="E545" s="322"/>
      <c r="F545" s="315"/>
      <c r="G545" s="315"/>
      <c r="H545" s="315"/>
      <c r="I545" s="318"/>
      <c r="L545" s="54"/>
      <c r="M545" s="313"/>
    </row>
    <row r="546" ht="14.25" customHeight="1">
      <c r="E546" s="322"/>
      <c r="F546" s="315"/>
      <c r="G546" s="315"/>
      <c r="H546" s="315"/>
      <c r="I546" s="318"/>
      <c r="L546" s="54"/>
      <c r="M546" s="313"/>
    </row>
    <row r="547" ht="14.25" customHeight="1">
      <c r="E547" s="322"/>
      <c r="F547" s="315"/>
      <c r="G547" s="315"/>
      <c r="H547" s="315"/>
      <c r="I547" s="318"/>
      <c r="L547" s="54"/>
      <c r="M547" s="313"/>
    </row>
    <row r="548" ht="14.25" customHeight="1">
      <c r="E548" s="322"/>
      <c r="F548" s="315"/>
      <c r="G548" s="315"/>
      <c r="H548" s="315"/>
      <c r="I548" s="318"/>
      <c r="L548" s="54"/>
      <c r="M548" s="313"/>
    </row>
    <row r="549" ht="14.25" customHeight="1">
      <c r="E549" s="322"/>
      <c r="F549" s="315"/>
      <c r="G549" s="315"/>
      <c r="H549" s="315"/>
      <c r="I549" s="318"/>
      <c r="L549" s="54"/>
      <c r="M549" s="313"/>
    </row>
    <row r="550" ht="14.25" customHeight="1">
      <c r="E550" s="322"/>
      <c r="F550" s="315"/>
      <c r="G550" s="315"/>
      <c r="H550" s="315"/>
      <c r="I550" s="318"/>
      <c r="L550" s="54"/>
      <c r="M550" s="313"/>
    </row>
    <row r="551" ht="14.25" customHeight="1">
      <c r="E551" s="322"/>
      <c r="F551" s="315"/>
      <c r="G551" s="315"/>
      <c r="H551" s="315"/>
      <c r="I551" s="318"/>
      <c r="L551" s="54"/>
      <c r="M551" s="313"/>
    </row>
    <row r="552" ht="14.25" customHeight="1">
      <c r="E552" s="322"/>
      <c r="F552" s="315"/>
      <c r="G552" s="315"/>
      <c r="H552" s="315"/>
      <c r="I552" s="318"/>
      <c r="L552" s="54"/>
      <c r="M552" s="313"/>
    </row>
    <row r="553" ht="14.25" customHeight="1">
      <c r="E553" s="322"/>
      <c r="F553" s="315"/>
      <c r="G553" s="315"/>
      <c r="H553" s="315"/>
      <c r="I553" s="318"/>
      <c r="L553" s="54"/>
      <c r="M553" s="313"/>
    </row>
    <row r="554" ht="14.25" customHeight="1">
      <c r="E554" s="322"/>
      <c r="F554" s="315"/>
      <c r="G554" s="315"/>
      <c r="H554" s="315"/>
      <c r="I554" s="318"/>
      <c r="L554" s="54"/>
      <c r="M554" s="313"/>
    </row>
    <row r="555" ht="14.25" customHeight="1">
      <c r="E555" s="322"/>
      <c r="F555" s="315"/>
      <c r="G555" s="315"/>
      <c r="H555" s="315"/>
      <c r="I555" s="318"/>
      <c r="L555" s="54"/>
      <c r="M555" s="313"/>
    </row>
    <row r="556" ht="14.25" customHeight="1">
      <c r="E556" s="322"/>
      <c r="F556" s="315"/>
      <c r="G556" s="315"/>
      <c r="H556" s="315"/>
      <c r="I556" s="318"/>
      <c r="L556" s="54"/>
      <c r="M556" s="313"/>
    </row>
    <row r="557" ht="14.25" customHeight="1">
      <c r="E557" s="322"/>
      <c r="F557" s="315"/>
      <c r="G557" s="315"/>
      <c r="H557" s="315"/>
      <c r="I557" s="318"/>
      <c r="L557" s="54"/>
      <c r="M557" s="313"/>
    </row>
    <row r="558" ht="14.25" customHeight="1">
      <c r="E558" s="322"/>
      <c r="F558" s="315"/>
      <c r="G558" s="315"/>
      <c r="H558" s="315"/>
      <c r="I558" s="318"/>
      <c r="L558" s="54"/>
      <c r="M558" s="313"/>
    </row>
    <row r="559" ht="14.25" customHeight="1">
      <c r="E559" s="322"/>
      <c r="F559" s="315"/>
      <c r="G559" s="315"/>
      <c r="H559" s="315"/>
      <c r="I559" s="318"/>
      <c r="L559" s="54"/>
      <c r="M559" s="313"/>
    </row>
    <row r="560" ht="14.25" customHeight="1">
      <c r="E560" s="322"/>
      <c r="F560" s="315"/>
      <c r="G560" s="315"/>
      <c r="H560" s="315"/>
      <c r="I560" s="318"/>
      <c r="L560" s="54"/>
      <c r="M560" s="313"/>
    </row>
    <row r="561" ht="14.25" customHeight="1">
      <c r="E561" s="322"/>
      <c r="F561" s="315"/>
      <c r="G561" s="315"/>
      <c r="H561" s="315"/>
      <c r="I561" s="318"/>
      <c r="L561" s="54"/>
      <c r="M561" s="313"/>
    </row>
    <row r="562" ht="14.25" customHeight="1">
      <c r="E562" s="322"/>
      <c r="F562" s="315"/>
      <c r="G562" s="315"/>
      <c r="H562" s="315"/>
      <c r="I562" s="318"/>
      <c r="L562" s="54"/>
      <c r="M562" s="313"/>
    </row>
    <row r="563" ht="14.25" customHeight="1">
      <c r="E563" s="322"/>
      <c r="F563" s="315"/>
      <c r="G563" s="315"/>
      <c r="H563" s="315"/>
      <c r="I563" s="318"/>
      <c r="L563" s="54"/>
      <c r="M563" s="313"/>
    </row>
    <row r="564" ht="14.25" customHeight="1">
      <c r="E564" s="322"/>
      <c r="F564" s="315"/>
      <c r="G564" s="315"/>
      <c r="H564" s="315"/>
      <c r="I564" s="318"/>
      <c r="L564" s="54"/>
      <c r="M564" s="313"/>
    </row>
    <row r="565" ht="14.25" customHeight="1">
      <c r="E565" s="322"/>
      <c r="F565" s="315"/>
      <c r="G565" s="315"/>
      <c r="H565" s="315"/>
      <c r="I565" s="318"/>
      <c r="L565" s="54"/>
      <c r="M565" s="313"/>
    </row>
    <row r="566" ht="14.25" customHeight="1">
      <c r="E566" s="322"/>
      <c r="F566" s="315"/>
      <c r="G566" s="315"/>
      <c r="H566" s="315"/>
      <c r="I566" s="318"/>
      <c r="L566" s="54"/>
      <c r="M566" s="313"/>
    </row>
    <row r="567" ht="14.25" customHeight="1">
      <c r="E567" s="322"/>
      <c r="F567" s="315"/>
      <c r="G567" s="315"/>
      <c r="H567" s="315"/>
      <c r="I567" s="318"/>
      <c r="L567" s="54"/>
      <c r="M567" s="313"/>
    </row>
    <row r="568" ht="14.25" customHeight="1">
      <c r="E568" s="322"/>
      <c r="F568" s="315"/>
      <c r="G568" s="315"/>
      <c r="H568" s="315"/>
      <c r="I568" s="318"/>
      <c r="L568" s="54"/>
      <c r="M568" s="313"/>
    </row>
    <row r="569" ht="14.25" customHeight="1">
      <c r="E569" s="322"/>
      <c r="F569" s="315"/>
      <c r="G569" s="315"/>
      <c r="H569" s="315"/>
      <c r="I569" s="318"/>
      <c r="L569" s="54"/>
      <c r="M569" s="313"/>
    </row>
    <row r="570" ht="14.25" customHeight="1">
      <c r="E570" s="322"/>
      <c r="F570" s="315"/>
      <c r="G570" s="315"/>
      <c r="H570" s="315"/>
      <c r="I570" s="318"/>
      <c r="L570" s="54"/>
      <c r="M570" s="313"/>
    </row>
    <row r="571" ht="14.25" customHeight="1">
      <c r="E571" s="322"/>
      <c r="F571" s="315"/>
      <c r="G571" s="315"/>
      <c r="H571" s="315"/>
      <c r="I571" s="318"/>
      <c r="L571" s="54"/>
      <c r="M571" s="313"/>
    </row>
    <row r="572" ht="14.25" customHeight="1">
      <c r="E572" s="322"/>
      <c r="F572" s="315"/>
      <c r="G572" s="315"/>
      <c r="H572" s="315"/>
      <c r="I572" s="318"/>
      <c r="L572" s="54"/>
      <c r="M572" s="313"/>
    </row>
    <row r="573" ht="14.25" customHeight="1">
      <c r="E573" s="322"/>
      <c r="F573" s="315"/>
      <c r="G573" s="315"/>
      <c r="H573" s="315"/>
      <c r="I573" s="318"/>
      <c r="L573" s="54"/>
      <c r="M573" s="313"/>
    </row>
    <row r="574" ht="14.25" customHeight="1">
      <c r="E574" s="322"/>
      <c r="F574" s="315"/>
      <c r="G574" s="315"/>
      <c r="H574" s="315"/>
      <c r="I574" s="318"/>
      <c r="L574" s="54"/>
      <c r="M574" s="313"/>
    </row>
    <row r="575" ht="14.25" customHeight="1">
      <c r="E575" s="322"/>
      <c r="F575" s="315"/>
      <c r="G575" s="315"/>
      <c r="H575" s="315"/>
      <c r="I575" s="318"/>
      <c r="L575" s="54"/>
      <c r="M575" s="313"/>
    </row>
    <row r="576" ht="14.25" customHeight="1">
      <c r="E576" s="322"/>
      <c r="F576" s="315"/>
      <c r="G576" s="315"/>
      <c r="H576" s="315"/>
      <c r="I576" s="318"/>
      <c r="L576" s="54"/>
      <c r="M576" s="313"/>
    </row>
    <row r="577" ht="14.25" customHeight="1">
      <c r="E577" s="322"/>
      <c r="F577" s="315"/>
      <c r="G577" s="315"/>
      <c r="H577" s="315"/>
      <c r="I577" s="318"/>
      <c r="L577" s="54"/>
      <c r="M577" s="313"/>
    </row>
    <row r="578" ht="14.25" customHeight="1">
      <c r="E578" s="322"/>
      <c r="F578" s="315"/>
      <c r="G578" s="315"/>
      <c r="H578" s="315"/>
      <c r="I578" s="318"/>
      <c r="L578" s="54"/>
      <c r="M578" s="313"/>
    </row>
    <row r="579" ht="14.25" customHeight="1">
      <c r="E579" s="322"/>
      <c r="F579" s="315"/>
      <c r="G579" s="315"/>
      <c r="H579" s="315"/>
      <c r="I579" s="318"/>
      <c r="L579" s="54"/>
      <c r="M579" s="313"/>
    </row>
    <row r="580" ht="14.25" customHeight="1">
      <c r="E580" s="322"/>
      <c r="F580" s="315"/>
      <c r="G580" s="315"/>
      <c r="H580" s="315"/>
      <c r="I580" s="318"/>
      <c r="L580" s="54"/>
      <c r="M580" s="313"/>
    </row>
    <row r="581" ht="14.25" customHeight="1">
      <c r="E581" s="322"/>
      <c r="F581" s="315"/>
      <c r="G581" s="315"/>
      <c r="H581" s="315"/>
      <c r="I581" s="318"/>
      <c r="L581" s="54"/>
      <c r="M581" s="313"/>
    </row>
    <row r="582" ht="14.25" customHeight="1">
      <c r="E582" s="322"/>
      <c r="F582" s="315"/>
      <c r="G582" s="315"/>
      <c r="H582" s="315"/>
      <c r="I582" s="318"/>
      <c r="L582" s="54"/>
      <c r="M582" s="313"/>
    </row>
    <row r="583" ht="14.25" customHeight="1">
      <c r="E583" s="322"/>
      <c r="F583" s="315"/>
      <c r="G583" s="315"/>
      <c r="H583" s="315"/>
      <c r="I583" s="318"/>
      <c r="L583" s="54"/>
      <c r="M583" s="313"/>
    </row>
    <row r="584" ht="14.25" customHeight="1">
      <c r="E584" s="322"/>
      <c r="F584" s="315"/>
      <c r="G584" s="315"/>
      <c r="H584" s="315"/>
      <c r="I584" s="318"/>
      <c r="L584" s="54"/>
      <c r="M584" s="313"/>
    </row>
    <row r="585" ht="14.25" customHeight="1">
      <c r="E585" s="322"/>
      <c r="F585" s="315"/>
      <c r="G585" s="315"/>
      <c r="H585" s="315"/>
      <c r="I585" s="318"/>
      <c r="L585" s="54"/>
      <c r="M585" s="313"/>
    </row>
    <row r="586" ht="14.25" customHeight="1">
      <c r="E586" s="322"/>
      <c r="F586" s="315"/>
      <c r="G586" s="315"/>
      <c r="H586" s="315"/>
      <c r="I586" s="318"/>
      <c r="L586" s="54"/>
      <c r="M586" s="313"/>
    </row>
    <row r="587" ht="14.25" customHeight="1">
      <c r="E587" s="322"/>
      <c r="F587" s="315"/>
      <c r="G587" s="315"/>
      <c r="H587" s="315"/>
      <c r="I587" s="318"/>
      <c r="L587" s="54"/>
      <c r="M587" s="313"/>
    </row>
    <row r="588" ht="14.25" customHeight="1">
      <c r="E588" s="322"/>
      <c r="F588" s="315"/>
      <c r="G588" s="315"/>
      <c r="H588" s="315"/>
      <c r="I588" s="318"/>
      <c r="L588" s="54"/>
      <c r="M588" s="313"/>
    </row>
    <row r="589" ht="14.25" customHeight="1">
      <c r="E589" s="322"/>
      <c r="F589" s="315"/>
      <c r="G589" s="315"/>
      <c r="H589" s="315"/>
      <c r="I589" s="318"/>
      <c r="L589" s="54"/>
      <c r="M589" s="313"/>
    </row>
    <row r="590" ht="14.25" customHeight="1">
      <c r="E590" s="322"/>
      <c r="F590" s="315"/>
      <c r="G590" s="315"/>
      <c r="H590" s="315"/>
      <c r="I590" s="318"/>
      <c r="L590" s="54"/>
      <c r="M590" s="313"/>
    </row>
    <row r="591" ht="14.25" customHeight="1">
      <c r="E591" s="322"/>
      <c r="F591" s="315"/>
      <c r="G591" s="315"/>
      <c r="H591" s="315"/>
      <c r="I591" s="318"/>
      <c r="L591" s="54"/>
      <c r="M591" s="313"/>
    </row>
    <row r="592" ht="14.25" customHeight="1">
      <c r="E592" s="322"/>
      <c r="F592" s="315"/>
      <c r="G592" s="315"/>
      <c r="H592" s="315"/>
      <c r="I592" s="318"/>
      <c r="L592" s="54"/>
      <c r="M592" s="313"/>
    </row>
    <row r="593" ht="14.25" customHeight="1">
      <c r="E593" s="322"/>
      <c r="F593" s="315"/>
      <c r="G593" s="315"/>
      <c r="H593" s="315"/>
      <c r="I593" s="318"/>
      <c r="L593" s="54"/>
      <c r="M593" s="313"/>
    </row>
    <row r="594" ht="14.25" customHeight="1">
      <c r="E594" s="322"/>
      <c r="F594" s="315"/>
      <c r="G594" s="315"/>
      <c r="H594" s="315"/>
      <c r="I594" s="318"/>
      <c r="L594" s="54"/>
      <c r="M594" s="313"/>
    </row>
    <row r="595" ht="14.25" customHeight="1">
      <c r="E595" s="322"/>
      <c r="F595" s="315"/>
      <c r="G595" s="315"/>
      <c r="H595" s="315"/>
      <c r="I595" s="318"/>
      <c r="L595" s="54"/>
      <c r="M595" s="313"/>
    </row>
    <row r="596" ht="14.25" customHeight="1">
      <c r="E596" s="322"/>
      <c r="F596" s="315"/>
      <c r="G596" s="315"/>
      <c r="H596" s="315"/>
      <c r="I596" s="318"/>
      <c r="L596" s="54"/>
      <c r="M596" s="313"/>
    </row>
    <row r="597" ht="14.25" customHeight="1">
      <c r="E597" s="322"/>
      <c r="F597" s="315"/>
      <c r="G597" s="315"/>
      <c r="H597" s="315"/>
      <c r="I597" s="318"/>
      <c r="L597" s="54"/>
      <c r="M597" s="313"/>
    </row>
    <row r="598" ht="14.25" customHeight="1">
      <c r="E598" s="322"/>
      <c r="F598" s="315"/>
      <c r="G598" s="315"/>
      <c r="H598" s="315"/>
      <c r="I598" s="318"/>
      <c r="L598" s="54"/>
      <c r="M598" s="313"/>
    </row>
    <row r="599" ht="14.25" customHeight="1">
      <c r="E599" s="322"/>
      <c r="F599" s="315"/>
      <c r="G599" s="315"/>
      <c r="H599" s="315"/>
      <c r="I599" s="318"/>
      <c r="L599" s="54"/>
      <c r="M599" s="313"/>
    </row>
    <row r="600" ht="14.25" customHeight="1">
      <c r="E600" s="322"/>
      <c r="F600" s="315"/>
      <c r="G600" s="315"/>
      <c r="H600" s="315"/>
      <c r="I600" s="318"/>
      <c r="L600" s="54"/>
      <c r="M600" s="313"/>
    </row>
    <row r="601" ht="14.25" customHeight="1">
      <c r="E601" s="322"/>
      <c r="F601" s="315"/>
      <c r="G601" s="315"/>
      <c r="H601" s="315"/>
      <c r="I601" s="318"/>
      <c r="L601" s="54"/>
      <c r="M601" s="313"/>
    </row>
    <row r="602" ht="14.25" customHeight="1">
      <c r="E602" s="322"/>
      <c r="F602" s="315"/>
      <c r="G602" s="315"/>
      <c r="H602" s="315"/>
      <c r="I602" s="318"/>
      <c r="L602" s="54"/>
      <c r="M602" s="313"/>
    </row>
    <row r="603" ht="14.25" customHeight="1">
      <c r="E603" s="322"/>
      <c r="F603" s="315"/>
      <c r="G603" s="315"/>
      <c r="H603" s="315"/>
      <c r="I603" s="318"/>
      <c r="L603" s="54"/>
      <c r="M603" s="313"/>
    </row>
    <row r="604" ht="14.25" customHeight="1">
      <c r="E604" s="322"/>
      <c r="F604" s="315"/>
      <c r="G604" s="315"/>
      <c r="H604" s="315"/>
      <c r="I604" s="318"/>
      <c r="L604" s="54"/>
      <c r="M604" s="313"/>
    </row>
    <row r="605" ht="14.25" customHeight="1">
      <c r="E605" s="322"/>
      <c r="F605" s="315"/>
      <c r="G605" s="315"/>
      <c r="H605" s="315"/>
      <c r="I605" s="318"/>
      <c r="L605" s="54"/>
      <c r="M605" s="313"/>
    </row>
    <row r="606" ht="14.25" customHeight="1">
      <c r="E606" s="322"/>
      <c r="F606" s="315"/>
      <c r="G606" s="315"/>
      <c r="H606" s="315"/>
      <c r="I606" s="318"/>
      <c r="L606" s="54"/>
      <c r="M606" s="313"/>
    </row>
    <row r="607" ht="14.25" customHeight="1">
      <c r="E607" s="322"/>
      <c r="F607" s="315"/>
      <c r="G607" s="315"/>
      <c r="H607" s="315"/>
      <c r="I607" s="318"/>
      <c r="L607" s="54"/>
      <c r="M607" s="313"/>
    </row>
    <row r="608" ht="14.25" customHeight="1">
      <c r="E608" s="322"/>
      <c r="F608" s="315"/>
      <c r="G608" s="315"/>
      <c r="H608" s="315"/>
      <c r="I608" s="318"/>
      <c r="L608" s="54"/>
      <c r="M608" s="313"/>
    </row>
    <row r="609" ht="14.25" customHeight="1">
      <c r="E609" s="322"/>
      <c r="F609" s="315"/>
      <c r="G609" s="315"/>
      <c r="H609" s="315"/>
      <c r="I609" s="318"/>
      <c r="L609" s="54"/>
      <c r="M609" s="313"/>
    </row>
    <row r="610" ht="14.25" customHeight="1">
      <c r="E610" s="322"/>
      <c r="F610" s="315"/>
      <c r="G610" s="315"/>
      <c r="H610" s="315"/>
      <c r="I610" s="318"/>
      <c r="L610" s="54"/>
      <c r="M610" s="313"/>
    </row>
    <row r="611" ht="14.25" customHeight="1">
      <c r="E611" s="322"/>
      <c r="F611" s="315"/>
      <c r="G611" s="315"/>
      <c r="H611" s="315"/>
      <c r="I611" s="318"/>
      <c r="L611" s="54"/>
      <c r="M611" s="313"/>
    </row>
    <row r="612" ht="14.25" customHeight="1">
      <c r="E612" s="322"/>
      <c r="F612" s="315"/>
      <c r="G612" s="315"/>
      <c r="H612" s="315"/>
      <c r="I612" s="318"/>
      <c r="L612" s="54"/>
      <c r="M612" s="313"/>
    </row>
    <row r="613" ht="14.25" customHeight="1">
      <c r="E613" s="322"/>
      <c r="F613" s="315"/>
      <c r="G613" s="315"/>
      <c r="H613" s="315"/>
      <c r="I613" s="318"/>
      <c r="L613" s="54"/>
      <c r="M613" s="313"/>
    </row>
    <row r="614" ht="14.25" customHeight="1">
      <c r="E614" s="322"/>
      <c r="F614" s="315"/>
      <c r="G614" s="315"/>
      <c r="H614" s="315"/>
      <c r="I614" s="318"/>
      <c r="L614" s="54"/>
      <c r="M614" s="313"/>
    </row>
    <row r="615" ht="14.25" customHeight="1">
      <c r="E615" s="322"/>
      <c r="F615" s="315"/>
      <c r="G615" s="315"/>
      <c r="H615" s="315"/>
      <c r="I615" s="318"/>
      <c r="L615" s="54"/>
      <c r="M615" s="313"/>
    </row>
    <row r="616" ht="14.25" customHeight="1">
      <c r="E616" s="322"/>
      <c r="F616" s="315"/>
      <c r="G616" s="315"/>
      <c r="H616" s="315"/>
      <c r="I616" s="318"/>
      <c r="L616" s="54"/>
      <c r="M616" s="313"/>
    </row>
    <row r="617" ht="14.25" customHeight="1">
      <c r="E617" s="322"/>
      <c r="F617" s="315"/>
      <c r="G617" s="315"/>
      <c r="H617" s="315"/>
      <c r="I617" s="318"/>
      <c r="L617" s="54"/>
      <c r="M617" s="313"/>
    </row>
    <row r="618" ht="14.25" customHeight="1">
      <c r="E618" s="322"/>
      <c r="F618" s="315"/>
      <c r="G618" s="315"/>
      <c r="H618" s="315"/>
      <c r="I618" s="318"/>
      <c r="L618" s="54"/>
      <c r="M618" s="313"/>
    </row>
    <row r="619" ht="14.25" customHeight="1">
      <c r="E619" s="322"/>
      <c r="F619" s="315"/>
      <c r="G619" s="315"/>
      <c r="H619" s="315"/>
      <c r="I619" s="318"/>
      <c r="L619" s="54"/>
      <c r="M619" s="313"/>
    </row>
    <row r="620" ht="14.25" customHeight="1">
      <c r="E620" s="322"/>
      <c r="F620" s="315"/>
      <c r="G620" s="315"/>
      <c r="H620" s="315"/>
      <c r="I620" s="318"/>
      <c r="L620" s="54"/>
      <c r="M620" s="313"/>
    </row>
    <row r="621" ht="14.25" customHeight="1">
      <c r="E621" s="322"/>
      <c r="F621" s="315"/>
      <c r="G621" s="315"/>
      <c r="H621" s="315"/>
      <c r="I621" s="318"/>
      <c r="L621" s="54"/>
      <c r="M621" s="313"/>
    </row>
    <row r="622" ht="14.25" customHeight="1">
      <c r="E622" s="322"/>
      <c r="F622" s="315"/>
      <c r="G622" s="315"/>
      <c r="H622" s="315"/>
      <c r="I622" s="318"/>
      <c r="L622" s="54"/>
      <c r="M622" s="313"/>
    </row>
    <row r="623" ht="14.25" customHeight="1">
      <c r="E623" s="322"/>
      <c r="F623" s="315"/>
      <c r="G623" s="315"/>
      <c r="H623" s="315"/>
      <c r="I623" s="318"/>
      <c r="L623" s="54"/>
      <c r="M623" s="313"/>
    </row>
    <row r="624" ht="14.25" customHeight="1">
      <c r="E624" s="322"/>
      <c r="F624" s="315"/>
      <c r="G624" s="315"/>
      <c r="H624" s="315"/>
      <c r="I624" s="318"/>
      <c r="L624" s="54"/>
      <c r="M624" s="313"/>
    </row>
    <row r="625" ht="14.25" customHeight="1">
      <c r="E625" s="322"/>
      <c r="F625" s="315"/>
      <c r="G625" s="315"/>
      <c r="H625" s="315"/>
      <c r="I625" s="318"/>
      <c r="L625" s="54"/>
      <c r="M625" s="313"/>
    </row>
    <row r="626" ht="14.25" customHeight="1">
      <c r="E626" s="322"/>
      <c r="F626" s="315"/>
      <c r="G626" s="315"/>
      <c r="H626" s="315"/>
      <c r="I626" s="318"/>
      <c r="L626" s="54"/>
      <c r="M626" s="313"/>
    </row>
    <row r="627" ht="14.25" customHeight="1">
      <c r="E627" s="322"/>
      <c r="F627" s="315"/>
      <c r="G627" s="315"/>
      <c r="H627" s="315"/>
      <c r="I627" s="318"/>
      <c r="L627" s="54"/>
      <c r="M627" s="313"/>
    </row>
    <row r="628" ht="14.25" customHeight="1">
      <c r="E628" s="322"/>
      <c r="F628" s="315"/>
      <c r="G628" s="315"/>
      <c r="H628" s="315"/>
      <c r="I628" s="318"/>
      <c r="L628" s="54"/>
      <c r="M628" s="313"/>
    </row>
    <row r="629" ht="14.25" customHeight="1">
      <c r="E629" s="322"/>
      <c r="F629" s="315"/>
      <c r="G629" s="315"/>
      <c r="H629" s="315"/>
      <c r="I629" s="318"/>
      <c r="L629" s="54"/>
      <c r="M629" s="313"/>
    </row>
    <row r="630" ht="14.25" customHeight="1">
      <c r="E630" s="322"/>
      <c r="F630" s="315"/>
      <c r="G630" s="315"/>
      <c r="H630" s="315"/>
      <c r="I630" s="318"/>
      <c r="L630" s="54"/>
      <c r="M630" s="313"/>
    </row>
    <row r="631" ht="14.25" customHeight="1">
      <c r="E631" s="322"/>
      <c r="F631" s="315"/>
      <c r="G631" s="315"/>
      <c r="H631" s="315"/>
      <c r="I631" s="318"/>
      <c r="L631" s="54"/>
      <c r="M631" s="313"/>
    </row>
    <row r="632" ht="14.25" customHeight="1">
      <c r="E632" s="322"/>
      <c r="F632" s="315"/>
      <c r="G632" s="315"/>
      <c r="H632" s="315"/>
      <c r="I632" s="318"/>
      <c r="L632" s="54"/>
      <c r="M632" s="313"/>
    </row>
    <row r="633" ht="14.25" customHeight="1">
      <c r="E633" s="322"/>
      <c r="F633" s="315"/>
      <c r="G633" s="315"/>
      <c r="H633" s="315"/>
      <c r="I633" s="318"/>
      <c r="L633" s="54"/>
      <c r="M633" s="313"/>
    </row>
    <row r="634" ht="14.25" customHeight="1">
      <c r="E634" s="322"/>
      <c r="F634" s="315"/>
      <c r="G634" s="315"/>
      <c r="H634" s="315"/>
      <c r="I634" s="318"/>
      <c r="L634" s="54"/>
      <c r="M634" s="313"/>
    </row>
    <row r="635" ht="14.25" customHeight="1">
      <c r="E635" s="322"/>
      <c r="F635" s="315"/>
      <c r="G635" s="315"/>
      <c r="H635" s="315"/>
      <c r="I635" s="318"/>
      <c r="L635" s="54"/>
      <c r="M635" s="313"/>
    </row>
    <row r="636" ht="14.25" customHeight="1">
      <c r="E636" s="322"/>
      <c r="F636" s="315"/>
      <c r="G636" s="315"/>
      <c r="H636" s="315"/>
      <c r="I636" s="318"/>
      <c r="L636" s="54"/>
      <c r="M636" s="313"/>
    </row>
    <row r="637" ht="14.25" customHeight="1">
      <c r="E637" s="322"/>
      <c r="F637" s="315"/>
      <c r="G637" s="315"/>
      <c r="H637" s="315"/>
      <c r="I637" s="318"/>
      <c r="L637" s="54"/>
      <c r="M637" s="313"/>
    </row>
    <row r="638" ht="14.25" customHeight="1">
      <c r="E638" s="322"/>
      <c r="F638" s="315"/>
      <c r="G638" s="315"/>
      <c r="H638" s="315"/>
      <c r="I638" s="318"/>
      <c r="L638" s="54"/>
      <c r="M638" s="313"/>
    </row>
    <row r="639" ht="14.25" customHeight="1">
      <c r="E639" s="322"/>
      <c r="F639" s="315"/>
      <c r="G639" s="315"/>
      <c r="H639" s="315"/>
      <c r="I639" s="318"/>
      <c r="L639" s="54"/>
      <c r="M639" s="313"/>
    </row>
    <row r="640" ht="14.25" customHeight="1">
      <c r="E640" s="322"/>
      <c r="F640" s="315"/>
      <c r="G640" s="315"/>
      <c r="H640" s="315"/>
      <c r="I640" s="318"/>
      <c r="L640" s="54"/>
      <c r="M640" s="313"/>
    </row>
    <row r="641" ht="14.25" customHeight="1">
      <c r="E641" s="322"/>
      <c r="F641" s="315"/>
      <c r="G641" s="315"/>
      <c r="H641" s="315"/>
      <c r="I641" s="318"/>
      <c r="L641" s="54"/>
      <c r="M641" s="313"/>
    </row>
    <row r="642" ht="14.25" customHeight="1">
      <c r="E642" s="322"/>
      <c r="F642" s="315"/>
      <c r="G642" s="315"/>
      <c r="H642" s="315"/>
      <c r="I642" s="318"/>
      <c r="L642" s="54"/>
      <c r="M642" s="313"/>
    </row>
    <row r="643" ht="14.25" customHeight="1">
      <c r="E643" s="322"/>
      <c r="F643" s="315"/>
      <c r="G643" s="315"/>
      <c r="H643" s="315"/>
      <c r="I643" s="318"/>
      <c r="L643" s="54"/>
      <c r="M643" s="313"/>
    </row>
    <row r="644" ht="14.25" customHeight="1">
      <c r="E644" s="322"/>
      <c r="F644" s="315"/>
      <c r="G644" s="315"/>
      <c r="H644" s="315"/>
      <c r="I644" s="318"/>
      <c r="L644" s="54"/>
      <c r="M644" s="313"/>
    </row>
    <row r="645" ht="14.25" customHeight="1">
      <c r="E645" s="322"/>
      <c r="F645" s="315"/>
      <c r="G645" s="315"/>
      <c r="H645" s="315"/>
      <c r="I645" s="318"/>
      <c r="L645" s="54"/>
      <c r="M645" s="313"/>
    </row>
    <row r="646" ht="14.25" customHeight="1">
      <c r="E646" s="322"/>
      <c r="F646" s="315"/>
      <c r="G646" s="315"/>
      <c r="H646" s="315"/>
      <c r="I646" s="318"/>
      <c r="L646" s="54"/>
      <c r="M646" s="313"/>
    </row>
    <row r="647" ht="14.25" customHeight="1">
      <c r="E647" s="322"/>
      <c r="F647" s="315"/>
      <c r="G647" s="315"/>
      <c r="H647" s="315"/>
      <c r="I647" s="318"/>
      <c r="L647" s="54"/>
      <c r="M647" s="313"/>
    </row>
    <row r="648" ht="14.25" customHeight="1">
      <c r="E648" s="322"/>
      <c r="F648" s="315"/>
      <c r="G648" s="315"/>
      <c r="H648" s="315"/>
      <c r="I648" s="318"/>
      <c r="L648" s="54"/>
      <c r="M648" s="313"/>
    </row>
    <row r="649" ht="14.25" customHeight="1">
      <c r="E649" s="322"/>
      <c r="F649" s="315"/>
      <c r="G649" s="315"/>
      <c r="H649" s="315"/>
      <c r="I649" s="318"/>
      <c r="L649" s="54"/>
      <c r="M649" s="313"/>
    </row>
    <row r="650" ht="14.25" customHeight="1">
      <c r="E650" s="322"/>
      <c r="F650" s="315"/>
      <c r="G650" s="315"/>
      <c r="H650" s="315"/>
      <c r="I650" s="318"/>
      <c r="L650" s="54"/>
      <c r="M650" s="313"/>
    </row>
    <row r="651" ht="14.25" customHeight="1">
      <c r="E651" s="322"/>
      <c r="F651" s="315"/>
      <c r="G651" s="315"/>
      <c r="H651" s="315"/>
      <c r="I651" s="318"/>
      <c r="L651" s="54"/>
      <c r="M651" s="313"/>
    </row>
    <row r="652" ht="14.25" customHeight="1">
      <c r="E652" s="322"/>
      <c r="F652" s="315"/>
      <c r="G652" s="315"/>
      <c r="H652" s="315"/>
      <c r="I652" s="318"/>
      <c r="L652" s="54"/>
      <c r="M652" s="313"/>
    </row>
    <row r="653" ht="14.25" customHeight="1">
      <c r="E653" s="322"/>
      <c r="F653" s="315"/>
      <c r="G653" s="315"/>
      <c r="H653" s="315"/>
      <c r="I653" s="318"/>
      <c r="L653" s="54"/>
      <c r="M653" s="313"/>
    </row>
    <row r="654" ht="14.25" customHeight="1">
      <c r="E654" s="322"/>
      <c r="F654" s="315"/>
      <c r="G654" s="315"/>
      <c r="H654" s="315"/>
      <c r="I654" s="318"/>
      <c r="L654" s="54"/>
      <c r="M654" s="313"/>
    </row>
    <row r="655" ht="14.25" customHeight="1">
      <c r="E655" s="322"/>
      <c r="F655" s="315"/>
      <c r="G655" s="315"/>
      <c r="H655" s="315"/>
      <c r="I655" s="318"/>
      <c r="L655" s="54"/>
      <c r="M655" s="313"/>
    </row>
    <row r="656" ht="14.25" customHeight="1">
      <c r="E656" s="322"/>
      <c r="F656" s="315"/>
      <c r="G656" s="315"/>
      <c r="H656" s="315"/>
      <c r="I656" s="318"/>
      <c r="L656" s="54"/>
      <c r="M656" s="313"/>
    </row>
    <row r="657" ht="14.25" customHeight="1">
      <c r="E657" s="322"/>
      <c r="F657" s="315"/>
      <c r="G657" s="315"/>
      <c r="H657" s="315"/>
      <c r="I657" s="318"/>
      <c r="L657" s="54"/>
      <c r="M657" s="313"/>
    </row>
    <row r="658" ht="14.25" customHeight="1">
      <c r="E658" s="322"/>
      <c r="F658" s="315"/>
      <c r="G658" s="315"/>
      <c r="H658" s="315"/>
      <c r="I658" s="318"/>
      <c r="L658" s="54"/>
      <c r="M658" s="313"/>
    </row>
    <row r="659" ht="14.25" customHeight="1">
      <c r="E659" s="322"/>
      <c r="F659" s="315"/>
      <c r="G659" s="315"/>
      <c r="H659" s="315"/>
      <c r="I659" s="318"/>
      <c r="L659" s="54"/>
      <c r="M659" s="313"/>
    </row>
    <row r="660" ht="14.25" customHeight="1">
      <c r="E660" s="322"/>
      <c r="F660" s="315"/>
      <c r="G660" s="315"/>
      <c r="H660" s="315"/>
      <c r="I660" s="318"/>
      <c r="L660" s="54"/>
      <c r="M660" s="313"/>
    </row>
    <row r="661" ht="14.25" customHeight="1">
      <c r="E661" s="322"/>
      <c r="F661" s="315"/>
      <c r="G661" s="315"/>
      <c r="H661" s="315"/>
      <c r="I661" s="318"/>
      <c r="L661" s="54"/>
      <c r="M661" s="313"/>
    </row>
    <row r="662" ht="14.25" customHeight="1">
      <c r="E662" s="322"/>
      <c r="F662" s="315"/>
      <c r="G662" s="315"/>
      <c r="H662" s="315"/>
      <c r="I662" s="318"/>
      <c r="L662" s="54"/>
      <c r="M662" s="313"/>
    </row>
    <row r="663" ht="14.25" customHeight="1">
      <c r="E663" s="322"/>
      <c r="F663" s="315"/>
      <c r="G663" s="315"/>
      <c r="H663" s="315"/>
      <c r="I663" s="318"/>
      <c r="L663" s="54"/>
      <c r="M663" s="313"/>
    </row>
    <row r="664" ht="14.25" customHeight="1">
      <c r="E664" s="322"/>
      <c r="F664" s="315"/>
      <c r="G664" s="315"/>
      <c r="H664" s="315"/>
      <c r="I664" s="318"/>
      <c r="L664" s="54"/>
      <c r="M664" s="313"/>
    </row>
    <row r="665" ht="14.25" customHeight="1">
      <c r="E665" s="322"/>
      <c r="F665" s="315"/>
      <c r="G665" s="315"/>
      <c r="H665" s="315"/>
      <c r="I665" s="318"/>
      <c r="L665" s="54"/>
      <c r="M665" s="313"/>
    </row>
    <row r="666" ht="14.25" customHeight="1">
      <c r="E666" s="322"/>
      <c r="F666" s="315"/>
      <c r="G666" s="315"/>
      <c r="H666" s="315"/>
      <c r="I666" s="318"/>
      <c r="L666" s="54"/>
      <c r="M666" s="313"/>
    </row>
    <row r="667" ht="14.25" customHeight="1">
      <c r="E667" s="322"/>
      <c r="F667" s="315"/>
      <c r="G667" s="315"/>
      <c r="H667" s="315"/>
      <c r="I667" s="318"/>
      <c r="L667" s="54"/>
      <c r="M667" s="313"/>
    </row>
    <row r="668" ht="14.25" customHeight="1">
      <c r="E668" s="322"/>
      <c r="F668" s="315"/>
      <c r="G668" s="315"/>
      <c r="H668" s="315"/>
      <c r="I668" s="318"/>
      <c r="L668" s="54"/>
      <c r="M668" s="313"/>
    </row>
    <row r="669" ht="14.25" customHeight="1">
      <c r="E669" s="322"/>
      <c r="F669" s="315"/>
      <c r="G669" s="315"/>
      <c r="H669" s="315"/>
      <c r="I669" s="318"/>
      <c r="L669" s="54"/>
      <c r="M669" s="313"/>
    </row>
    <row r="670" ht="14.25" customHeight="1">
      <c r="E670" s="322"/>
      <c r="F670" s="315"/>
      <c r="G670" s="315"/>
      <c r="H670" s="315"/>
      <c r="I670" s="318"/>
      <c r="L670" s="54"/>
      <c r="M670" s="313"/>
    </row>
    <row r="671" ht="14.25" customHeight="1">
      <c r="E671" s="322"/>
      <c r="F671" s="315"/>
      <c r="G671" s="315"/>
      <c r="H671" s="315"/>
      <c r="I671" s="318"/>
      <c r="L671" s="54"/>
      <c r="M671" s="313"/>
    </row>
    <row r="672" ht="14.25" customHeight="1">
      <c r="E672" s="322"/>
      <c r="F672" s="315"/>
      <c r="G672" s="315"/>
      <c r="H672" s="315"/>
      <c r="I672" s="318"/>
      <c r="L672" s="54"/>
      <c r="M672" s="313"/>
    </row>
    <row r="673" ht="14.25" customHeight="1">
      <c r="E673" s="322"/>
      <c r="F673" s="315"/>
      <c r="G673" s="315"/>
      <c r="H673" s="315"/>
      <c r="I673" s="318"/>
      <c r="L673" s="54"/>
      <c r="M673" s="313"/>
    </row>
    <row r="674" ht="14.25" customHeight="1">
      <c r="E674" s="322"/>
      <c r="F674" s="315"/>
      <c r="G674" s="315"/>
      <c r="H674" s="315"/>
      <c r="I674" s="318"/>
      <c r="L674" s="54"/>
      <c r="M674" s="313"/>
    </row>
    <row r="675" ht="14.25" customHeight="1">
      <c r="E675" s="322"/>
      <c r="F675" s="315"/>
      <c r="G675" s="315"/>
      <c r="H675" s="315"/>
      <c r="I675" s="318"/>
      <c r="L675" s="54"/>
      <c r="M675" s="313"/>
    </row>
    <row r="676" ht="14.25" customHeight="1">
      <c r="E676" s="322"/>
      <c r="F676" s="315"/>
      <c r="G676" s="315"/>
      <c r="H676" s="315"/>
      <c r="I676" s="318"/>
      <c r="L676" s="54"/>
      <c r="M676" s="313"/>
    </row>
    <row r="677" ht="14.25" customHeight="1">
      <c r="E677" s="322"/>
      <c r="F677" s="315"/>
      <c r="G677" s="315"/>
      <c r="H677" s="315"/>
      <c r="I677" s="318"/>
      <c r="L677" s="54"/>
      <c r="M677" s="313"/>
    </row>
    <row r="678" ht="14.25" customHeight="1">
      <c r="E678" s="322"/>
      <c r="F678" s="315"/>
      <c r="G678" s="315"/>
      <c r="H678" s="315"/>
      <c r="I678" s="318"/>
      <c r="L678" s="54"/>
      <c r="M678" s="313"/>
    </row>
    <row r="679" ht="14.25" customHeight="1">
      <c r="E679" s="322"/>
      <c r="F679" s="315"/>
      <c r="G679" s="315"/>
      <c r="H679" s="315"/>
      <c r="I679" s="318"/>
      <c r="L679" s="54"/>
      <c r="M679" s="313"/>
    </row>
    <row r="680" ht="14.25" customHeight="1">
      <c r="E680" s="322"/>
      <c r="F680" s="315"/>
      <c r="G680" s="315"/>
      <c r="H680" s="315"/>
      <c r="I680" s="318"/>
      <c r="L680" s="54"/>
      <c r="M680" s="313"/>
    </row>
    <row r="681" ht="14.25" customHeight="1">
      <c r="E681" s="322"/>
      <c r="F681" s="315"/>
      <c r="G681" s="315"/>
      <c r="H681" s="315"/>
      <c r="I681" s="318"/>
      <c r="L681" s="54"/>
      <c r="M681" s="313"/>
    </row>
    <row r="682" ht="14.25" customHeight="1">
      <c r="E682" s="322"/>
      <c r="F682" s="315"/>
      <c r="G682" s="315"/>
      <c r="H682" s="315"/>
      <c r="I682" s="318"/>
      <c r="L682" s="54"/>
      <c r="M682" s="313"/>
    </row>
    <row r="683" ht="14.25" customHeight="1">
      <c r="E683" s="322"/>
      <c r="F683" s="315"/>
      <c r="G683" s="315"/>
      <c r="H683" s="315"/>
      <c r="I683" s="318"/>
      <c r="L683" s="54"/>
      <c r="M683" s="313"/>
    </row>
    <row r="684" ht="14.25" customHeight="1">
      <c r="E684" s="322"/>
      <c r="F684" s="315"/>
      <c r="G684" s="315"/>
      <c r="H684" s="315"/>
      <c r="I684" s="318"/>
      <c r="L684" s="54"/>
      <c r="M684" s="313"/>
    </row>
    <row r="685" ht="14.25" customHeight="1">
      <c r="E685" s="322"/>
      <c r="F685" s="315"/>
      <c r="G685" s="315"/>
      <c r="H685" s="315"/>
      <c r="I685" s="318"/>
      <c r="L685" s="54"/>
      <c r="M685" s="313"/>
    </row>
    <row r="686" ht="14.25" customHeight="1">
      <c r="E686" s="322"/>
      <c r="F686" s="315"/>
      <c r="G686" s="315"/>
      <c r="H686" s="315"/>
      <c r="I686" s="318"/>
      <c r="L686" s="54"/>
      <c r="M686" s="313"/>
    </row>
    <row r="687" ht="14.25" customHeight="1">
      <c r="E687" s="322"/>
      <c r="F687" s="315"/>
      <c r="G687" s="315"/>
      <c r="H687" s="315"/>
      <c r="I687" s="318"/>
      <c r="L687" s="54"/>
      <c r="M687" s="313"/>
    </row>
    <row r="688" ht="14.25" customHeight="1">
      <c r="E688" s="322"/>
      <c r="F688" s="315"/>
      <c r="G688" s="315"/>
      <c r="H688" s="315"/>
      <c r="I688" s="318"/>
      <c r="L688" s="54"/>
      <c r="M688" s="313"/>
    </row>
    <row r="689" ht="14.25" customHeight="1">
      <c r="E689" s="322"/>
      <c r="F689" s="315"/>
      <c r="G689" s="315"/>
      <c r="H689" s="315"/>
      <c r="I689" s="318"/>
      <c r="L689" s="54"/>
      <c r="M689" s="313"/>
    </row>
    <row r="690" ht="14.25" customHeight="1">
      <c r="E690" s="322"/>
      <c r="F690" s="315"/>
      <c r="G690" s="315"/>
      <c r="H690" s="315"/>
      <c r="I690" s="318"/>
      <c r="L690" s="54"/>
      <c r="M690" s="313"/>
    </row>
    <row r="691" ht="14.25" customHeight="1">
      <c r="E691" s="322"/>
      <c r="F691" s="315"/>
      <c r="G691" s="315"/>
      <c r="H691" s="315"/>
      <c r="I691" s="318"/>
      <c r="L691" s="54"/>
      <c r="M691" s="313"/>
    </row>
    <row r="692" ht="14.25" customHeight="1">
      <c r="E692" s="322"/>
      <c r="F692" s="315"/>
      <c r="G692" s="315"/>
      <c r="H692" s="315"/>
      <c r="I692" s="318"/>
      <c r="L692" s="54"/>
      <c r="M692" s="313"/>
    </row>
    <row r="693" ht="14.25" customHeight="1">
      <c r="E693" s="322"/>
      <c r="F693" s="315"/>
      <c r="G693" s="315"/>
      <c r="H693" s="315"/>
      <c r="I693" s="318"/>
      <c r="L693" s="54"/>
      <c r="M693" s="313"/>
    </row>
    <row r="694" ht="14.25" customHeight="1">
      <c r="E694" s="322"/>
      <c r="F694" s="315"/>
      <c r="G694" s="315"/>
      <c r="H694" s="315"/>
      <c r="I694" s="318"/>
      <c r="L694" s="54"/>
      <c r="M694" s="313"/>
    </row>
    <row r="695" ht="14.25" customHeight="1">
      <c r="E695" s="322"/>
      <c r="F695" s="315"/>
      <c r="G695" s="315"/>
      <c r="H695" s="315"/>
      <c r="I695" s="318"/>
      <c r="L695" s="54"/>
      <c r="M695" s="313"/>
    </row>
    <row r="696" ht="14.25" customHeight="1">
      <c r="E696" s="322"/>
      <c r="F696" s="315"/>
      <c r="G696" s="315"/>
      <c r="H696" s="315"/>
      <c r="I696" s="318"/>
      <c r="L696" s="54"/>
      <c r="M696" s="313"/>
    </row>
    <row r="697" ht="14.25" customHeight="1">
      <c r="E697" s="322"/>
      <c r="F697" s="315"/>
      <c r="G697" s="315"/>
      <c r="H697" s="315"/>
      <c r="I697" s="318"/>
      <c r="L697" s="54"/>
      <c r="M697" s="313"/>
    </row>
    <row r="698" ht="14.25" customHeight="1">
      <c r="E698" s="322"/>
      <c r="F698" s="315"/>
      <c r="G698" s="315"/>
      <c r="H698" s="315"/>
      <c r="I698" s="318"/>
      <c r="L698" s="54"/>
      <c r="M698" s="313"/>
    </row>
    <row r="699" ht="14.25" customHeight="1">
      <c r="E699" s="322"/>
      <c r="F699" s="315"/>
      <c r="G699" s="315"/>
      <c r="H699" s="315"/>
      <c r="I699" s="318"/>
      <c r="L699" s="54"/>
      <c r="M699" s="313"/>
    </row>
    <row r="700" ht="14.25" customHeight="1">
      <c r="E700" s="322"/>
      <c r="F700" s="315"/>
      <c r="G700" s="315"/>
      <c r="H700" s="315"/>
      <c r="I700" s="318"/>
      <c r="L700" s="54"/>
      <c r="M700" s="313"/>
    </row>
    <row r="701" ht="14.25" customHeight="1">
      <c r="E701" s="322"/>
      <c r="F701" s="315"/>
      <c r="G701" s="315"/>
      <c r="H701" s="315"/>
      <c r="I701" s="318"/>
      <c r="L701" s="54"/>
      <c r="M701" s="313"/>
    </row>
    <row r="702" ht="14.25" customHeight="1">
      <c r="E702" s="322"/>
      <c r="F702" s="315"/>
      <c r="G702" s="315"/>
      <c r="H702" s="315"/>
      <c r="I702" s="318"/>
      <c r="L702" s="54"/>
      <c r="M702" s="313"/>
    </row>
    <row r="703" ht="14.25" customHeight="1">
      <c r="E703" s="322"/>
      <c r="F703" s="315"/>
      <c r="G703" s="315"/>
      <c r="H703" s="315"/>
      <c r="I703" s="318"/>
      <c r="L703" s="54"/>
      <c r="M703" s="313"/>
    </row>
    <row r="704" ht="14.25" customHeight="1">
      <c r="E704" s="322"/>
      <c r="F704" s="315"/>
      <c r="G704" s="315"/>
      <c r="H704" s="315"/>
      <c r="I704" s="318"/>
      <c r="L704" s="54"/>
      <c r="M704" s="313"/>
    </row>
    <row r="705" ht="14.25" customHeight="1">
      <c r="E705" s="322"/>
      <c r="F705" s="315"/>
      <c r="G705" s="315"/>
      <c r="H705" s="315"/>
      <c r="I705" s="318"/>
      <c r="L705" s="54"/>
      <c r="M705" s="313"/>
    </row>
    <row r="706" ht="14.25" customHeight="1">
      <c r="E706" s="322"/>
      <c r="F706" s="315"/>
      <c r="G706" s="315"/>
      <c r="H706" s="315"/>
      <c r="I706" s="318"/>
      <c r="L706" s="54"/>
      <c r="M706" s="313"/>
    </row>
    <row r="707" ht="14.25" customHeight="1">
      <c r="E707" s="322"/>
      <c r="F707" s="315"/>
      <c r="G707" s="315"/>
      <c r="H707" s="315"/>
      <c r="I707" s="318"/>
      <c r="L707" s="54"/>
      <c r="M707" s="313"/>
    </row>
    <row r="708" ht="14.25" customHeight="1">
      <c r="E708" s="322"/>
      <c r="F708" s="315"/>
      <c r="G708" s="315"/>
      <c r="H708" s="315"/>
      <c r="I708" s="318"/>
      <c r="L708" s="54"/>
      <c r="M708" s="313"/>
    </row>
    <row r="709" ht="14.25" customHeight="1">
      <c r="E709" s="322"/>
      <c r="F709" s="315"/>
      <c r="G709" s="315"/>
      <c r="H709" s="315"/>
      <c r="I709" s="318"/>
      <c r="L709" s="54"/>
      <c r="M709" s="313"/>
    </row>
    <row r="710" ht="14.25" customHeight="1">
      <c r="E710" s="322"/>
      <c r="F710" s="315"/>
      <c r="G710" s="315"/>
      <c r="H710" s="315"/>
      <c r="I710" s="318"/>
      <c r="L710" s="54"/>
      <c r="M710" s="313"/>
    </row>
    <row r="711" ht="14.25" customHeight="1">
      <c r="E711" s="322"/>
      <c r="F711" s="315"/>
      <c r="G711" s="315"/>
      <c r="H711" s="315"/>
      <c r="I711" s="318"/>
      <c r="L711" s="54"/>
      <c r="M711" s="313"/>
    </row>
    <row r="712" ht="14.25" customHeight="1">
      <c r="E712" s="322"/>
      <c r="F712" s="315"/>
      <c r="G712" s="315"/>
      <c r="H712" s="315"/>
      <c r="I712" s="318"/>
      <c r="L712" s="54"/>
      <c r="M712" s="313"/>
    </row>
    <row r="713" ht="14.25" customHeight="1">
      <c r="E713" s="322"/>
      <c r="F713" s="315"/>
      <c r="G713" s="315"/>
      <c r="H713" s="315"/>
      <c r="I713" s="318"/>
      <c r="L713" s="54"/>
      <c r="M713" s="313"/>
    </row>
    <row r="714" ht="14.25" customHeight="1">
      <c r="E714" s="322"/>
      <c r="F714" s="315"/>
      <c r="G714" s="315"/>
      <c r="H714" s="315"/>
      <c r="I714" s="318"/>
      <c r="L714" s="54"/>
      <c r="M714" s="313"/>
    </row>
    <row r="715" ht="14.25" customHeight="1">
      <c r="E715" s="322"/>
      <c r="F715" s="315"/>
      <c r="G715" s="315"/>
      <c r="H715" s="315"/>
      <c r="I715" s="318"/>
      <c r="L715" s="54"/>
      <c r="M715" s="313"/>
    </row>
    <row r="716" ht="14.25" customHeight="1">
      <c r="E716" s="322"/>
      <c r="F716" s="315"/>
      <c r="G716" s="315"/>
      <c r="H716" s="315"/>
      <c r="I716" s="318"/>
      <c r="L716" s="54"/>
      <c r="M716" s="313"/>
    </row>
    <row r="717" ht="14.25" customHeight="1">
      <c r="E717" s="322"/>
      <c r="F717" s="315"/>
      <c r="G717" s="315"/>
      <c r="H717" s="315"/>
      <c r="I717" s="318"/>
      <c r="L717" s="54"/>
      <c r="M717" s="313"/>
    </row>
    <row r="718" ht="14.25" customHeight="1">
      <c r="E718" s="322"/>
      <c r="F718" s="315"/>
      <c r="G718" s="315"/>
      <c r="H718" s="315"/>
      <c r="I718" s="318"/>
      <c r="L718" s="54"/>
      <c r="M718" s="313"/>
    </row>
    <row r="719" ht="14.25" customHeight="1">
      <c r="E719" s="322"/>
      <c r="F719" s="315"/>
      <c r="G719" s="315"/>
      <c r="H719" s="315"/>
      <c r="I719" s="318"/>
      <c r="L719" s="54"/>
      <c r="M719" s="313"/>
    </row>
    <row r="720" ht="14.25" customHeight="1">
      <c r="E720" s="322"/>
      <c r="F720" s="315"/>
      <c r="G720" s="315"/>
      <c r="H720" s="315"/>
      <c r="I720" s="318"/>
      <c r="L720" s="54"/>
      <c r="M720" s="313"/>
    </row>
    <row r="721" ht="14.25" customHeight="1">
      <c r="E721" s="322"/>
      <c r="F721" s="315"/>
      <c r="G721" s="315"/>
      <c r="H721" s="315"/>
      <c r="I721" s="318"/>
      <c r="L721" s="54"/>
      <c r="M721" s="313"/>
    </row>
    <row r="722" ht="14.25" customHeight="1">
      <c r="E722" s="322"/>
      <c r="F722" s="315"/>
      <c r="G722" s="315"/>
      <c r="H722" s="315"/>
      <c r="I722" s="318"/>
      <c r="L722" s="54"/>
      <c r="M722" s="313"/>
    </row>
    <row r="723" ht="14.25" customHeight="1">
      <c r="E723" s="322"/>
      <c r="F723" s="315"/>
      <c r="G723" s="315"/>
      <c r="H723" s="315"/>
      <c r="I723" s="318"/>
      <c r="L723" s="54"/>
      <c r="M723" s="313"/>
    </row>
    <row r="724" ht="14.25" customHeight="1">
      <c r="E724" s="322"/>
      <c r="F724" s="315"/>
      <c r="G724" s="315"/>
      <c r="H724" s="315"/>
      <c r="I724" s="318"/>
      <c r="L724" s="54"/>
      <c r="M724" s="313"/>
    </row>
    <row r="725" ht="14.25" customHeight="1">
      <c r="E725" s="322"/>
      <c r="F725" s="315"/>
      <c r="G725" s="315"/>
      <c r="H725" s="315"/>
      <c r="I725" s="318"/>
      <c r="L725" s="54"/>
      <c r="M725" s="313"/>
    </row>
    <row r="726" ht="14.25" customHeight="1">
      <c r="E726" s="322"/>
      <c r="F726" s="315"/>
      <c r="G726" s="315"/>
      <c r="H726" s="315"/>
      <c r="I726" s="318"/>
      <c r="L726" s="54"/>
      <c r="M726" s="313"/>
    </row>
    <row r="727" ht="14.25" customHeight="1">
      <c r="E727" s="322"/>
      <c r="F727" s="315"/>
      <c r="G727" s="315"/>
      <c r="H727" s="315"/>
      <c r="I727" s="318"/>
      <c r="L727" s="54"/>
      <c r="M727" s="313"/>
    </row>
    <row r="728" ht="14.25" customHeight="1">
      <c r="E728" s="322"/>
      <c r="F728" s="315"/>
      <c r="G728" s="315"/>
      <c r="H728" s="315"/>
      <c r="I728" s="318"/>
      <c r="L728" s="54"/>
      <c r="M728" s="313"/>
    </row>
    <row r="729" ht="14.25" customHeight="1">
      <c r="E729" s="322"/>
      <c r="F729" s="315"/>
      <c r="G729" s="315"/>
      <c r="H729" s="315"/>
      <c r="I729" s="318"/>
      <c r="L729" s="54"/>
      <c r="M729" s="313"/>
    </row>
    <row r="730" ht="14.25" customHeight="1">
      <c r="E730" s="322"/>
      <c r="F730" s="315"/>
      <c r="G730" s="315"/>
      <c r="H730" s="315"/>
      <c r="I730" s="318"/>
      <c r="L730" s="54"/>
      <c r="M730" s="313"/>
    </row>
    <row r="731" ht="14.25" customHeight="1">
      <c r="E731" s="322"/>
      <c r="F731" s="315"/>
      <c r="G731" s="315"/>
      <c r="H731" s="315"/>
      <c r="I731" s="318"/>
      <c r="L731" s="54"/>
      <c r="M731" s="313"/>
    </row>
    <row r="732" ht="14.25" customHeight="1">
      <c r="E732" s="322"/>
      <c r="F732" s="315"/>
      <c r="G732" s="315"/>
      <c r="H732" s="315"/>
      <c r="I732" s="318"/>
      <c r="L732" s="54"/>
      <c r="M732" s="313"/>
    </row>
    <row r="733" ht="14.25" customHeight="1">
      <c r="E733" s="322"/>
      <c r="F733" s="315"/>
      <c r="G733" s="315"/>
      <c r="H733" s="315"/>
      <c r="I733" s="318"/>
      <c r="L733" s="54"/>
      <c r="M733" s="313"/>
    </row>
    <row r="734" ht="14.25" customHeight="1">
      <c r="E734" s="322"/>
      <c r="F734" s="315"/>
      <c r="G734" s="315"/>
      <c r="H734" s="315"/>
      <c r="I734" s="318"/>
      <c r="L734" s="54"/>
      <c r="M734" s="313"/>
    </row>
    <row r="735" ht="14.25" customHeight="1">
      <c r="E735" s="322"/>
      <c r="F735" s="315"/>
      <c r="G735" s="315"/>
      <c r="H735" s="315"/>
      <c r="I735" s="318"/>
      <c r="L735" s="54"/>
      <c r="M735" s="313"/>
    </row>
    <row r="736" ht="14.25" customHeight="1">
      <c r="E736" s="322"/>
      <c r="F736" s="315"/>
      <c r="G736" s="315"/>
      <c r="H736" s="315"/>
      <c r="I736" s="318"/>
      <c r="L736" s="54"/>
      <c r="M736" s="313"/>
    </row>
    <row r="737" ht="14.25" customHeight="1">
      <c r="E737" s="322"/>
      <c r="F737" s="315"/>
      <c r="G737" s="315"/>
      <c r="H737" s="315"/>
      <c r="I737" s="318"/>
      <c r="L737" s="54"/>
      <c r="M737" s="313"/>
    </row>
    <row r="738" ht="14.25" customHeight="1">
      <c r="E738" s="322"/>
      <c r="F738" s="315"/>
      <c r="G738" s="315"/>
      <c r="H738" s="315"/>
      <c r="I738" s="318"/>
      <c r="L738" s="54"/>
      <c r="M738" s="313"/>
    </row>
    <row r="739" ht="14.25" customHeight="1">
      <c r="E739" s="322"/>
      <c r="F739" s="315"/>
      <c r="G739" s="315"/>
      <c r="H739" s="315"/>
      <c r="I739" s="318"/>
      <c r="L739" s="54"/>
      <c r="M739" s="313"/>
    </row>
    <row r="740" ht="14.25" customHeight="1">
      <c r="E740" s="322"/>
      <c r="F740" s="315"/>
      <c r="G740" s="315"/>
      <c r="H740" s="315"/>
      <c r="I740" s="318"/>
      <c r="L740" s="54"/>
      <c r="M740" s="313"/>
    </row>
    <row r="741" ht="14.25" customHeight="1">
      <c r="E741" s="322"/>
      <c r="F741" s="315"/>
      <c r="G741" s="315"/>
      <c r="H741" s="315"/>
      <c r="I741" s="318"/>
      <c r="L741" s="54"/>
      <c r="M741" s="313"/>
    </row>
    <row r="742" ht="14.25" customHeight="1">
      <c r="E742" s="322"/>
      <c r="F742" s="315"/>
      <c r="G742" s="315"/>
      <c r="H742" s="315"/>
      <c r="I742" s="318"/>
      <c r="L742" s="54"/>
      <c r="M742" s="313"/>
    </row>
    <row r="743" ht="14.25" customHeight="1">
      <c r="E743" s="322"/>
      <c r="F743" s="315"/>
      <c r="G743" s="315"/>
      <c r="H743" s="315"/>
      <c r="I743" s="318"/>
      <c r="L743" s="54"/>
      <c r="M743" s="313"/>
    </row>
    <row r="744" ht="14.25" customHeight="1">
      <c r="E744" s="322"/>
      <c r="F744" s="315"/>
      <c r="G744" s="315"/>
      <c r="H744" s="315"/>
      <c r="I744" s="318"/>
      <c r="L744" s="54"/>
      <c r="M744" s="313"/>
    </row>
    <row r="745" ht="14.25" customHeight="1">
      <c r="E745" s="322"/>
      <c r="F745" s="315"/>
      <c r="G745" s="315"/>
      <c r="H745" s="315"/>
      <c r="I745" s="318"/>
      <c r="L745" s="54"/>
      <c r="M745" s="313"/>
    </row>
    <row r="746" ht="14.25" customHeight="1">
      <c r="E746" s="322"/>
      <c r="F746" s="315"/>
      <c r="G746" s="315"/>
      <c r="H746" s="315"/>
      <c r="I746" s="318"/>
      <c r="L746" s="54"/>
      <c r="M746" s="313"/>
    </row>
    <row r="747" ht="14.25" customHeight="1">
      <c r="E747" s="322"/>
      <c r="F747" s="315"/>
      <c r="G747" s="315"/>
      <c r="H747" s="315"/>
      <c r="I747" s="318"/>
      <c r="L747" s="54"/>
      <c r="M747" s="313"/>
    </row>
    <row r="748" ht="14.25" customHeight="1">
      <c r="E748" s="322"/>
      <c r="F748" s="315"/>
      <c r="G748" s="315"/>
      <c r="H748" s="315"/>
      <c r="I748" s="318"/>
      <c r="L748" s="54"/>
      <c r="M748" s="313"/>
    </row>
    <row r="749" ht="14.25" customHeight="1">
      <c r="E749" s="322"/>
      <c r="F749" s="315"/>
      <c r="G749" s="315"/>
      <c r="H749" s="315"/>
      <c r="I749" s="318"/>
      <c r="L749" s="54"/>
      <c r="M749" s="313"/>
    </row>
    <row r="750" ht="14.25" customHeight="1">
      <c r="E750" s="322"/>
      <c r="F750" s="315"/>
      <c r="G750" s="315"/>
      <c r="H750" s="315"/>
      <c r="I750" s="318"/>
      <c r="L750" s="54"/>
      <c r="M750" s="313"/>
    </row>
    <row r="751" ht="14.25" customHeight="1">
      <c r="E751" s="322"/>
      <c r="F751" s="315"/>
      <c r="G751" s="315"/>
      <c r="H751" s="315"/>
      <c r="I751" s="318"/>
      <c r="L751" s="54"/>
      <c r="M751" s="313"/>
    </row>
    <row r="752" ht="14.25" customHeight="1">
      <c r="E752" s="322"/>
      <c r="F752" s="315"/>
      <c r="G752" s="315"/>
      <c r="H752" s="315"/>
      <c r="I752" s="318"/>
      <c r="L752" s="54"/>
      <c r="M752" s="313"/>
    </row>
    <row r="753" ht="14.25" customHeight="1">
      <c r="E753" s="322"/>
      <c r="F753" s="315"/>
      <c r="G753" s="315"/>
      <c r="H753" s="315"/>
      <c r="I753" s="318"/>
      <c r="L753" s="54"/>
      <c r="M753" s="313"/>
    </row>
    <row r="754" ht="14.25" customHeight="1">
      <c r="E754" s="322"/>
      <c r="F754" s="315"/>
      <c r="G754" s="315"/>
      <c r="H754" s="315"/>
      <c r="I754" s="318"/>
      <c r="L754" s="54"/>
      <c r="M754" s="313"/>
    </row>
    <row r="755" ht="14.25" customHeight="1">
      <c r="E755" s="322"/>
      <c r="F755" s="315"/>
      <c r="G755" s="315"/>
      <c r="H755" s="315"/>
      <c r="I755" s="318"/>
      <c r="L755" s="54"/>
      <c r="M755" s="313"/>
    </row>
    <row r="756" ht="14.25" customHeight="1">
      <c r="E756" s="322"/>
      <c r="F756" s="315"/>
      <c r="G756" s="315"/>
      <c r="H756" s="315"/>
      <c r="I756" s="318"/>
      <c r="L756" s="54"/>
      <c r="M756" s="313"/>
    </row>
    <row r="757" ht="14.25" customHeight="1">
      <c r="E757" s="322"/>
      <c r="F757" s="315"/>
      <c r="G757" s="315"/>
      <c r="H757" s="315"/>
      <c r="I757" s="318"/>
      <c r="L757" s="54"/>
      <c r="M757" s="313"/>
    </row>
    <row r="758" ht="14.25" customHeight="1">
      <c r="E758" s="322"/>
      <c r="F758" s="315"/>
      <c r="G758" s="315"/>
      <c r="H758" s="315"/>
      <c r="I758" s="318"/>
      <c r="L758" s="54"/>
      <c r="M758" s="313"/>
    </row>
    <row r="759" ht="14.25" customHeight="1">
      <c r="E759" s="322"/>
      <c r="F759" s="315"/>
      <c r="G759" s="315"/>
      <c r="H759" s="315"/>
      <c r="I759" s="318"/>
      <c r="L759" s="54"/>
      <c r="M759" s="313"/>
    </row>
    <row r="760" ht="14.25" customHeight="1">
      <c r="E760" s="322"/>
      <c r="F760" s="315"/>
      <c r="G760" s="315"/>
      <c r="H760" s="315"/>
      <c r="I760" s="318"/>
      <c r="L760" s="54"/>
      <c r="M760" s="313"/>
    </row>
    <row r="761" ht="14.25" customHeight="1">
      <c r="E761" s="322"/>
      <c r="F761" s="315"/>
      <c r="G761" s="315"/>
      <c r="H761" s="315"/>
      <c r="I761" s="318"/>
      <c r="L761" s="54"/>
      <c r="M761" s="313"/>
    </row>
    <row r="762" ht="14.25" customHeight="1">
      <c r="E762" s="322"/>
      <c r="F762" s="315"/>
      <c r="G762" s="315"/>
      <c r="H762" s="315"/>
      <c r="I762" s="318"/>
      <c r="L762" s="54"/>
      <c r="M762" s="313"/>
    </row>
    <row r="763" ht="14.25" customHeight="1">
      <c r="E763" s="322"/>
      <c r="F763" s="315"/>
      <c r="G763" s="315"/>
      <c r="H763" s="315"/>
      <c r="I763" s="318"/>
      <c r="L763" s="54"/>
      <c r="M763" s="313"/>
    </row>
    <row r="764" ht="14.25" customHeight="1">
      <c r="E764" s="322"/>
      <c r="F764" s="315"/>
      <c r="G764" s="315"/>
      <c r="H764" s="315"/>
      <c r="I764" s="318"/>
      <c r="L764" s="54"/>
      <c r="M764" s="313"/>
    </row>
    <row r="765" ht="14.25" customHeight="1">
      <c r="E765" s="322"/>
      <c r="F765" s="315"/>
      <c r="G765" s="315"/>
      <c r="H765" s="315"/>
      <c r="I765" s="318"/>
      <c r="L765" s="54"/>
      <c r="M765" s="313"/>
    </row>
    <row r="766" ht="14.25" customHeight="1">
      <c r="E766" s="322"/>
      <c r="F766" s="315"/>
      <c r="G766" s="315"/>
      <c r="H766" s="315"/>
      <c r="I766" s="318"/>
      <c r="L766" s="54"/>
      <c r="M766" s="313"/>
    </row>
    <row r="767" ht="14.25" customHeight="1">
      <c r="E767" s="322"/>
      <c r="F767" s="315"/>
      <c r="G767" s="315"/>
      <c r="H767" s="315"/>
      <c r="I767" s="318"/>
      <c r="L767" s="54"/>
      <c r="M767" s="313"/>
    </row>
    <row r="768" ht="14.25" customHeight="1">
      <c r="E768" s="322"/>
      <c r="F768" s="315"/>
      <c r="G768" s="315"/>
      <c r="H768" s="315"/>
      <c r="I768" s="318"/>
      <c r="L768" s="54"/>
      <c r="M768" s="313"/>
    </row>
    <row r="769" ht="14.25" customHeight="1">
      <c r="E769" s="322"/>
      <c r="F769" s="315"/>
      <c r="G769" s="315"/>
      <c r="H769" s="315"/>
      <c r="I769" s="318"/>
      <c r="L769" s="54"/>
      <c r="M769" s="313"/>
    </row>
    <row r="770" ht="14.25" customHeight="1">
      <c r="E770" s="322"/>
      <c r="F770" s="315"/>
      <c r="G770" s="315"/>
      <c r="H770" s="315"/>
      <c r="I770" s="318"/>
      <c r="L770" s="54"/>
      <c r="M770" s="313"/>
    </row>
    <row r="771" ht="14.25" customHeight="1">
      <c r="E771" s="322"/>
      <c r="F771" s="315"/>
      <c r="G771" s="315"/>
      <c r="H771" s="315"/>
      <c r="I771" s="318"/>
      <c r="L771" s="54"/>
      <c r="M771" s="313"/>
    </row>
    <row r="772" ht="14.25" customHeight="1">
      <c r="E772" s="322"/>
      <c r="F772" s="315"/>
      <c r="G772" s="315"/>
      <c r="H772" s="315"/>
      <c r="I772" s="318"/>
      <c r="L772" s="54"/>
      <c r="M772" s="313"/>
    </row>
    <row r="773" ht="14.25" customHeight="1">
      <c r="E773" s="322"/>
      <c r="F773" s="315"/>
      <c r="G773" s="315"/>
      <c r="H773" s="315"/>
      <c r="I773" s="318"/>
      <c r="L773" s="54"/>
      <c r="M773" s="313"/>
    </row>
    <row r="774" ht="14.25" customHeight="1">
      <c r="E774" s="322"/>
      <c r="F774" s="315"/>
      <c r="G774" s="315"/>
      <c r="H774" s="315"/>
      <c r="I774" s="318"/>
      <c r="L774" s="54"/>
      <c r="M774" s="313"/>
    </row>
    <row r="775" ht="14.25" customHeight="1">
      <c r="E775" s="322"/>
      <c r="F775" s="315"/>
      <c r="G775" s="315"/>
      <c r="H775" s="315"/>
      <c r="I775" s="318"/>
      <c r="L775" s="54"/>
      <c r="M775" s="313"/>
    </row>
    <row r="776" ht="14.25" customHeight="1">
      <c r="E776" s="322"/>
      <c r="F776" s="315"/>
      <c r="G776" s="315"/>
      <c r="H776" s="315"/>
      <c r="I776" s="318"/>
      <c r="L776" s="54"/>
      <c r="M776" s="313"/>
    </row>
    <row r="777" ht="14.25" customHeight="1">
      <c r="E777" s="322"/>
      <c r="F777" s="315"/>
      <c r="G777" s="315"/>
      <c r="H777" s="315"/>
      <c r="I777" s="318"/>
      <c r="L777" s="54"/>
      <c r="M777" s="313"/>
    </row>
    <row r="778" ht="14.25" customHeight="1">
      <c r="E778" s="322"/>
      <c r="F778" s="315"/>
      <c r="G778" s="315"/>
      <c r="H778" s="315"/>
      <c r="I778" s="318"/>
      <c r="L778" s="54"/>
      <c r="M778" s="313"/>
    </row>
    <row r="779" ht="14.25" customHeight="1">
      <c r="E779" s="322"/>
      <c r="F779" s="315"/>
      <c r="G779" s="315"/>
      <c r="H779" s="315"/>
      <c r="I779" s="318"/>
      <c r="L779" s="54"/>
      <c r="M779" s="313"/>
    </row>
    <row r="780" ht="14.25" customHeight="1">
      <c r="E780" s="322"/>
      <c r="F780" s="315"/>
      <c r="G780" s="315"/>
      <c r="H780" s="315"/>
      <c r="I780" s="318"/>
      <c r="L780" s="54"/>
      <c r="M780" s="313"/>
    </row>
    <row r="781" ht="14.25" customHeight="1">
      <c r="E781" s="322"/>
      <c r="F781" s="315"/>
      <c r="G781" s="315"/>
      <c r="H781" s="315"/>
      <c r="I781" s="318"/>
      <c r="L781" s="54"/>
      <c r="M781" s="313"/>
    </row>
    <row r="782" ht="14.25" customHeight="1">
      <c r="E782" s="322"/>
      <c r="F782" s="315"/>
      <c r="G782" s="315"/>
      <c r="H782" s="315"/>
      <c r="I782" s="318"/>
      <c r="L782" s="54"/>
      <c r="M782" s="313"/>
    </row>
    <row r="783" ht="14.25" customHeight="1">
      <c r="E783" s="322"/>
      <c r="F783" s="315"/>
      <c r="G783" s="315"/>
      <c r="H783" s="315"/>
      <c r="I783" s="318"/>
      <c r="L783" s="54"/>
      <c r="M783" s="313"/>
    </row>
    <row r="784" ht="14.25" customHeight="1">
      <c r="E784" s="322"/>
      <c r="F784" s="315"/>
      <c r="G784" s="315"/>
      <c r="H784" s="315"/>
      <c r="I784" s="318"/>
      <c r="L784" s="54"/>
      <c r="M784" s="313"/>
    </row>
    <row r="785" ht="14.25" customHeight="1">
      <c r="E785" s="322"/>
      <c r="F785" s="315"/>
      <c r="G785" s="315"/>
      <c r="H785" s="315"/>
      <c r="I785" s="318"/>
      <c r="L785" s="54"/>
      <c r="M785" s="313"/>
    </row>
    <row r="786" ht="14.25" customHeight="1">
      <c r="E786" s="322"/>
      <c r="F786" s="315"/>
      <c r="G786" s="315"/>
      <c r="H786" s="315"/>
      <c r="I786" s="318"/>
      <c r="L786" s="54"/>
      <c r="M786" s="313"/>
    </row>
    <row r="787" ht="14.25" customHeight="1">
      <c r="E787" s="322"/>
      <c r="F787" s="315"/>
      <c r="G787" s="315"/>
      <c r="H787" s="315"/>
      <c r="I787" s="318"/>
      <c r="L787" s="54"/>
      <c r="M787" s="313"/>
    </row>
    <row r="788" ht="14.25" customHeight="1">
      <c r="E788" s="322"/>
      <c r="F788" s="315"/>
      <c r="G788" s="315"/>
      <c r="H788" s="315"/>
      <c r="I788" s="318"/>
      <c r="L788" s="54"/>
      <c r="M788" s="313"/>
    </row>
    <row r="789" ht="14.25" customHeight="1">
      <c r="E789" s="322"/>
      <c r="F789" s="315"/>
      <c r="G789" s="315"/>
      <c r="H789" s="315"/>
      <c r="I789" s="318"/>
      <c r="L789" s="54"/>
      <c r="M789" s="313"/>
    </row>
    <row r="790" ht="14.25" customHeight="1">
      <c r="E790" s="322"/>
      <c r="F790" s="315"/>
      <c r="G790" s="315"/>
      <c r="H790" s="315"/>
      <c r="I790" s="318"/>
      <c r="L790" s="54"/>
      <c r="M790" s="313"/>
    </row>
    <row r="791" ht="14.25" customHeight="1">
      <c r="E791" s="322"/>
      <c r="F791" s="315"/>
      <c r="G791" s="315"/>
      <c r="H791" s="315"/>
      <c r="I791" s="318"/>
      <c r="L791" s="54"/>
      <c r="M791" s="313"/>
    </row>
    <row r="792" ht="14.25" customHeight="1">
      <c r="E792" s="322"/>
      <c r="F792" s="315"/>
      <c r="G792" s="315"/>
      <c r="H792" s="315"/>
      <c r="I792" s="318"/>
      <c r="L792" s="54"/>
      <c r="M792" s="313"/>
    </row>
    <row r="793" ht="14.25" customHeight="1">
      <c r="E793" s="322"/>
      <c r="F793" s="315"/>
      <c r="G793" s="315"/>
      <c r="H793" s="315"/>
      <c r="I793" s="318"/>
      <c r="L793" s="54"/>
      <c r="M793" s="313"/>
    </row>
    <row r="794" ht="14.25" customHeight="1">
      <c r="E794" s="322"/>
      <c r="F794" s="315"/>
      <c r="G794" s="315"/>
      <c r="H794" s="315"/>
      <c r="I794" s="318"/>
      <c r="L794" s="54"/>
      <c r="M794" s="313"/>
    </row>
    <row r="795" ht="14.25" customHeight="1">
      <c r="E795" s="322"/>
      <c r="F795" s="315"/>
      <c r="G795" s="315"/>
      <c r="H795" s="315"/>
      <c r="I795" s="318"/>
      <c r="L795" s="54"/>
      <c r="M795" s="313"/>
    </row>
    <row r="796" ht="14.25" customHeight="1">
      <c r="E796" s="322"/>
      <c r="F796" s="315"/>
      <c r="G796" s="315"/>
      <c r="H796" s="315"/>
      <c r="I796" s="318"/>
      <c r="L796" s="54"/>
      <c r="M796" s="313"/>
    </row>
    <row r="797" ht="14.25" customHeight="1">
      <c r="E797" s="322"/>
      <c r="F797" s="315"/>
      <c r="G797" s="315"/>
      <c r="H797" s="315"/>
      <c r="I797" s="318"/>
      <c r="L797" s="54"/>
      <c r="M797" s="313"/>
    </row>
    <row r="798" ht="14.25" customHeight="1">
      <c r="E798" s="322"/>
      <c r="F798" s="315"/>
      <c r="G798" s="315"/>
      <c r="H798" s="315"/>
      <c r="I798" s="318"/>
      <c r="L798" s="54"/>
      <c r="M798" s="313"/>
    </row>
    <row r="799" ht="14.25" customHeight="1">
      <c r="E799" s="322"/>
      <c r="F799" s="315"/>
      <c r="G799" s="315"/>
      <c r="H799" s="315"/>
      <c r="I799" s="318"/>
      <c r="L799" s="54"/>
      <c r="M799" s="313"/>
    </row>
    <row r="800" ht="14.25" customHeight="1">
      <c r="E800" s="322"/>
      <c r="F800" s="315"/>
      <c r="G800" s="315"/>
      <c r="H800" s="315"/>
      <c r="I800" s="318"/>
      <c r="L800" s="54"/>
      <c r="M800" s="313"/>
    </row>
    <row r="801" ht="14.25" customHeight="1">
      <c r="E801" s="322"/>
      <c r="F801" s="315"/>
      <c r="G801" s="315"/>
      <c r="H801" s="315"/>
      <c r="I801" s="318"/>
      <c r="L801" s="54"/>
      <c r="M801" s="313"/>
    </row>
    <row r="802" ht="14.25" customHeight="1">
      <c r="E802" s="322"/>
      <c r="F802" s="315"/>
      <c r="G802" s="315"/>
      <c r="H802" s="315"/>
      <c r="I802" s="318"/>
      <c r="L802" s="54"/>
      <c r="M802" s="313"/>
    </row>
    <row r="803" ht="14.25" customHeight="1">
      <c r="E803" s="322"/>
      <c r="F803" s="315"/>
      <c r="G803" s="315"/>
      <c r="H803" s="315"/>
      <c r="I803" s="318"/>
      <c r="L803" s="54"/>
      <c r="M803" s="313"/>
    </row>
    <row r="804" ht="14.25" customHeight="1">
      <c r="E804" s="322"/>
      <c r="F804" s="315"/>
      <c r="G804" s="315"/>
      <c r="H804" s="315"/>
      <c r="I804" s="318"/>
      <c r="L804" s="54"/>
      <c r="M804" s="313"/>
    </row>
    <row r="805" ht="14.25" customHeight="1">
      <c r="E805" s="322"/>
      <c r="F805" s="315"/>
      <c r="G805" s="315"/>
      <c r="H805" s="315"/>
      <c r="I805" s="318"/>
      <c r="L805" s="54"/>
      <c r="M805" s="313"/>
    </row>
    <row r="806" ht="14.25" customHeight="1">
      <c r="E806" s="322"/>
      <c r="F806" s="315"/>
      <c r="G806" s="315"/>
      <c r="H806" s="315"/>
      <c r="I806" s="318"/>
      <c r="L806" s="54"/>
      <c r="M806" s="313"/>
    </row>
    <row r="807" ht="14.25" customHeight="1">
      <c r="E807" s="322"/>
      <c r="F807" s="315"/>
      <c r="G807" s="315"/>
      <c r="H807" s="315"/>
      <c r="I807" s="318"/>
      <c r="L807" s="54"/>
      <c r="M807" s="313"/>
    </row>
    <row r="808" ht="14.25" customHeight="1">
      <c r="E808" s="322"/>
      <c r="F808" s="315"/>
      <c r="G808" s="315"/>
      <c r="H808" s="315"/>
      <c r="I808" s="318"/>
      <c r="L808" s="54"/>
      <c r="M808" s="313"/>
    </row>
    <row r="809" ht="14.25" customHeight="1">
      <c r="E809" s="322"/>
      <c r="F809" s="315"/>
      <c r="G809" s="315"/>
      <c r="H809" s="315"/>
      <c r="I809" s="318"/>
      <c r="L809" s="54"/>
      <c r="M809" s="313"/>
    </row>
    <row r="810" ht="14.25" customHeight="1">
      <c r="E810" s="322"/>
      <c r="F810" s="315"/>
      <c r="G810" s="315"/>
      <c r="H810" s="315"/>
      <c r="I810" s="318"/>
      <c r="L810" s="54"/>
      <c r="M810" s="313"/>
    </row>
    <row r="811" ht="14.25" customHeight="1">
      <c r="E811" s="322"/>
      <c r="F811" s="315"/>
      <c r="G811" s="315"/>
      <c r="H811" s="315"/>
      <c r="I811" s="318"/>
      <c r="L811" s="54"/>
      <c r="M811" s="313"/>
    </row>
    <row r="812" ht="14.25" customHeight="1">
      <c r="E812" s="322"/>
      <c r="F812" s="315"/>
      <c r="G812" s="315"/>
      <c r="H812" s="315"/>
      <c r="I812" s="318"/>
      <c r="L812" s="54"/>
      <c r="M812" s="313"/>
    </row>
    <row r="813" ht="14.25" customHeight="1">
      <c r="E813" s="322"/>
      <c r="F813" s="315"/>
      <c r="G813" s="315"/>
      <c r="H813" s="315"/>
      <c r="I813" s="318"/>
      <c r="L813" s="54"/>
      <c r="M813" s="313"/>
    </row>
    <row r="814" ht="14.25" customHeight="1">
      <c r="E814" s="322"/>
      <c r="F814" s="315"/>
      <c r="G814" s="315"/>
      <c r="H814" s="315"/>
      <c r="I814" s="318"/>
      <c r="L814" s="54"/>
      <c r="M814" s="313"/>
    </row>
    <row r="815" ht="14.25" customHeight="1">
      <c r="E815" s="322"/>
      <c r="F815" s="315"/>
      <c r="G815" s="315"/>
      <c r="H815" s="315"/>
      <c r="I815" s="318"/>
      <c r="L815" s="54"/>
      <c r="M815" s="313"/>
    </row>
    <row r="816" ht="14.25" customHeight="1">
      <c r="E816" s="322"/>
      <c r="F816" s="315"/>
      <c r="G816" s="315"/>
      <c r="H816" s="315"/>
      <c r="I816" s="318"/>
      <c r="L816" s="54"/>
      <c r="M816" s="313"/>
    </row>
    <row r="817" ht="14.25" customHeight="1">
      <c r="E817" s="322"/>
      <c r="F817" s="315"/>
      <c r="G817" s="315"/>
      <c r="H817" s="315"/>
      <c r="I817" s="318"/>
      <c r="L817" s="54"/>
      <c r="M817" s="313"/>
    </row>
    <row r="818" ht="14.25" customHeight="1">
      <c r="E818" s="322"/>
      <c r="F818" s="315"/>
      <c r="G818" s="315"/>
      <c r="H818" s="315"/>
      <c r="I818" s="318"/>
      <c r="L818" s="54"/>
      <c r="M818" s="313"/>
    </row>
    <row r="819" ht="14.25" customHeight="1">
      <c r="E819" s="322"/>
      <c r="F819" s="315"/>
      <c r="G819" s="315"/>
      <c r="H819" s="315"/>
      <c r="I819" s="318"/>
      <c r="L819" s="54"/>
      <c r="M819" s="313"/>
    </row>
    <row r="820" ht="14.25" customHeight="1">
      <c r="E820" s="322"/>
      <c r="F820" s="315"/>
      <c r="G820" s="315"/>
      <c r="H820" s="315"/>
      <c r="I820" s="318"/>
      <c r="L820" s="54"/>
      <c r="M820" s="313"/>
    </row>
    <row r="821" ht="14.25" customHeight="1">
      <c r="E821" s="322"/>
      <c r="F821" s="315"/>
      <c r="G821" s="315"/>
      <c r="H821" s="315"/>
      <c r="I821" s="318"/>
      <c r="L821" s="54"/>
      <c r="M821" s="313"/>
    </row>
    <row r="822" ht="14.25" customHeight="1">
      <c r="E822" s="322"/>
      <c r="F822" s="315"/>
      <c r="G822" s="315"/>
      <c r="H822" s="315"/>
      <c r="I822" s="318"/>
      <c r="L822" s="54"/>
      <c r="M822" s="313"/>
    </row>
    <row r="823" ht="14.25" customHeight="1">
      <c r="E823" s="322"/>
      <c r="F823" s="315"/>
      <c r="G823" s="315"/>
      <c r="H823" s="315"/>
      <c r="I823" s="318"/>
      <c r="L823" s="54"/>
      <c r="M823" s="313"/>
    </row>
    <row r="824" ht="14.25" customHeight="1">
      <c r="E824" s="322"/>
      <c r="F824" s="315"/>
      <c r="G824" s="315"/>
      <c r="H824" s="315"/>
      <c r="I824" s="318"/>
      <c r="L824" s="54"/>
      <c r="M824" s="313"/>
    </row>
    <row r="825" ht="14.25" customHeight="1">
      <c r="E825" s="322"/>
      <c r="F825" s="315"/>
      <c r="G825" s="315"/>
      <c r="H825" s="315"/>
      <c r="I825" s="318"/>
      <c r="L825" s="54"/>
      <c r="M825" s="313"/>
    </row>
    <row r="826" ht="14.25" customHeight="1">
      <c r="E826" s="322"/>
      <c r="F826" s="315"/>
      <c r="G826" s="315"/>
      <c r="H826" s="315"/>
      <c r="I826" s="318"/>
      <c r="L826" s="54"/>
      <c r="M826" s="313"/>
    </row>
    <row r="827" ht="14.25" customHeight="1">
      <c r="E827" s="322"/>
      <c r="F827" s="315"/>
      <c r="G827" s="315"/>
      <c r="H827" s="315"/>
      <c r="I827" s="318"/>
      <c r="L827" s="54"/>
      <c r="M827" s="313"/>
    </row>
    <row r="828" ht="14.25" customHeight="1">
      <c r="E828" s="322"/>
      <c r="F828" s="315"/>
      <c r="G828" s="315"/>
      <c r="H828" s="315"/>
      <c r="I828" s="318"/>
      <c r="L828" s="54"/>
      <c r="M828" s="313"/>
    </row>
    <row r="829" ht="14.25" customHeight="1">
      <c r="E829" s="322"/>
      <c r="F829" s="315"/>
      <c r="G829" s="315"/>
      <c r="H829" s="315"/>
      <c r="I829" s="318"/>
      <c r="L829" s="54"/>
      <c r="M829" s="313"/>
    </row>
    <row r="830" ht="14.25" customHeight="1">
      <c r="E830" s="322"/>
      <c r="F830" s="315"/>
      <c r="G830" s="315"/>
      <c r="H830" s="315"/>
      <c r="I830" s="318"/>
      <c r="L830" s="54"/>
      <c r="M830" s="313"/>
    </row>
    <row r="831" ht="14.25" customHeight="1">
      <c r="E831" s="322"/>
      <c r="F831" s="315"/>
      <c r="G831" s="315"/>
      <c r="H831" s="315"/>
      <c r="I831" s="318"/>
      <c r="L831" s="54"/>
      <c r="M831" s="313"/>
    </row>
    <row r="832" ht="14.25" customHeight="1">
      <c r="E832" s="322"/>
      <c r="F832" s="315"/>
      <c r="G832" s="315"/>
      <c r="H832" s="315"/>
      <c r="I832" s="318"/>
      <c r="L832" s="54"/>
      <c r="M832" s="313"/>
    </row>
    <row r="833" ht="14.25" customHeight="1">
      <c r="E833" s="322"/>
      <c r="F833" s="315"/>
      <c r="G833" s="315"/>
      <c r="H833" s="315"/>
      <c r="I833" s="318"/>
      <c r="L833" s="54"/>
      <c r="M833" s="313"/>
    </row>
    <row r="834" ht="14.25" customHeight="1">
      <c r="E834" s="322"/>
      <c r="F834" s="315"/>
      <c r="G834" s="315"/>
      <c r="H834" s="315"/>
      <c r="I834" s="318"/>
      <c r="L834" s="54"/>
      <c r="M834" s="313"/>
    </row>
    <row r="835" ht="14.25" customHeight="1">
      <c r="E835" s="322"/>
      <c r="F835" s="315"/>
      <c r="G835" s="315"/>
      <c r="H835" s="315"/>
      <c r="I835" s="318"/>
      <c r="L835" s="54"/>
      <c r="M835" s="313"/>
    </row>
    <row r="836" ht="14.25" customHeight="1">
      <c r="E836" s="322"/>
      <c r="F836" s="315"/>
      <c r="G836" s="315"/>
      <c r="H836" s="315"/>
      <c r="I836" s="318"/>
      <c r="L836" s="54"/>
      <c r="M836" s="313"/>
    </row>
    <row r="837" ht="14.25" customHeight="1">
      <c r="E837" s="322"/>
      <c r="F837" s="315"/>
      <c r="G837" s="315"/>
      <c r="H837" s="315"/>
      <c r="I837" s="318"/>
      <c r="L837" s="54"/>
      <c r="M837" s="313"/>
    </row>
    <row r="838" ht="14.25" customHeight="1">
      <c r="E838" s="322"/>
      <c r="F838" s="315"/>
      <c r="G838" s="315"/>
      <c r="H838" s="315"/>
      <c r="I838" s="318"/>
      <c r="L838" s="54"/>
      <c r="M838" s="313"/>
    </row>
    <row r="839" ht="14.25" customHeight="1">
      <c r="E839" s="322"/>
      <c r="F839" s="315"/>
      <c r="G839" s="315"/>
      <c r="H839" s="315"/>
      <c r="I839" s="318"/>
      <c r="L839" s="54"/>
      <c r="M839" s="313"/>
    </row>
    <row r="840" ht="14.25" customHeight="1">
      <c r="E840" s="322"/>
      <c r="F840" s="315"/>
      <c r="G840" s="315"/>
      <c r="H840" s="315"/>
      <c r="I840" s="318"/>
      <c r="L840" s="54"/>
      <c r="M840" s="313"/>
    </row>
    <row r="841" ht="14.25" customHeight="1">
      <c r="E841" s="322"/>
      <c r="F841" s="315"/>
      <c r="G841" s="315"/>
      <c r="H841" s="315"/>
      <c r="I841" s="318"/>
      <c r="L841" s="54"/>
      <c r="M841" s="313"/>
    </row>
    <row r="842" ht="14.25" customHeight="1">
      <c r="E842" s="322"/>
      <c r="F842" s="315"/>
      <c r="G842" s="315"/>
      <c r="H842" s="315"/>
      <c r="I842" s="318"/>
      <c r="L842" s="54"/>
      <c r="M842" s="313"/>
    </row>
    <row r="843" ht="14.25" customHeight="1">
      <c r="E843" s="322"/>
      <c r="F843" s="315"/>
      <c r="G843" s="315"/>
      <c r="H843" s="315"/>
      <c r="I843" s="318"/>
      <c r="L843" s="54"/>
      <c r="M843" s="313"/>
    </row>
    <row r="844" ht="14.25" customHeight="1">
      <c r="E844" s="322"/>
      <c r="F844" s="315"/>
      <c r="G844" s="315"/>
      <c r="H844" s="315"/>
      <c r="I844" s="318"/>
      <c r="L844" s="54"/>
      <c r="M844" s="313"/>
    </row>
    <row r="845" ht="14.25" customHeight="1">
      <c r="E845" s="322"/>
      <c r="F845" s="315"/>
      <c r="G845" s="315"/>
      <c r="H845" s="315"/>
      <c r="I845" s="318"/>
      <c r="L845" s="54"/>
      <c r="M845" s="313"/>
    </row>
    <row r="846" ht="14.25" customHeight="1">
      <c r="E846" s="322"/>
      <c r="F846" s="315"/>
      <c r="G846" s="315"/>
      <c r="H846" s="315"/>
      <c r="I846" s="318"/>
      <c r="L846" s="54"/>
      <c r="M846" s="313"/>
    </row>
    <row r="847" ht="14.25" customHeight="1">
      <c r="E847" s="322"/>
      <c r="F847" s="315"/>
      <c r="G847" s="315"/>
      <c r="H847" s="315"/>
      <c r="I847" s="318"/>
      <c r="L847" s="54"/>
      <c r="M847" s="313"/>
    </row>
    <row r="848" ht="14.25" customHeight="1">
      <c r="E848" s="322"/>
      <c r="F848" s="315"/>
      <c r="G848" s="315"/>
      <c r="H848" s="315"/>
      <c r="I848" s="318"/>
      <c r="L848" s="54"/>
      <c r="M848" s="313"/>
    </row>
    <row r="849" ht="14.25" customHeight="1">
      <c r="E849" s="322"/>
      <c r="F849" s="315"/>
      <c r="G849" s="315"/>
      <c r="H849" s="315"/>
      <c r="I849" s="318"/>
      <c r="L849" s="54"/>
      <c r="M849" s="313"/>
    </row>
    <row r="850" ht="14.25" customHeight="1">
      <c r="E850" s="322"/>
      <c r="F850" s="315"/>
      <c r="G850" s="315"/>
      <c r="H850" s="315"/>
      <c r="I850" s="318"/>
      <c r="L850" s="54"/>
      <c r="M850" s="313"/>
    </row>
    <row r="851" ht="14.25" customHeight="1">
      <c r="E851" s="322"/>
      <c r="F851" s="315"/>
      <c r="G851" s="315"/>
      <c r="H851" s="315"/>
      <c r="I851" s="318"/>
      <c r="L851" s="54"/>
      <c r="M851" s="313"/>
    </row>
    <row r="852" ht="14.25" customHeight="1">
      <c r="E852" s="322"/>
      <c r="F852" s="315"/>
      <c r="G852" s="315"/>
      <c r="H852" s="315"/>
      <c r="I852" s="318"/>
      <c r="L852" s="54"/>
      <c r="M852" s="313"/>
    </row>
    <row r="853" ht="14.25" customHeight="1">
      <c r="E853" s="322"/>
      <c r="F853" s="315"/>
      <c r="G853" s="315"/>
      <c r="H853" s="315"/>
      <c r="I853" s="318"/>
      <c r="L853" s="54"/>
      <c r="M853" s="313"/>
    </row>
    <row r="854" ht="14.25" customHeight="1">
      <c r="E854" s="322"/>
      <c r="F854" s="315"/>
      <c r="G854" s="315"/>
      <c r="H854" s="315"/>
      <c r="I854" s="318"/>
      <c r="L854" s="54"/>
      <c r="M854" s="313"/>
    </row>
    <row r="855" ht="14.25" customHeight="1">
      <c r="E855" s="322"/>
      <c r="F855" s="315"/>
      <c r="G855" s="315"/>
      <c r="H855" s="315"/>
      <c r="I855" s="318"/>
      <c r="L855" s="54"/>
      <c r="M855" s="313"/>
    </row>
    <row r="856" ht="14.25" customHeight="1">
      <c r="E856" s="322"/>
      <c r="F856" s="315"/>
      <c r="G856" s="315"/>
      <c r="H856" s="315"/>
      <c r="I856" s="318"/>
      <c r="L856" s="54"/>
      <c r="M856" s="313"/>
    </row>
    <row r="857" ht="14.25" customHeight="1">
      <c r="E857" s="322"/>
      <c r="F857" s="315"/>
      <c r="G857" s="315"/>
      <c r="H857" s="315"/>
      <c r="I857" s="318"/>
      <c r="L857" s="54"/>
      <c r="M857" s="313"/>
    </row>
    <row r="858" ht="14.25" customHeight="1">
      <c r="E858" s="322"/>
      <c r="F858" s="315"/>
      <c r="G858" s="315"/>
      <c r="H858" s="315"/>
      <c r="I858" s="318"/>
      <c r="L858" s="54"/>
      <c r="M858" s="313"/>
    </row>
    <row r="859" ht="14.25" customHeight="1">
      <c r="E859" s="322"/>
      <c r="F859" s="315"/>
      <c r="G859" s="315"/>
      <c r="H859" s="315"/>
      <c r="I859" s="318"/>
      <c r="L859" s="54"/>
      <c r="M859" s="313"/>
    </row>
    <row r="860" ht="14.25" customHeight="1">
      <c r="E860" s="322"/>
      <c r="F860" s="315"/>
      <c r="G860" s="315"/>
      <c r="H860" s="315"/>
      <c r="I860" s="318"/>
      <c r="L860" s="54"/>
      <c r="M860" s="313"/>
    </row>
    <row r="861" ht="14.25" customHeight="1">
      <c r="E861" s="322"/>
      <c r="F861" s="315"/>
      <c r="G861" s="315"/>
      <c r="H861" s="315"/>
      <c r="I861" s="318"/>
      <c r="L861" s="54"/>
      <c r="M861" s="313"/>
    </row>
    <row r="862" ht="14.25" customHeight="1">
      <c r="E862" s="322"/>
      <c r="F862" s="315"/>
      <c r="G862" s="315"/>
      <c r="H862" s="315"/>
      <c r="I862" s="318"/>
      <c r="L862" s="54"/>
      <c r="M862" s="313"/>
    </row>
    <row r="863" ht="14.25" customHeight="1">
      <c r="E863" s="322"/>
      <c r="F863" s="315"/>
      <c r="G863" s="315"/>
      <c r="H863" s="315"/>
      <c r="I863" s="318"/>
      <c r="L863" s="54"/>
      <c r="M863" s="313"/>
    </row>
    <row r="864" ht="14.25" customHeight="1">
      <c r="E864" s="322"/>
      <c r="F864" s="315"/>
      <c r="G864" s="315"/>
      <c r="H864" s="315"/>
      <c r="I864" s="318"/>
      <c r="L864" s="54"/>
      <c r="M864" s="313"/>
    </row>
    <row r="865" ht="14.25" customHeight="1">
      <c r="E865" s="322"/>
      <c r="F865" s="315"/>
      <c r="G865" s="315"/>
      <c r="H865" s="315"/>
      <c r="I865" s="318"/>
      <c r="L865" s="54"/>
      <c r="M865" s="313"/>
    </row>
    <row r="866" ht="14.25" customHeight="1">
      <c r="E866" s="322"/>
      <c r="F866" s="315"/>
      <c r="G866" s="315"/>
      <c r="H866" s="315"/>
      <c r="I866" s="318"/>
      <c r="L866" s="54"/>
      <c r="M866" s="313"/>
    </row>
    <row r="867" ht="14.25" customHeight="1">
      <c r="E867" s="322"/>
      <c r="F867" s="315"/>
      <c r="G867" s="315"/>
      <c r="H867" s="315"/>
      <c r="I867" s="318"/>
      <c r="L867" s="54"/>
      <c r="M867" s="313"/>
    </row>
    <row r="868" ht="14.25" customHeight="1">
      <c r="E868" s="322"/>
      <c r="F868" s="315"/>
      <c r="G868" s="315"/>
      <c r="H868" s="315"/>
      <c r="I868" s="318"/>
      <c r="L868" s="54"/>
      <c r="M868" s="313"/>
    </row>
    <row r="869" ht="14.25" customHeight="1">
      <c r="E869" s="322"/>
      <c r="F869" s="315"/>
      <c r="G869" s="315"/>
      <c r="H869" s="315"/>
      <c r="I869" s="318"/>
      <c r="L869" s="54"/>
      <c r="M869" s="313"/>
    </row>
    <row r="870" ht="14.25" customHeight="1">
      <c r="E870" s="322"/>
      <c r="F870" s="315"/>
      <c r="G870" s="315"/>
      <c r="H870" s="315"/>
      <c r="I870" s="318"/>
      <c r="L870" s="54"/>
      <c r="M870" s="313"/>
    </row>
    <row r="871" ht="14.25" customHeight="1">
      <c r="E871" s="322"/>
      <c r="F871" s="315"/>
      <c r="G871" s="315"/>
      <c r="H871" s="315"/>
      <c r="I871" s="318"/>
      <c r="L871" s="54"/>
      <c r="M871" s="313"/>
    </row>
    <row r="872" ht="14.25" customHeight="1">
      <c r="E872" s="322"/>
      <c r="F872" s="315"/>
      <c r="G872" s="315"/>
      <c r="H872" s="315"/>
      <c r="I872" s="318"/>
      <c r="L872" s="54"/>
      <c r="M872" s="313"/>
    </row>
    <row r="873" ht="14.25" customHeight="1">
      <c r="E873" s="322"/>
      <c r="F873" s="315"/>
      <c r="G873" s="315"/>
      <c r="H873" s="315"/>
      <c r="I873" s="318"/>
      <c r="L873" s="54"/>
      <c r="M873" s="313"/>
    </row>
    <row r="874" ht="14.25" customHeight="1">
      <c r="E874" s="322"/>
      <c r="F874" s="315"/>
      <c r="G874" s="315"/>
      <c r="H874" s="315"/>
      <c r="I874" s="318"/>
      <c r="L874" s="54"/>
      <c r="M874" s="313"/>
    </row>
    <row r="875" ht="14.25" customHeight="1">
      <c r="E875" s="322"/>
      <c r="F875" s="315"/>
      <c r="G875" s="315"/>
      <c r="H875" s="315"/>
      <c r="I875" s="318"/>
      <c r="L875" s="54"/>
      <c r="M875" s="313"/>
    </row>
    <row r="876" ht="14.25" customHeight="1">
      <c r="E876" s="322"/>
      <c r="F876" s="315"/>
      <c r="G876" s="315"/>
      <c r="H876" s="315"/>
      <c r="I876" s="318"/>
      <c r="L876" s="54"/>
      <c r="M876" s="313"/>
    </row>
    <row r="877" ht="14.25" customHeight="1">
      <c r="E877" s="322"/>
      <c r="F877" s="315"/>
      <c r="G877" s="315"/>
      <c r="H877" s="315"/>
      <c r="I877" s="318"/>
      <c r="L877" s="54"/>
      <c r="M877" s="313"/>
    </row>
    <row r="878" ht="14.25" customHeight="1">
      <c r="E878" s="322"/>
      <c r="F878" s="315"/>
      <c r="G878" s="315"/>
      <c r="H878" s="315"/>
      <c r="I878" s="318"/>
      <c r="L878" s="54"/>
      <c r="M878" s="313"/>
    </row>
    <row r="879" ht="14.25" customHeight="1">
      <c r="E879" s="322"/>
      <c r="F879" s="315"/>
      <c r="G879" s="315"/>
      <c r="H879" s="315"/>
      <c r="I879" s="318"/>
      <c r="L879" s="54"/>
      <c r="M879" s="313"/>
    </row>
    <row r="880" ht="14.25" customHeight="1">
      <c r="E880" s="322"/>
      <c r="F880" s="315"/>
      <c r="G880" s="315"/>
      <c r="H880" s="315"/>
      <c r="I880" s="318"/>
      <c r="L880" s="54"/>
      <c r="M880" s="313"/>
    </row>
    <row r="881" ht="14.25" customHeight="1">
      <c r="E881" s="322"/>
      <c r="F881" s="315"/>
      <c r="G881" s="315"/>
      <c r="H881" s="315"/>
      <c r="I881" s="318"/>
      <c r="L881" s="54"/>
      <c r="M881" s="313"/>
    </row>
    <row r="882" ht="14.25" customHeight="1">
      <c r="E882" s="322"/>
      <c r="F882" s="315"/>
      <c r="G882" s="315"/>
      <c r="H882" s="315"/>
      <c r="I882" s="318"/>
      <c r="L882" s="54"/>
      <c r="M882" s="313"/>
    </row>
    <row r="883" ht="14.25" customHeight="1">
      <c r="E883" s="322"/>
      <c r="F883" s="315"/>
      <c r="G883" s="315"/>
      <c r="H883" s="315"/>
      <c r="I883" s="318"/>
      <c r="L883" s="54"/>
      <c r="M883" s="313"/>
    </row>
    <row r="884" ht="14.25" customHeight="1">
      <c r="E884" s="322"/>
      <c r="F884" s="315"/>
      <c r="G884" s="315"/>
      <c r="H884" s="315"/>
      <c r="I884" s="318"/>
      <c r="L884" s="54"/>
      <c r="M884" s="313"/>
    </row>
    <row r="885" ht="14.25" customHeight="1">
      <c r="E885" s="322"/>
      <c r="F885" s="315"/>
      <c r="G885" s="315"/>
      <c r="H885" s="315"/>
      <c r="I885" s="318"/>
      <c r="L885" s="54"/>
      <c r="M885" s="313"/>
    </row>
    <row r="886" ht="14.25" customHeight="1">
      <c r="E886" s="322"/>
      <c r="F886" s="315"/>
      <c r="G886" s="315"/>
      <c r="H886" s="315"/>
      <c r="I886" s="318"/>
      <c r="L886" s="54"/>
      <c r="M886" s="313"/>
    </row>
    <row r="887" ht="14.25" customHeight="1">
      <c r="E887" s="322"/>
      <c r="F887" s="315"/>
      <c r="G887" s="315"/>
      <c r="H887" s="315"/>
      <c r="I887" s="318"/>
      <c r="L887" s="54"/>
      <c r="M887" s="313"/>
    </row>
    <row r="888" ht="14.25" customHeight="1">
      <c r="E888" s="322"/>
      <c r="F888" s="315"/>
      <c r="G888" s="315"/>
      <c r="H888" s="315"/>
      <c r="I888" s="318"/>
      <c r="L888" s="54"/>
      <c r="M888" s="313"/>
    </row>
    <row r="889" ht="14.25" customHeight="1">
      <c r="E889" s="322"/>
      <c r="F889" s="315"/>
      <c r="G889" s="315"/>
      <c r="H889" s="315"/>
      <c r="I889" s="318"/>
      <c r="L889" s="54"/>
      <c r="M889" s="313"/>
    </row>
    <row r="890" ht="14.25" customHeight="1">
      <c r="E890" s="322"/>
      <c r="F890" s="315"/>
      <c r="G890" s="315"/>
      <c r="H890" s="315"/>
      <c r="I890" s="318"/>
      <c r="L890" s="54"/>
      <c r="M890" s="313"/>
    </row>
    <row r="891" ht="14.25" customHeight="1">
      <c r="E891" s="322"/>
      <c r="F891" s="315"/>
      <c r="G891" s="315"/>
      <c r="H891" s="315"/>
      <c r="I891" s="318"/>
      <c r="L891" s="54"/>
      <c r="M891" s="313"/>
    </row>
    <row r="892" ht="14.25" customHeight="1">
      <c r="E892" s="322"/>
      <c r="F892" s="315"/>
      <c r="G892" s="315"/>
      <c r="H892" s="315"/>
      <c r="I892" s="318"/>
      <c r="L892" s="54"/>
      <c r="M892" s="313"/>
    </row>
    <row r="893" ht="14.25" customHeight="1">
      <c r="E893" s="322"/>
      <c r="F893" s="315"/>
      <c r="G893" s="315"/>
      <c r="H893" s="315"/>
      <c r="I893" s="318"/>
      <c r="L893" s="54"/>
      <c r="M893" s="313"/>
    </row>
    <row r="894" ht="14.25" customHeight="1">
      <c r="E894" s="322"/>
      <c r="F894" s="315"/>
      <c r="G894" s="315"/>
      <c r="H894" s="315"/>
      <c r="I894" s="318"/>
      <c r="L894" s="54"/>
      <c r="M894" s="313"/>
    </row>
    <row r="895" ht="14.25" customHeight="1">
      <c r="E895" s="322"/>
      <c r="F895" s="315"/>
      <c r="G895" s="315"/>
      <c r="H895" s="315"/>
      <c r="I895" s="318"/>
      <c r="L895" s="54"/>
      <c r="M895" s="313"/>
    </row>
    <row r="896" ht="14.25" customHeight="1">
      <c r="E896" s="322"/>
      <c r="F896" s="315"/>
      <c r="G896" s="315"/>
      <c r="H896" s="315"/>
      <c r="I896" s="318"/>
      <c r="L896" s="54"/>
      <c r="M896" s="313"/>
    </row>
    <row r="897" ht="14.25" customHeight="1">
      <c r="E897" s="322"/>
      <c r="F897" s="315"/>
      <c r="G897" s="315"/>
      <c r="H897" s="315"/>
      <c r="I897" s="318"/>
      <c r="L897" s="54"/>
      <c r="M897" s="313"/>
    </row>
    <row r="898" ht="14.25" customHeight="1">
      <c r="E898" s="322"/>
      <c r="F898" s="315"/>
      <c r="G898" s="315"/>
      <c r="H898" s="315"/>
      <c r="I898" s="318"/>
      <c r="L898" s="54"/>
      <c r="M898" s="313"/>
    </row>
    <row r="899" ht="14.25" customHeight="1">
      <c r="E899" s="322"/>
      <c r="F899" s="315"/>
      <c r="G899" s="315"/>
      <c r="H899" s="315"/>
      <c r="I899" s="318"/>
      <c r="L899" s="54"/>
      <c r="M899" s="313"/>
    </row>
    <row r="900" ht="14.25" customHeight="1">
      <c r="E900" s="322"/>
      <c r="F900" s="315"/>
      <c r="G900" s="315"/>
      <c r="H900" s="315"/>
      <c r="I900" s="318"/>
      <c r="L900" s="54"/>
      <c r="M900" s="313"/>
    </row>
    <row r="901" ht="14.25" customHeight="1">
      <c r="E901" s="322"/>
      <c r="F901" s="315"/>
      <c r="G901" s="315"/>
      <c r="H901" s="315"/>
      <c r="I901" s="318"/>
      <c r="L901" s="54"/>
      <c r="M901" s="313"/>
    </row>
    <row r="902" ht="14.25" customHeight="1">
      <c r="E902" s="322"/>
      <c r="F902" s="315"/>
      <c r="G902" s="315"/>
      <c r="H902" s="315"/>
      <c r="I902" s="318"/>
      <c r="L902" s="54"/>
      <c r="M902" s="313"/>
    </row>
    <row r="903" ht="14.25" customHeight="1">
      <c r="E903" s="322"/>
      <c r="F903" s="315"/>
      <c r="G903" s="315"/>
      <c r="H903" s="315"/>
      <c r="I903" s="318"/>
      <c r="L903" s="54"/>
      <c r="M903" s="313"/>
    </row>
    <row r="904" ht="14.25" customHeight="1">
      <c r="E904" s="322"/>
      <c r="F904" s="315"/>
      <c r="G904" s="315"/>
      <c r="H904" s="315"/>
      <c r="I904" s="318"/>
      <c r="L904" s="54"/>
      <c r="M904" s="313"/>
    </row>
    <row r="905" ht="14.25" customHeight="1">
      <c r="E905" s="322"/>
      <c r="F905" s="315"/>
      <c r="G905" s="315"/>
      <c r="H905" s="315"/>
      <c r="I905" s="318"/>
      <c r="L905" s="54"/>
      <c r="M905" s="313"/>
    </row>
    <row r="906" ht="14.25" customHeight="1">
      <c r="E906" s="322"/>
      <c r="F906" s="315"/>
      <c r="G906" s="315"/>
      <c r="H906" s="315"/>
      <c r="I906" s="318"/>
      <c r="L906" s="54"/>
      <c r="M906" s="313"/>
    </row>
    <row r="907" ht="14.25" customHeight="1">
      <c r="E907" s="322"/>
      <c r="F907" s="315"/>
      <c r="G907" s="315"/>
      <c r="H907" s="315"/>
      <c r="I907" s="318"/>
      <c r="L907" s="54"/>
      <c r="M907" s="313"/>
    </row>
    <row r="908" ht="14.25" customHeight="1">
      <c r="E908" s="322"/>
      <c r="F908" s="315"/>
      <c r="G908" s="315"/>
      <c r="H908" s="315"/>
      <c r="I908" s="318"/>
      <c r="L908" s="54"/>
      <c r="M908" s="313"/>
    </row>
    <row r="909" ht="14.25" customHeight="1">
      <c r="E909" s="322"/>
      <c r="F909" s="315"/>
      <c r="G909" s="315"/>
      <c r="H909" s="315"/>
      <c r="I909" s="318"/>
      <c r="L909" s="54"/>
      <c r="M909" s="313"/>
    </row>
    <row r="910" ht="14.25" customHeight="1">
      <c r="E910" s="322"/>
      <c r="F910" s="315"/>
      <c r="G910" s="315"/>
      <c r="H910" s="315"/>
      <c r="I910" s="318"/>
      <c r="L910" s="54"/>
      <c r="M910" s="313"/>
    </row>
    <row r="911" ht="14.25" customHeight="1">
      <c r="E911" s="322"/>
      <c r="F911" s="315"/>
      <c r="G911" s="315"/>
      <c r="H911" s="315"/>
      <c r="I911" s="318"/>
      <c r="L911" s="54"/>
      <c r="M911" s="313"/>
    </row>
    <row r="912" ht="14.25" customHeight="1">
      <c r="E912" s="322"/>
      <c r="F912" s="315"/>
      <c r="G912" s="315"/>
      <c r="H912" s="315"/>
      <c r="I912" s="318"/>
      <c r="L912" s="54"/>
      <c r="M912" s="313"/>
    </row>
    <row r="913" ht="14.25" customHeight="1">
      <c r="E913" s="322"/>
      <c r="F913" s="315"/>
      <c r="G913" s="315"/>
      <c r="H913" s="315"/>
      <c r="I913" s="318"/>
      <c r="L913" s="54"/>
      <c r="M913" s="313"/>
    </row>
    <row r="914" ht="14.25" customHeight="1">
      <c r="E914" s="322"/>
      <c r="F914" s="315"/>
      <c r="G914" s="315"/>
      <c r="H914" s="315"/>
      <c r="I914" s="318"/>
      <c r="L914" s="54"/>
      <c r="M914" s="313"/>
    </row>
    <row r="915" ht="14.25" customHeight="1">
      <c r="E915" s="322"/>
      <c r="F915" s="315"/>
      <c r="G915" s="315"/>
      <c r="H915" s="315"/>
      <c r="I915" s="318"/>
      <c r="L915" s="54"/>
      <c r="M915" s="313"/>
    </row>
    <row r="916" ht="14.25" customHeight="1">
      <c r="E916" s="322"/>
      <c r="F916" s="315"/>
      <c r="G916" s="315"/>
      <c r="H916" s="315"/>
      <c r="I916" s="318"/>
      <c r="L916" s="54"/>
      <c r="M916" s="313"/>
    </row>
    <row r="917" ht="14.25" customHeight="1">
      <c r="E917" s="322"/>
      <c r="F917" s="315"/>
      <c r="G917" s="315"/>
      <c r="H917" s="315"/>
      <c r="I917" s="318"/>
      <c r="L917" s="54"/>
      <c r="M917" s="313"/>
    </row>
    <row r="918" ht="14.25" customHeight="1">
      <c r="E918" s="322"/>
      <c r="F918" s="315"/>
      <c r="G918" s="315"/>
      <c r="H918" s="315"/>
      <c r="I918" s="318"/>
      <c r="L918" s="54"/>
      <c r="M918" s="313"/>
    </row>
    <row r="919" ht="14.25" customHeight="1">
      <c r="E919" s="322"/>
      <c r="F919" s="315"/>
      <c r="G919" s="315"/>
      <c r="H919" s="315"/>
      <c r="I919" s="318"/>
      <c r="L919" s="54"/>
      <c r="M919" s="313"/>
    </row>
    <row r="920" ht="14.25" customHeight="1">
      <c r="E920" s="322"/>
      <c r="F920" s="315"/>
      <c r="G920" s="315"/>
      <c r="H920" s="315"/>
      <c r="I920" s="318"/>
      <c r="L920" s="54"/>
      <c r="M920" s="313"/>
    </row>
    <row r="921" ht="14.25" customHeight="1">
      <c r="E921" s="322"/>
      <c r="F921" s="315"/>
      <c r="G921" s="315"/>
      <c r="H921" s="315"/>
      <c r="I921" s="318"/>
      <c r="L921" s="54"/>
      <c r="M921" s="313"/>
    </row>
    <row r="922" ht="14.25" customHeight="1">
      <c r="E922" s="322"/>
      <c r="F922" s="315"/>
      <c r="G922" s="315"/>
      <c r="H922" s="315"/>
      <c r="I922" s="318"/>
      <c r="L922" s="54"/>
      <c r="M922" s="313"/>
    </row>
    <row r="923" ht="14.25" customHeight="1">
      <c r="E923" s="322"/>
      <c r="F923" s="315"/>
      <c r="G923" s="315"/>
      <c r="H923" s="315"/>
      <c r="I923" s="318"/>
      <c r="L923" s="54"/>
      <c r="M923" s="313"/>
    </row>
    <row r="924" ht="14.25" customHeight="1">
      <c r="E924" s="322"/>
      <c r="F924" s="315"/>
      <c r="G924" s="315"/>
      <c r="H924" s="315"/>
      <c r="I924" s="318"/>
      <c r="L924" s="54"/>
      <c r="M924" s="313"/>
    </row>
    <row r="925" ht="14.25" customHeight="1">
      <c r="E925" s="322"/>
      <c r="F925" s="315"/>
      <c r="G925" s="315"/>
      <c r="H925" s="315"/>
      <c r="I925" s="318"/>
      <c r="L925" s="54"/>
      <c r="M925" s="313"/>
    </row>
    <row r="926" ht="14.25" customHeight="1">
      <c r="E926" s="322"/>
      <c r="F926" s="315"/>
      <c r="G926" s="315"/>
      <c r="H926" s="315"/>
      <c r="I926" s="318"/>
      <c r="L926" s="54"/>
      <c r="M926" s="313"/>
    </row>
    <row r="927" ht="14.25" customHeight="1">
      <c r="E927" s="322"/>
      <c r="F927" s="315"/>
      <c r="G927" s="315"/>
      <c r="H927" s="315"/>
      <c r="I927" s="318"/>
      <c r="L927" s="54"/>
      <c r="M927" s="313"/>
    </row>
    <row r="928" ht="14.25" customHeight="1">
      <c r="E928" s="322"/>
      <c r="F928" s="315"/>
      <c r="G928" s="315"/>
      <c r="H928" s="315"/>
      <c r="I928" s="318"/>
      <c r="L928" s="54"/>
      <c r="M928" s="313"/>
    </row>
    <row r="929" ht="14.25" customHeight="1">
      <c r="E929" s="322"/>
      <c r="F929" s="315"/>
      <c r="G929" s="315"/>
      <c r="H929" s="315"/>
      <c r="I929" s="318"/>
      <c r="L929" s="54"/>
      <c r="M929" s="313"/>
    </row>
    <row r="930" ht="14.25" customHeight="1">
      <c r="E930" s="322"/>
      <c r="F930" s="315"/>
      <c r="G930" s="315"/>
      <c r="H930" s="315"/>
      <c r="I930" s="318"/>
      <c r="L930" s="54"/>
      <c r="M930" s="313"/>
    </row>
    <row r="931" ht="14.25" customHeight="1">
      <c r="E931" s="322"/>
      <c r="F931" s="315"/>
      <c r="G931" s="315"/>
      <c r="H931" s="315"/>
      <c r="I931" s="318"/>
      <c r="L931" s="54"/>
      <c r="M931" s="313"/>
    </row>
    <row r="932" ht="14.25" customHeight="1">
      <c r="E932" s="322"/>
      <c r="F932" s="315"/>
      <c r="G932" s="315"/>
      <c r="H932" s="315"/>
      <c r="I932" s="318"/>
      <c r="L932" s="54"/>
      <c r="M932" s="313"/>
    </row>
    <row r="933" ht="14.25" customHeight="1">
      <c r="E933" s="322"/>
      <c r="F933" s="315"/>
      <c r="G933" s="315"/>
      <c r="H933" s="315"/>
      <c r="I933" s="318"/>
      <c r="L933" s="54"/>
      <c r="M933" s="313"/>
    </row>
    <row r="934" ht="14.25" customHeight="1">
      <c r="E934" s="322"/>
      <c r="F934" s="315"/>
      <c r="G934" s="315"/>
      <c r="H934" s="315"/>
      <c r="I934" s="318"/>
      <c r="L934" s="54"/>
      <c r="M934" s="313"/>
    </row>
    <row r="935" ht="14.25" customHeight="1">
      <c r="E935" s="322"/>
      <c r="F935" s="315"/>
      <c r="G935" s="315"/>
      <c r="H935" s="315"/>
      <c r="I935" s="318"/>
      <c r="L935" s="54"/>
      <c r="M935" s="313"/>
    </row>
    <row r="936" ht="14.25" customHeight="1">
      <c r="E936" s="322"/>
      <c r="F936" s="315"/>
      <c r="G936" s="315"/>
      <c r="H936" s="315"/>
      <c r="I936" s="318"/>
      <c r="L936" s="54"/>
      <c r="M936" s="313"/>
    </row>
    <row r="937" ht="14.25" customHeight="1">
      <c r="E937" s="322"/>
      <c r="F937" s="315"/>
      <c r="G937" s="315"/>
      <c r="H937" s="315"/>
      <c r="I937" s="318"/>
      <c r="L937" s="54"/>
      <c r="M937" s="313"/>
    </row>
    <row r="938" ht="14.25" customHeight="1">
      <c r="E938" s="322"/>
      <c r="F938" s="315"/>
      <c r="G938" s="315"/>
      <c r="H938" s="315"/>
      <c r="I938" s="318"/>
      <c r="L938" s="54"/>
      <c r="M938" s="313"/>
    </row>
    <row r="939" ht="14.25" customHeight="1">
      <c r="E939" s="322"/>
      <c r="F939" s="315"/>
      <c r="G939" s="315"/>
      <c r="H939" s="315"/>
      <c r="I939" s="318"/>
      <c r="L939" s="54"/>
      <c r="M939" s="313"/>
    </row>
    <row r="940" ht="14.25" customHeight="1">
      <c r="E940" s="322"/>
      <c r="F940" s="315"/>
      <c r="G940" s="315"/>
      <c r="H940" s="315"/>
      <c r="I940" s="318"/>
      <c r="L940" s="54"/>
      <c r="M940" s="313"/>
    </row>
    <row r="941" ht="14.25" customHeight="1">
      <c r="E941" s="322"/>
      <c r="F941" s="315"/>
      <c r="G941" s="315"/>
      <c r="H941" s="315"/>
      <c r="I941" s="318"/>
      <c r="L941" s="54"/>
      <c r="M941" s="313"/>
    </row>
    <row r="942" ht="14.25" customHeight="1">
      <c r="E942" s="322"/>
      <c r="F942" s="315"/>
      <c r="G942" s="315"/>
      <c r="H942" s="315"/>
      <c r="I942" s="318"/>
      <c r="L942" s="54"/>
      <c r="M942" s="313"/>
    </row>
    <row r="943" ht="14.25" customHeight="1">
      <c r="E943" s="322"/>
      <c r="F943" s="315"/>
      <c r="G943" s="315"/>
      <c r="H943" s="315"/>
      <c r="I943" s="318"/>
      <c r="L943" s="54"/>
      <c r="M943" s="313"/>
    </row>
    <row r="944" ht="14.25" customHeight="1">
      <c r="E944" s="322"/>
      <c r="F944" s="315"/>
      <c r="G944" s="315"/>
      <c r="H944" s="315"/>
      <c r="I944" s="318"/>
      <c r="L944" s="54"/>
      <c r="M944" s="313"/>
    </row>
    <row r="945" ht="14.25" customHeight="1">
      <c r="E945" s="322"/>
      <c r="F945" s="315"/>
      <c r="G945" s="315"/>
      <c r="H945" s="315"/>
      <c r="I945" s="318"/>
      <c r="L945" s="54"/>
      <c r="M945" s="313"/>
    </row>
    <row r="946" ht="14.25" customHeight="1">
      <c r="E946" s="322"/>
      <c r="F946" s="315"/>
      <c r="G946" s="315"/>
      <c r="H946" s="315"/>
      <c r="I946" s="318"/>
      <c r="L946" s="54"/>
      <c r="M946" s="313"/>
    </row>
    <row r="947" ht="14.25" customHeight="1">
      <c r="E947" s="322"/>
      <c r="F947" s="315"/>
      <c r="G947" s="315"/>
      <c r="H947" s="315"/>
      <c r="I947" s="318"/>
      <c r="L947" s="54"/>
      <c r="M947" s="313"/>
    </row>
    <row r="948" ht="14.25" customHeight="1">
      <c r="E948" s="322"/>
      <c r="F948" s="315"/>
      <c r="G948" s="315"/>
      <c r="H948" s="315"/>
      <c r="I948" s="318"/>
      <c r="L948" s="54"/>
      <c r="M948" s="313"/>
    </row>
    <row r="949" ht="14.25" customHeight="1">
      <c r="E949" s="322"/>
      <c r="F949" s="315"/>
      <c r="G949" s="315"/>
      <c r="H949" s="315"/>
      <c r="I949" s="318"/>
      <c r="L949" s="54"/>
      <c r="M949" s="313"/>
    </row>
    <row r="950" ht="14.25" customHeight="1">
      <c r="E950" s="322"/>
      <c r="F950" s="315"/>
      <c r="G950" s="315"/>
      <c r="H950" s="315"/>
      <c r="I950" s="318"/>
      <c r="L950" s="54"/>
      <c r="M950" s="313"/>
    </row>
    <row r="951" ht="14.25" customHeight="1">
      <c r="E951" s="322"/>
      <c r="F951" s="315"/>
      <c r="G951" s="315"/>
      <c r="H951" s="315"/>
      <c r="I951" s="318"/>
      <c r="L951" s="54"/>
      <c r="M951" s="313"/>
    </row>
    <row r="952" ht="14.25" customHeight="1">
      <c r="E952" s="322"/>
      <c r="F952" s="315"/>
      <c r="G952" s="315"/>
      <c r="H952" s="315"/>
      <c r="I952" s="318"/>
      <c r="L952" s="54"/>
      <c r="M952" s="313"/>
    </row>
    <row r="953" ht="14.25" customHeight="1">
      <c r="E953" s="322"/>
      <c r="F953" s="315"/>
      <c r="G953" s="315"/>
      <c r="H953" s="315"/>
      <c r="I953" s="318"/>
      <c r="L953" s="54"/>
      <c r="M953" s="313"/>
    </row>
    <row r="954" ht="14.25" customHeight="1">
      <c r="E954" s="322"/>
      <c r="F954" s="315"/>
      <c r="G954" s="315"/>
      <c r="H954" s="315"/>
      <c r="I954" s="318"/>
      <c r="L954" s="54"/>
      <c r="M954" s="313"/>
    </row>
    <row r="955" ht="14.25" customHeight="1">
      <c r="E955" s="322"/>
      <c r="F955" s="315"/>
      <c r="G955" s="315"/>
      <c r="H955" s="315"/>
      <c r="I955" s="318"/>
      <c r="L955" s="54"/>
      <c r="M955" s="313"/>
    </row>
    <row r="956" ht="14.25" customHeight="1">
      <c r="E956" s="322"/>
      <c r="F956" s="315"/>
      <c r="G956" s="315"/>
      <c r="H956" s="315"/>
      <c r="I956" s="318"/>
      <c r="L956" s="54"/>
      <c r="M956" s="313"/>
    </row>
    <row r="957" ht="14.25" customHeight="1">
      <c r="E957" s="322"/>
      <c r="F957" s="315"/>
      <c r="G957" s="315"/>
      <c r="H957" s="315"/>
      <c r="I957" s="318"/>
      <c r="L957" s="54"/>
      <c r="M957" s="313"/>
    </row>
    <row r="958" ht="14.25" customHeight="1">
      <c r="E958" s="322"/>
      <c r="F958" s="315"/>
      <c r="G958" s="315"/>
      <c r="H958" s="315"/>
      <c r="I958" s="318"/>
      <c r="L958" s="54"/>
      <c r="M958" s="313"/>
    </row>
    <row r="959" ht="14.25" customHeight="1">
      <c r="E959" s="322"/>
      <c r="F959" s="315"/>
      <c r="G959" s="315"/>
      <c r="H959" s="315"/>
      <c r="I959" s="318"/>
      <c r="L959" s="54"/>
      <c r="M959" s="313"/>
    </row>
    <row r="960" ht="14.25" customHeight="1">
      <c r="E960" s="322"/>
      <c r="F960" s="315"/>
      <c r="G960" s="315"/>
      <c r="H960" s="315"/>
      <c r="I960" s="318"/>
      <c r="L960" s="54"/>
      <c r="M960" s="313"/>
    </row>
    <row r="961" ht="14.25" customHeight="1">
      <c r="E961" s="322"/>
      <c r="F961" s="315"/>
      <c r="G961" s="315"/>
      <c r="H961" s="315"/>
      <c r="I961" s="318"/>
      <c r="L961" s="54"/>
      <c r="M961" s="313"/>
    </row>
    <row r="962" ht="14.25" customHeight="1">
      <c r="E962" s="322"/>
      <c r="F962" s="315"/>
      <c r="G962" s="315"/>
      <c r="H962" s="315"/>
      <c r="I962" s="318"/>
      <c r="L962" s="54"/>
      <c r="M962" s="313"/>
    </row>
    <row r="963" ht="14.25" customHeight="1">
      <c r="E963" s="322"/>
      <c r="F963" s="315"/>
      <c r="G963" s="315"/>
      <c r="H963" s="315"/>
      <c r="I963" s="318"/>
      <c r="L963" s="54"/>
      <c r="M963" s="313"/>
    </row>
    <row r="964" ht="14.25" customHeight="1">
      <c r="E964" s="322"/>
      <c r="F964" s="315"/>
      <c r="G964" s="315"/>
      <c r="H964" s="315"/>
      <c r="I964" s="318"/>
      <c r="L964" s="54"/>
      <c r="M964" s="313"/>
    </row>
    <row r="965" ht="14.25" customHeight="1">
      <c r="E965" s="322"/>
      <c r="F965" s="315"/>
      <c r="G965" s="315"/>
      <c r="H965" s="315"/>
      <c r="I965" s="318"/>
      <c r="L965" s="54"/>
      <c r="M965" s="313"/>
    </row>
    <row r="966" ht="14.25" customHeight="1">
      <c r="E966" s="322"/>
      <c r="F966" s="315"/>
      <c r="G966" s="315"/>
      <c r="H966" s="315"/>
      <c r="I966" s="318"/>
      <c r="L966" s="54"/>
      <c r="M966" s="313"/>
    </row>
    <row r="967" ht="14.25" customHeight="1">
      <c r="E967" s="322"/>
      <c r="F967" s="315"/>
      <c r="G967" s="315"/>
      <c r="H967" s="315"/>
      <c r="I967" s="318"/>
      <c r="L967" s="54"/>
      <c r="M967" s="313"/>
    </row>
    <row r="968" ht="14.25" customHeight="1">
      <c r="E968" s="322"/>
      <c r="F968" s="315"/>
      <c r="G968" s="315"/>
      <c r="H968" s="315"/>
      <c r="I968" s="318"/>
      <c r="L968" s="54"/>
      <c r="M968" s="313"/>
    </row>
    <row r="969" ht="14.25" customHeight="1">
      <c r="E969" s="322"/>
      <c r="F969" s="315"/>
      <c r="G969" s="315"/>
      <c r="H969" s="315"/>
      <c r="I969" s="318"/>
      <c r="L969" s="54"/>
      <c r="M969" s="313"/>
    </row>
    <row r="970" ht="14.25" customHeight="1">
      <c r="E970" s="322"/>
      <c r="F970" s="315"/>
      <c r="G970" s="315"/>
      <c r="H970" s="315"/>
      <c r="I970" s="318"/>
      <c r="L970" s="54"/>
      <c r="M970" s="313"/>
    </row>
    <row r="971" ht="14.25" customHeight="1">
      <c r="E971" s="322"/>
      <c r="F971" s="315"/>
      <c r="G971" s="315"/>
      <c r="H971" s="315"/>
      <c r="I971" s="318"/>
      <c r="L971" s="54"/>
      <c r="M971" s="313"/>
    </row>
    <row r="972" ht="14.25" customHeight="1">
      <c r="E972" s="322"/>
      <c r="F972" s="315"/>
      <c r="G972" s="315"/>
      <c r="H972" s="315"/>
      <c r="I972" s="318"/>
      <c r="L972" s="54"/>
      <c r="M972" s="313"/>
    </row>
    <row r="973" ht="14.25" customHeight="1">
      <c r="E973" s="322"/>
      <c r="F973" s="315"/>
      <c r="G973" s="315"/>
      <c r="H973" s="315"/>
      <c r="I973" s="318"/>
      <c r="L973" s="54"/>
      <c r="M973" s="313"/>
    </row>
    <row r="974" ht="14.25" customHeight="1">
      <c r="E974" s="322"/>
      <c r="F974" s="315"/>
      <c r="G974" s="315"/>
      <c r="H974" s="315"/>
      <c r="I974" s="318"/>
      <c r="L974" s="54"/>
      <c r="M974" s="313"/>
    </row>
    <row r="975" ht="14.25" customHeight="1">
      <c r="E975" s="322"/>
      <c r="F975" s="315"/>
      <c r="G975" s="315"/>
      <c r="H975" s="315"/>
      <c r="I975" s="318"/>
      <c r="L975" s="54"/>
      <c r="M975" s="313"/>
    </row>
    <row r="976" ht="14.25" customHeight="1">
      <c r="E976" s="322"/>
      <c r="F976" s="315"/>
      <c r="G976" s="315"/>
      <c r="H976" s="315"/>
      <c r="I976" s="318"/>
      <c r="L976" s="54"/>
      <c r="M976" s="313"/>
    </row>
    <row r="977" ht="14.25" customHeight="1">
      <c r="E977" s="322"/>
      <c r="F977" s="315"/>
      <c r="G977" s="315"/>
      <c r="H977" s="315"/>
      <c r="I977" s="318"/>
      <c r="L977" s="54"/>
      <c r="M977" s="313"/>
    </row>
    <row r="978" ht="14.25" customHeight="1">
      <c r="E978" s="322"/>
      <c r="F978" s="315"/>
      <c r="G978" s="315"/>
      <c r="H978" s="315"/>
      <c r="I978" s="318"/>
      <c r="L978" s="54"/>
      <c r="M978" s="313"/>
    </row>
    <row r="979" ht="14.25" customHeight="1">
      <c r="E979" s="322"/>
      <c r="F979" s="315"/>
      <c r="G979" s="315"/>
      <c r="H979" s="315"/>
      <c r="I979" s="318"/>
      <c r="L979" s="54"/>
      <c r="M979" s="313"/>
    </row>
    <row r="980" ht="14.25" customHeight="1">
      <c r="E980" s="322"/>
      <c r="F980" s="315"/>
      <c r="G980" s="315"/>
      <c r="H980" s="315"/>
      <c r="I980" s="318"/>
      <c r="L980" s="54"/>
      <c r="M980" s="313"/>
    </row>
    <row r="981" ht="14.25" customHeight="1">
      <c r="E981" s="322"/>
      <c r="F981" s="315"/>
      <c r="G981" s="315"/>
      <c r="H981" s="315"/>
      <c r="I981" s="318"/>
      <c r="L981" s="54"/>
      <c r="M981" s="313"/>
    </row>
    <row r="982" ht="14.25" customHeight="1">
      <c r="E982" s="322"/>
      <c r="F982" s="315"/>
      <c r="G982" s="315"/>
      <c r="H982" s="315"/>
      <c r="I982" s="318"/>
      <c r="L982" s="54"/>
      <c r="M982" s="313"/>
    </row>
    <row r="983" ht="14.25" customHeight="1">
      <c r="E983" s="322"/>
      <c r="F983" s="315"/>
      <c r="G983" s="315"/>
      <c r="H983" s="315"/>
      <c r="I983" s="318"/>
      <c r="L983" s="54"/>
      <c r="M983" s="313"/>
    </row>
    <row r="984" ht="14.25" customHeight="1">
      <c r="E984" s="322"/>
      <c r="F984" s="315"/>
      <c r="G984" s="315"/>
      <c r="H984" s="315"/>
      <c r="I984" s="318"/>
      <c r="L984" s="54"/>
      <c r="M984" s="313"/>
    </row>
    <row r="985" ht="14.25" customHeight="1">
      <c r="E985" s="322"/>
      <c r="F985" s="315"/>
      <c r="G985" s="315"/>
      <c r="H985" s="315"/>
      <c r="I985" s="318"/>
      <c r="L985" s="54"/>
      <c r="M985" s="313"/>
    </row>
    <row r="986" ht="14.25" customHeight="1">
      <c r="E986" s="322"/>
      <c r="F986" s="315"/>
      <c r="G986" s="315"/>
      <c r="H986" s="315"/>
      <c r="I986" s="318"/>
      <c r="L986" s="54"/>
      <c r="M986" s="313"/>
    </row>
    <row r="987" ht="14.25" customHeight="1">
      <c r="E987" s="322"/>
      <c r="F987" s="315"/>
      <c r="G987" s="315"/>
      <c r="H987" s="315"/>
      <c r="I987" s="318"/>
      <c r="L987" s="54"/>
      <c r="M987" s="313"/>
    </row>
    <row r="988" ht="14.25" customHeight="1">
      <c r="E988" s="322"/>
      <c r="F988" s="315"/>
      <c r="G988" s="315"/>
      <c r="H988" s="315"/>
      <c r="I988" s="318"/>
      <c r="L988" s="54"/>
      <c r="M988" s="313"/>
    </row>
    <row r="989" ht="14.25" customHeight="1">
      <c r="E989" s="322"/>
      <c r="F989" s="315"/>
      <c r="G989" s="315"/>
      <c r="H989" s="315"/>
      <c r="I989" s="318"/>
      <c r="L989" s="54"/>
      <c r="M989" s="313"/>
    </row>
    <row r="990" ht="14.25" customHeight="1">
      <c r="E990" s="322"/>
      <c r="F990" s="315"/>
      <c r="G990" s="315"/>
      <c r="H990" s="315"/>
      <c r="I990" s="318"/>
      <c r="L990" s="54"/>
      <c r="M990" s="313"/>
    </row>
    <row r="991" ht="14.25" customHeight="1">
      <c r="E991" s="322"/>
      <c r="F991" s="315"/>
      <c r="G991" s="315"/>
      <c r="H991" s="315"/>
      <c r="I991" s="318"/>
      <c r="L991" s="54"/>
      <c r="M991" s="313"/>
    </row>
    <row r="992" ht="14.25" customHeight="1">
      <c r="E992" s="322"/>
      <c r="F992" s="315"/>
      <c r="G992" s="315"/>
      <c r="H992" s="315"/>
      <c r="I992" s="318"/>
      <c r="L992" s="54"/>
      <c r="M992" s="313"/>
    </row>
    <row r="993" ht="14.25" customHeight="1">
      <c r="E993" s="322"/>
      <c r="F993" s="315"/>
      <c r="G993" s="315"/>
      <c r="H993" s="315"/>
      <c r="I993" s="318"/>
      <c r="L993" s="54"/>
      <c r="M993" s="313"/>
    </row>
    <row r="994" ht="14.25" customHeight="1">
      <c r="E994" s="322"/>
      <c r="F994" s="315"/>
      <c r="G994" s="315"/>
      <c r="H994" s="315"/>
      <c r="I994" s="318"/>
      <c r="L994" s="54"/>
      <c r="M994" s="313"/>
    </row>
    <row r="995" ht="14.25" customHeight="1">
      <c r="E995" s="322"/>
      <c r="F995" s="315"/>
      <c r="G995" s="315"/>
      <c r="H995" s="315"/>
      <c r="I995" s="318"/>
      <c r="L995" s="54"/>
      <c r="M995" s="313"/>
    </row>
    <row r="996" ht="14.25" customHeight="1">
      <c r="E996" s="322"/>
      <c r="F996" s="315"/>
      <c r="G996" s="315"/>
      <c r="H996" s="315"/>
      <c r="I996" s="318"/>
      <c r="L996" s="54"/>
      <c r="M996" s="313"/>
    </row>
    <row r="997" ht="14.25" customHeight="1">
      <c r="E997" s="322"/>
      <c r="F997" s="315"/>
      <c r="G997" s="315"/>
      <c r="H997" s="315"/>
      <c r="I997" s="318"/>
      <c r="L997" s="54"/>
      <c r="M997" s="313"/>
    </row>
    <row r="998" ht="14.25" customHeight="1">
      <c r="E998" s="322"/>
      <c r="F998" s="315"/>
      <c r="G998" s="315"/>
      <c r="H998" s="315"/>
      <c r="I998" s="318"/>
      <c r="L998" s="54"/>
      <c r="M998" s="313"/>
    </row>
    <row r="999" ht="14.25" customHeight="1">
      <c r="E999" s="322"/>
      <c r="F999" s="315"/>
      <c r="G999" s="315"/>
      <c r="H999" s="315"/>
      <c r="I999" s="318"/>
      <c r="L999" s="54"/>
      <c r="M999" s="313"/>
    </row>
    <row r="1000" ht="14.25" customHeight="1">
      <c r="E1000" s="322"/>
      <c r="F1000" s="315"/>
      <c r="G1000" s="315"/>
      <c r="H1000" s="315"/>
      <c r="I1000" s="318"/>
      <c r="L1000" s="54"/>
      <c r="M1000" s="313"/>
    </row>
  </sheetData>
  <mergeCells count="29">
    <mergeCell ref="H2:H3"/>
    <mergeCell ref="I2:I3"/>
    <mergeCell ref="J2:J3"/>
    <mergeCell ref="K2:K3"/>
    <mergeCell ref="L2:M2"/>
    <mergeCell ref="N2:N3"/>
    <mergeCell ref="O2:O3"/>
    <mergeCell ref="A2:A3"/>
    <mergeCell ref="B2:B3"/>
    <mergeCell ref="C2:C3"/>
    <mergeCell ref="D2:D3"/>
    <mergeCell ref="E2:E3"/>
    <mergeCell ref="F2:F3"/>
    <mergeCell ref="G2:G3"/>
    <mergeCell ref="B44:F44"/>
    <mergeCell ref="B51:F51"/>
    <mergeCell ref="B53:F53"/>
    <mergeCell ref="G57:I58"/>
    <mergeCell ref="L57:L58"/>
    <mergeCell ref="M57:M58"/>
    <mergeCell ref="N57:N58"/>
    <mergeCell ref="O57:O58"/>
    <mergeCell ref="B4:F4"/>
    <mergeCell ref="B7:F7"/>
    <mergeCell ref="B9:F9"/>
    <mergeCell ref="B14:F14"/>
    <mergeCell ref="B20:F20"/>
    <mergeCell ref="B22:F22"/>
    <mergeCell ref="B38:F38"/>
  </mergeCells>
  <printOptions/>
  <pageMargins bottom="0.75" footer="0.0" header="0.0" left="0.31" right="0.12" top="0.43"/>
  <pageSetup paperSize="14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8.71"/>
    <col customWidth="1" min="3" max="3" width="9.14"/>
    <col customWidth="1" min="4" max="4" width="8.29"/>
    <col customWidth="1" min="5" max="5" width="6.29"/>
    <col customWidth="1" min="6" max="6" width="15.0"/>
    <col customWidth="1" min="7" max="7" width="9.43"/>
    <col customWidth="1" min="8" max="8" width="8.57"/>
    <col customWidth="1" min="9" max="9" width="9.71"/>
    <col customWidth="1" min="10" max="10" width="15.86"/>
    <col customWidth="1" min="11" max="11" width="8.0"/>
    <col customWidth="1" min="12" max="13" width="12.0"/>
    <col customWidth="1" min="14" max="14" width="15.86"/>
    <col customWidth="1" min="15" max="15" width="8.71"/>
    <col customWidth="1" min="16" max="16" width="9.14"/>
    <col customWidth="1" min="17" max="35" width="9.0"/>
  </cols>
  <sheetData>
    <row r="1" ht="48.75" customHeight="1">
      <c r="A1" s="57"/>
      <c r="B1" s="57"/>
      <c r="C1" s="58"/>
      <c r="D1" s="58" t="s">
        <v>6173</v>
      </c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</row>
    <row r="2" ht="24.0" customHeight="1">
      <c r="A2" s="296" t="s">
        <v>1</v>
      </c>
      <c r="B2" s="296" t="s">
        <v>2</v>
      </c>
      <c r="C2" s="296" t="s">
        <v>3</v>
      </c>
      <c r="D2" s="296" t="s">
        <v>4</v>
      </c>
      <c r="E2" s="297" t="s">
        <v>5</v>
      </c>
      <c r="F2" s="298" t="s">
        <v>8</v>
      </c>
      <c r="G2" s="298" t="s">
        <v>11</v>
      </c>
      <c r="H2" s="298" t="s">
        <v>14</v>
      </c>
      <c r="I2" s="298" t="s">
        <v>30</v>
      </c>
      <c r="J2" s="296" t="s">
        <v>28</v>
      </c>
      <c r="K2" s="296" t="s">
        <v>6112</v>
      </c>
      <c r="L2" s="299" t="s">
        <v>6113</v>
      </c>
      <c r="M2" s="9"/>
      <c r="N2" s="296" t="s">
        <v>28</v>
      </c>
      <c r="O2" s="300" t="s">
        <v>6112</v>
      </c>
    </row>
    <row r="3" ht="15.0" customHeight="1">
      <c r="A3" s="183"/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302" t="s">
        <v>59</v>
      </c>
      <c r="M3" s="303" t="s">
        <v>178</v>
      </c>
      <c r="N3" s="183"/>
      <c r="O3" s="183"/>
    </row>
    <row r="4" ht="15.0" customHeight="1">
      <c r="A4" s="304"/>
      <c r="B4" s="305" t="s">
        <v>6174</v>
      </c>
      <c r="C4" s="178"/>
      <c r="D4" s="178"/>
      <c r="E4" s="178"/>
      <c r="F4" s="9"/>
      <c r="G4" s="306"/>
      <c r="H4" s="306"/>
      <c r="I4" s="307"/>
      <c r="J4" s="304"/>
      <c r="K4" s="304"/>
      <c r="L4" s="302"/>
      <c r="M4" s="303"/>
      <c r="N4" s="304"/>
      <c r="O4" s="304"/>
    </row>
    <row r="5" ht="14.25" customHeight="1">
      <c r="A5" s="19">
        <v>1.0</v>
      </c>
      <c r="B5" s="16" t="s">
        <v>99</v>
      </c>
      <c r="C5" s="16" t="s">
        <v>100</v>
      </c>
      <c r="D5" s="16" t="s">
        <v>101</v>
      </c>
      <c r="E5" s="324" t="s">
        <v>102</v>
      </c>
      <c r="F5" s="324" t="s">
        <v>103</v>
      </c>
      <c r="G5" s="324" t="s">
        <v>57</v>
      </c>
      <c r="H5" s="324">
        <v>44685.0</v>
      </c>
      <c r="I5" s="324" t="s">
        <v>59</v>
      </c>
      <c r="J5" s="22">
        <v>21802.91</v>
      </c>
      <c r="K5" s="62">
        <f t="shared" ref="K5:K6" si="1">J5*12/365</f>
        <v>716.808</v>
      </c>
      <c r="L5" s="312">
        <f t="shared" ref="L5:L6" si="2">35*365/12+0.01</f>
        <v>1064.593333</v>
      </c>
      <c r="M5" s="312"/>
      <c r="N5" s="312">
        <f t="shared" ref="N5:N6" si="3">SUM(J5+L5+M5)</f>
        <v>22867.50333</v>
      </c>
      <c r="O5" s="312">
        <f t="shared" ref="O5:O6" si="4">N5*12/365</f>
        <v>751.8083288</v>
      </c>
    </row>
    <row r="6" ht="14.25" customHeight="1">
      <c r="A6" s="19">
        <f>+A5+1</f>
        <v>2</v>
      </c>
      <c r="B6" s="26" t="s">
        <v>118</v>
      </c>
      <c r="C6" s="26" t="s">
        <v>119</v>
      </c>
      <c r="D6" s="26" t="s">
        <v>120</v>
      </c>
      <c r="E6" s="324" t="s">
        <v>54</v>
      </c>
      <c r="F6" s="324" t="s">
        <v>103</v>
      </c>
      <c r="G6" s="324" t="s">
        <v>57</v>
      </c>
      <c r="H6" s="324">
        <v>44685.0</v>
      </c>
      <c r="I6" s="324" t="s">
        <v>59</v>
      </c>
      <c r="J6" s="22">
        <v>21120.41</v>
      </c>
      <c r="K6" s="62">
        <f t="shared" si="1"/>
        <v>694.3696438</v>
      </c>
      <c r="L6" s="312">
        <f t="shared" si="2"/>
        <v>1064.593333</v>
      </c>
      <c r="M6" s="312"/>
      <c r="N6" s="312">
        <f t="shared" si="3"/>
        <v>22185.00333</v>
      </c>
      <c r="O6" s="312">
        <f t="shared" si="4"/>
        <v>729.3699726</v>
      </c>
    </row>
    <row r="7" ht="14.25" customHeight="1">
      <c r="A7" s="19"/>
      <c r="B7" s="305" t="s">
        <v>6118</v>
      </c>
      <c r="C7" s="178"/>
      <c r="D7" s="178"/>
      <c r="E7" s="178"/>
      <c r="F7" s="9"/>
      <c r="G7" s="324"/>
      <c r="H7" s="324"/>
      <c r="I7" s="324"/>
      <c r="J7" s="22"/>
      <c r="K7" s="62"/>
      <c r="L7" s="312"/>
      <c r="M7" s="312"/>
      <c r="N7" s="312"/>
      <c r="O7" s="312"/>
    </row>
    <row r="8" ht="15.0" customHeight="1">
      <c r="A8" s="19">
        <f>+A6+1</f>
        <v>3</v>
      </c>
      <c r="B8" s="16" t="s">
        <v>187</v>
      </c>
      <c r="C8" s="16" t="s">
        <v>188</v>
      </c>
      <c r="D8" s="16" t="s">
        <v>189</v>
      </c>
      <c r="E8" s="324" t="s">
        <v>87</v>
      </c>
      <c r="F8" s="324" t="s">
        <v>190</v>
      </c>
      <c r="G8" s="324" t="s">
        <v>57</v>
      </c>
      <c r="H8" s="324">
        <v>44685.0</v>
      </c>
      <c r="I8" s="324" t="s">
        <v>59</v>
      </c>
      <c r="J8" s="22">
        <v>19720.41</v>
      </c>
      <c r="K8" s="62">
        <f>J8*12/365</f>
        <v>648.3422466</v>
      </c>
      <c r="L8" s="312">
        <f>35*365/12+0.01</f>
        <v>1064.593333</v>
      </c>
      <c r="M8" s="312"/>
      <c r="N8" s="312">
        <f>SUM(J8+L8+M8)</f>
        <v>20785.00333</v>
      </c>
      <c r="O8" s="312">
        <f>N8*12/365</f>
        <v>683.3425753</v>
      </c>
    </row>
    <row r="9" ht="14.25" customHeight="1">
      <c r="A9" s="19"/>
      <c r="B9" s="305" t="s">
        <v>6124</v>
      </c>
      <c r="C9" s="178"/>
      <c r="D9" s="178"/>
      <c r="E9" s="178"/>
      <c r="F9" s="9"/>
      <c r="G9" s="324"/>
      <c r="H9" s="324"/>
      <c r="I9" s="324"/>
      <c r="J9" s="22"/>
      <c r="K9" s="62"/>
      <c r="L9" s="312"/>
      <c r="M9" s="312"/>
      <c r="N9" s="312"/>
      <c r="O9" s="312"/>
    </row>
    <row r="10" ht="14.25" customHeight="1">
      <c r="A10" s="19">
        <f>+A8+1</f>
        <v>4</v>
      </c>
      <c r="B10" s="16" t="s">
        <v>157</v>
      </c>
      <c r="C10" s="16" t="s">
        <v>158</v>
      </c>
      <c r="D10" s="16" t="s">
        <v>159</v>
      </c>
      <c r="E10" s="324" t="s">
        <v>102</v>
      </c>
      <c r="F10" s="324" t="s">
        <v>160</v>
      </c>
      <c r="G10" s="324" t="s">
        <v>57</v>
      </c>
      <c r="H10" s="324">
        <v>44685.0</v>
      </c>
      <c r="I10" s="324" t="s">
        <v>59</v>
      </c>
      <c r="J10" s="22">
        <v>19620.41</v>
      </c>
      <c r="K10" s="62">
        <f>J10*12/365</f>
        <v>645.0545753</v>
      </c>
      <c r="L10" s="312">
        <f>35*365/12+0.01</f>
        <v>1064.593333</v>
      </c>
      <c r="M10" s="312"/>
      <c r="N10" s="312">
        <f>SUM(J10+L10+M10)</f>
        <v>20685.00333</v>
      </c>
      <c r="O10" s="312">
        <f>N10*12/365</f>
        <v>680.0549041</v>
      </c>
    </row>
    <row r="11" ht="14.25" customHeight="1">
      <c r="A11" s="19"/>
      <c r="B11" s="305" t="s">
        <v>6125</v>
      </c>
      <c r="C11" s="178"/>
      <c r="D11" s="178"/>
      <c r="E11" s="178"/>
      <c r="F11" s="9"/>
      <c r="G11" s="324"/>
      <c r="H11" s="324"/>
      <c r="I11" s="324"/>
      <c r="J11" s="22"/>
      <c r="K11" s="62"/>
      <c r="L11" s="312"/>
      <c r="M11" s="312"/>
      <c r="N11" s="312"/>
      <c r="O11" s="312"/>
    </row>
    <row r="12" ht="14.25" customHeight="1">
      <c r="A12" s="19">
        <f>+A10+1</f>
        <v>5</v>
      </c>
      <c r="B12" s="16" t="s">
        <v>129</v>
      </c>
      <c r="C12" s="26" t="s">
        <v>130</v>
      </c>
      <c r="D12" s="16" t="s">
        <v>131</v>
      </c>
      <c r="E12" s="324" t="s">
        <v>132</v>
      </c>
      <c r="F12" s="324" t="s">
        <v>133</v>
      </c>
      <c r="G12" s="324" t="s">
        <v>57</v>
      </c>
      <c r="H12" s="324">
        <v>44685.0</v>
      </c>
      <c r="I12" s="324" t="s">
        <v>59</v>
      </c>
      <c r="J12" s="22">
        <v>18554.16</v>
      </c>
      <c r="K12" s="62">
        <f t="shared" ref="K12:K18" si="5">J12*12/365</f>
        <v>609.9997808</v>
      </c>
      <c r="L12" s="312">
        <f t="shared" ref="L12:L18" si="6">35*365/12+0.01</f>
        <v>1064.593333</v>
      </c>
      <c r="M12" s="312"/>
      <c r="N12" s="312">
        <f t="shared" ref="N12:N18" si="7">SUM(J12+L12+M12)</f>
        <v>19618.75333</v>
      </c>
      <c r="O12" s="312">
        <f t="shared" ref="O12:O18" si="8">N12*12/365</f>
        <v>645.0001096</v>
      </c>
    </row>
    <row r="13" ht="14.25" customHeight="1">
      <c r="A13" s="19">
        <f t="shared" ref="A13:A18" si="9">+A12+1</f>
        <v>6</v>
      </c>
      <c r="B13" s="16" t="s">
        <v>145</v>
      </c>
      <c r="C13" s="16" t="s">
        <v>146</v>
      </c>
      <c r="D13" s="16" t="s">
        <v>147</v>
      </c>
      <c r="E13" s="324" t="s">
        <v>77</v>
      </c>
      <c r="F13" s="324" t="s">
        <v>133</v>
      </c>
      <c r="G13" s="324" t="s">
        <v>57</v>
      </c>
      <c r="H13" s="324">
        <v>44685.0</v>
      </c>
      <c r="I13" s="324" t="s">
        <v>59</v>
      </c>
      <c r="J13" s="22">
        <v>18554.16</v>
      </c>
      <c r="K13" s="62">
        <f t="shared" si="5"/>
        <v>609.9997808</v>
      </c>
      <c r="L13" s="312">
        <f t="shared" si="6"/>
        <v>1064.593333</v>
      </c>
      <c r="M13" s="312"/>
      <c r="N13" s="312">
        <f t="shared" si="7"/>
        <v>19618.75333</v>
      </c>
      <c r="O13" s="312">
        <f t="shared" si="8"/>
        <v>645.0001096</v>
      </c>
    </row>
    <row r="14" ht="14.25" customHeight="1">
      <c r="A14" s="19">
        <f t="shared" si="9"/>
        <v>7</v>
      </c>
      <c r="B14" s="16" t="s">
        <v>1746</v>
      </c>
      <c r="C14" s="16" t="s">
        <v>1747</v>
      </c>
      <c r="D14" s="16" t="s">
        <v>1748</v>
      </c>
      <c r="E14" s="328" t="s">
        <v>1426</v>
      </c>
      <c r="F14" s="324" t="s">
        <v>133</v>
      </c>
      <c r="G14" s="324" t="s">
        <v>57</v>
      </c>
      <c r="H14" s="314">
        <v>44723.0</v>
      </c>
      <c r="I14" s="324" t="s">
        <v>59</v>
      </c>
      <c r="J14" s="22">
        <v>18554.16</v>
      </c>
      <c r="K14" s="62">
        <f t="shared" si="5"/>
        <v>609.9997808</v>
      </c>
      <c r="L14" s="312">
        <f t="shared" si="6"/>
        <v>1064.593333</v>
      </c>
      <c r="M14" s="312"/>
      <c r="N14" s="312">
        <f t="shared" si="7"/>
        <v>19618.75333</v>
      </c>
      <c r="O14" s="312">
        <f t="shared" si="8"/>
        <v>645.0001096</v>
      </c>
    </row>
    <row r="15" ht="14.25" customHeight="1">
      <c r="A15" s="19">
        <f t="shared" si="9"/>
        <v>8</v>
      </c>
      <c r="B15" s="16" t="s">
        <v>792</v>
      </c>
      <c r="C15" s="16" t="s">
        <v>793</v>
      </c>
      <c r="D15" s="16" t="s">
        <v>794</v>
      </c>
      <c r="E15" s="328" t="s">
        <v>257</v>
      </c>
      <c r="F15" s="324" t="s">
        <v>133</v>
      </c>
      <c r="G15" s="324" t="s">
        <v>57</v>
      </c>
      <c r="H15" s="314">
        <v>44952.0</v>
      </c>
      <c r="I15" s="324" t="s">
        <v>59</v>
      </c>
      <c r="J15" s="22">
        <v>18554.16</v>
      </c>
      <c r="K15" s="22">
        <f t="shared" si="5"/>
        <v>609.9997808</v>
      </c>
      <c r="L15" s="312">
        <f t="shared" si="6"/>
        <v>1064.593333</v>
      </c>
      <c r="M15" s="312"/>
      <c r="N15" s="312">
        <f t="shared" si="7"/>
        <v>19618.75333</v>
      </c>
      <c r="O15" s="312">
        <f t="shared" si="8"/>
        <v>645.0001096</v>
      </c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</row>
    <row r="16" ht="14.25" customHeight="1">
      <c r="A16" s="19">
        <f t="shared" si="9"/>
        <v>9</v>
      </c>
      <c r="B16" s="16" t="s">
        <v>74</v>
      </c>
      <c r="C16" s="16" t="s">
        <v>1712</v>
      </c>
      <c r="D16" s="16" t="s">
        <v>847</v>
      </c>
      <c r="E16" s="324" t="s">
        <v>295</v>
      </c>
      <c r="F16" s="324" t="s">
        <v>561</v>
      </c>
      <c r="G16" s="324" t="s">
        <v>57</v>
      </c>
      <c r="H16" s="324">
        <v>44685.0</v>
      </c>
      <c r="I16" s="324" t="s">
        <v>59</v>
      </c>
      <c r="J16" s="22">
        <v>18554.16</v>
      </c>
      <c r="K16" s="62">
        <f t="shared" si="5"/>
        <v>609.9997808</v>
      </c>
      <c r="L16" s="312">
        <f t="shared" si="6"/>
        <v>1064.593333</v>
      </c>
      <c r="M16" s="312"/>
      <c r="N16" s="312">
        <f t="shared" si="7"/>
        <v>19618.75333</v>
      </c>
      <c r="O16" s="312">
        <f t="shared" si="8"/>
        <v>645.0001096</v>
      </c>
    </row>
    <row r="17" ht="14.25" customHeight="1">
      <c r="A17" s="19">
        <f t="shared" si="9"/>
        <v>10</v>
      </c>
      <c r="B17" s="16" t="s">
        <v>5840</v>
      </c>
      <c r="C17" s="16" t="s">
        <v>5841</v>
      </c>
      <c r="D17" s="16" t="s">
        <v>6175</v>
      </c>
      <c r="E17" s="324" t="s">
        <v>102</v>
      </c>
      <c r="F17" s="324" t="s">
        <v>561</v>
      </c>
      <c r="G17" s="324" t="s">
        <v>57</v>
      </c>
      <c r="H17" s="324">
        <v>44685.0</v>
      </c>
      <c r="I17" s="324" t="s">
        <v>59</v>
      </c>
      <c r="J17" s="22">
        <v>18554.16</v>
      </c>
      <c r="K17" s="62">
        <f t="shared" si="5"/>
        <v>609.9997808</v>
      </c>
      <c r="L17" s="312">
        <f t="shared" si="6"/>
        <v>1064.593333</v>
      </c>
      <c r="M17" s="312"/>
      <c r="N17" s="312">
        <f t="shared" si="7"/>
        <v>19618.75333</v>
      </c>
      <c r="O17" s="312">
        <f t="shared" si="8"/>
        <v>645.0001096</v>
      </c>
      <c r="P17" s="313"/>
    </row>
    <row r="18" ht="14.25" customHeight="1">
      <c r="A18" s="19">
        <f t="shared" si="9"/>
        <v>11</v>
      </c>
      <c r="B18" s="16" t="s">
        <v>1590</v>
      </c>
      <c r="C18" s="16" t="s">
        <v>1591</v>
      </c>
      <c r="D18" s="16" t="s">
        <v>532</v>
      </c>
      <c r="E18" s="324" t="s">
        <v>379</v>
      </c>
      <c r="F18" s="324" t="s">
        <v>561</v>
      </c>
      <c r="G18" s="324" t="s">
        <v>57</v>
      </c>
      <c r="H18" s="324">
        <v>44744.0</v>
      </c>
      <c r="I18" s="324" t="s">
        <v>59</v>
      </c>
      <c r="J18" s="22">
        <v>18554.16</v>
      </c>
      <c r="K18" s="62">
        <f t="shared" si="5"/>
        <v>609.9997808</v>
      </c>
      <c r="L18" s="312">
        <f t="shared" si="6"/>
        <v>1064.593333</v>
      </c>
      <c r="M18" s="312"/>
      <c r="N18" s="312">
        <f t="shared" si="7"/>
        <v>19618.75333</v>
      </c>
      <c r="O18" s="312">
        <f t="shared" si="8"/>
        <v>645.0001096</v>
      </c>
    </row>
    <row r="19" ht="14.25" customHeight="1">
      <c r="A19" s="19"/>
      <c r="B19" s="305" t="s">
        <v>6126</v>
      </c>
      <c r="C19" s="178"/>
      <c r="D19" s="178"/>
      <c r="E19" s="178"/>
      <c r="F19" s="9"/>
      <c r="G19" s="324"/>
      <c r="H19" s="324"/>
      <c r="I19" s="324"/>
      <c r="J19" s="22"/>
      <c r="K19" s="62"/>
      <c r="L19" s="312"/>
      <c r="M19" s="312"/>
      <c r="N19" s="312"/>
      <c r="O19" s="312"/>
    </row>
    <row r="20" ht="14.25" customHeight="1">
      <c r="A20" s="19">
        <f>+A18+1</f>
        <v>12</v>
      </c>
      <c r="B20" s="16" t="s">
        <v>1673</v>
      </c>
      <c r="C20" s="16" t="s">
        <v>1674</v>
      </c>
      <c r="D20" s="16" t="s">
        <v>1675</v>
      </c>
      <c r="E20" s="324" t="s">
        <v>394</v>
      </c>
      <c r="F20" s="324" t="s">
        <v>1676</v>
      </c>
      <c r="G20" s="324" t="s">
        <v>57</v>
      </c>
      <c r="H20" s="324">
        <v>44685.0</v>
      </c>
      <c r="I20" s="324" t="s">
        <v>178</v>
      </c>
      <c r="J20" s="22">
        <v>15910.83</v>
      </c>
      <c r="K20" s="62">
        <f t="shared" ref="K20:K34" si="10">J20*12/313</f>
        <v>609.9998722</v>
      </c>
      <c r="L20" s="312"/>
      <c r="M20" s="312">
        <f t="shared" ref="M20:M34" si="11">35*313/12</f>
        <v>912.9166667</v>
      </c>
      <c r="N20" s="312">
        <f t="shared" ref="N20:N34" si="12">SUM(J20+L20+M20)</f>
        <v>16823.74667</v>
      </c>
      <c r="O20" s="312">
        <f t="shared" ref="O20:O34" si="13">N20*12/313</f>
        <v>644.9998722</v>
      </c>
    </row>
    <row r="21" ht="14.25" customHeight="1">
      <c r="A21" s="19">
        <f t="shared" ref="A21:A34" si="14">+A20+1</f>
        <v>13</v>
      </c>
      <c r="B21" s="16" t="s">
        <v>173</v>
      </c>
      <c r="C21" s="16" t="s">
        <v>174</v>
      </c>
      <c r="D21" s="16" t="s">
        <v>175</v>
      </c>
      <c r="E21" s="324" t="s">
        <v>77</v>
      </c>
      <c r="F21" s="324" t="s">
        <v>176</v>
      </c>
      <c r="G21" s="324" t="s">
        <v>57</v>
      </c>
      <c r="H21" s="324">
        <v>44685.0</v>
      </c>
      <c r="I21" s="324" t="s">
        <v>178</v>
      </c>
      <c r="J21" s="22">
        <v>15910.83</v>
      </c>
      <c r="K21" s="62">
        <f t="shared" si="10"/>
        <v>609.9998722</v>
      </c>
      <c r="L21" s="312"/>
      <c r="M21" s="312">
        <f t="shared" si="11"/>
        <v>912.9166667</v>
      </c>
      <c r="N21" s="312">
        <f t="shared" si="12"/>
        <v>16823.74667</v>
      </c>
      <c r="O21" s="312">
        <f t="shared" si="13"/>
        <v>644.9998722</v>
      </c>
    </row>
    <row r="22" ht="14.25" customHeight="1">
      <c r="A22" s="19">
        <f t="shared" si="14"/>
        <v>14</v>
      </c>
      <c r="B22" s="16" t="s">
        <v>202</v>
      </c>
      <c r="C22" s="16" t="s">
        <v>203</v>
      </c>
      <c r="D22" s="16" t="s">
        <v>204</v>
      </c>
      <c r="E22" s="324" t="s">
        <v>87</v>
      </c>
      <c r="F22" s="324" t="s">
        <v>82</v>
      </c>
      <c r="G22" s="324" t="s">
        <v>57</v>
      </c>
      <c r="H22" s="324">
        <v>44694.0</v>
      </c>
      <c r="I22" s="324" t="s">
        <v>178</v>
      </c>
      <c r="J22" s="22">
        <v>15910.83</v>
      </c>
      <c r="K22" s="62">
        <f t="shared" si="10"/>
        <v>609.9998722</v>
      </c>
      <c r="L22" s="312"/>
      <c r="M22" s="312">
        <f t="shared" si="11"/>
        <v>912.9166667</v>
      </c>
      <c r="N22" s="312">
        <f t="shared" si="12"/>
        <v>16823.74667</v>
      </c>
      <c r="O22" s="312">
        <f t="shared" si="13"/>
        <v>644.9998722</v>
      </c>
    </row>
    <row r="23" ht="14.25" customHeight="1">
      <c r="A23" s="19">
        <f t="shared" si="14"/>
        <v>15</v>
      </c>
      <c r="B23" s="16" t="s">
        <v>6148</v>
      </c>
      <c r="C23" s="16" t="s">
        <v>6149</v>
      </c>
      <c r="D23" s="16" t="s">
        <v>6150</v>
      </c>
      <c r="E23" s="324" t="s">
        <v>6151</v>
      </c>
      <c r="F23" s="324" t="s">
        <v>82</v>
      </c>
      <c r="G23" s="324" t="s">
        <v>57</v>
      </c>
      <c r="H23" s="324">
        <v>44694.0</v>
      </c>
      <c r="I23" s="324" t="s">
        <v>178</v>
      </c>
      <c r="J23" s="22">
        <v>15910.83</v>
      </c>
      <c r="K23" s="62">
        <f t="shared" si="10"/>
        <v>609.9998722</v>
      </c>
      <c r="L23" s="312"/>
      <c r="M23" s="312">
        <f t="shared" si="11"/>
        <v>912.9166667</v>
      </c>
      <c r="N23" s="312">
        <f t="shared" si="12"/>
        <v>16823.74667</v>
      </c>
      <c r="O23" s="312">
        <f t="shared" si="13"/>
        <v>644.9998722</v>
      </c>
    </row>
    <row r="24" ht="14.25" customHeight="1">
      <c r="A24" s="19">
        <f t="shared" si="14"/>
        <v>16</v>
      </c>
      <c r="B24" s="16" t="s">
        <v>1573</v>
      </c>
      <c r="C24" s="16" t="s">
        <v>1574</v>
      </c>
      <c r="D24" s="16" t="s">
        <v>1575</v>
      </c>
      <c r="E24" s="324" t="s">
        <v>379</v>
      </c>
      <c r="F24" s="324" t="s">
        <v>82</v>
      </c>
      <c r="G24" s="324" t="s">
        <v>57</v>
      </c>
      <c r="H24" s="324">
        <v>44744.0</v>
      </c>
      <c r="I24" s="324" t="s">
        <v>178</v>
      </c>
      <c r="J24" s="22">
        <v>15910.83</v>
      </c>
      <c r="K24" s="62">
        <f t="shared" si="10"/>
        <v>609.9998722</v>
      </c>
      <c r="L24" s="312"/>
      <c r="M24" s="312">
        <f t="shared" si="11"/>
        <v>912.9166667</v>
      </c>
      <c r="N24" s="312">
        <f t="shared" si="12"/>
        <v>16823.74667</v>
      </c>
      <c r="O24" s="312">
        <f t="shared" si="13"/>
        <v>644.9998722</v>
      </c>
    </row>
    <row r="25" ht="14.25" customHeight="1">
      <c r="A25" s="19">
        <f t="shared" si="14"/>
        <v>17</v>
      </c>
      <c r="B25" s="16" t="s">
        <v>1497</v>
      </c>
      <c r="C25" s="16" t="s">
        <v>1498</v>
      </c>
      <c r="D25" s="16" t="s">
        <v>1499</v>
      </c>
      <c r="E25" s="324" t="s">
        <v>87</v>
      </c>
      <c r="F25" s="324" t="s">
        <v>82</v>
      </c>
      <c r="G25" s="324" t="s">
        <v>57</v>
      </c>
      <c r="H25" s="324">
        <v>44979.0</v>
      </c>
      <c r="I25" s="324" t="s">
        <v>178</v>
      </c>
      <c r="J25" s="22">
        <v>15910.83</v>
      </c>
      <c r="K25" s="62">
        <f t="shared" si="10"/>
        <v>609.9998722</v>
      </c>
      <c r="L25" s="312"/>
      <c r="M25" s="312">
        <f t="shared" si="11"/>
        <v>912.9166667</v>
      </c>
      <c r="N25" s="312">
        <f t="shared" si="12"/>
        <v>16823.74667</v>
      </c>
      <c r="O25" s="312">
        <f t="shared" si="13"/>
        <v>644.9998722</v>
      </c>
    </row>
    <row r="26" ht="14.25" customHeight="1">
      <c r="A26" s="19">
        <f t="shared" si="14"/>
        <v>18</v>
      </c>
      <c r="B26" s="16" t="s">
        <v>1560</v>
      </c>
      <c r="C26" s="16" t="s">
        <v>1561</v>
      </c>
      <c r="D26" s="16" t="s">
        <v>1562</v>
      </c>
      <c r="E26" s="324" t="s">
        <v>217</v>
      </c>
      <c r="F26" s="324" t="s">
        <v>82</v>
      </c>
      <c r="G26" s="324" t="s">
        <v>57</v>
      </c>
      <c r="H26" s="324">
        <v>45016.0</v>
      </c>
      <c r="I26" s="324" t="s">
        <v>178</v>
      </c>
      <c r="J26" s="22">
        <v>15910.83</v>
      </c>
      <c r="K26" s="62">
        <f t="shared" si="10"/>
        <v>609.9998722</v>
      </c>
      <c r="L26" s="312"/>
      <c r="M26" s="312">
        <f t="shared" si="11"/>
        <v>912.9166667</v>
      </c>
      <c r="N26" s="312">
        <f t="shared" si="12"/>
        <v>16823.74667</v>
      </c>
      <c r="O26" s="312">
        <f t="shared" si="13"/>
        <v>644.9998722</v>
      </c>
    </row>
    <row r="27" ht="14.25" customHeight="1">
      <c r="A27" s="19">
        <f t="shared" si="14"/>
        <v>19</v>
      </c>
      <c r="B27" s="16" t="s">
        <v>359</v>
      </c>
      <c r="C27" s="16" t="s">
        <v>3718</v>
      </c>
      <c r="D27" s="16" t="s">
        <v>361</v>
      </c>
      <c r="E27" s="324" t="s">
        <v>102</v>
      </c>
      <c r="F27" s="324" t="s">
        <v>82</v>
      </c>
      <c r="G27" s="324" t="s">
        <v>16</v>
      </c>
      <c r="H27" s="324">
        <v>45317.0</v>
      </c>
      <c r="I27" s="324" t="s">
        <v>178</v>
      </c>
      <c r="J27" s="22">
        <v>15910.83</v>
      </c>
      <c r="K27" s="62">
        <f t="shared" si="10"/>
        <v>609.9998722</v>
      </c>
      <c r="L27" s="312"/>
      <c r="M27" s="312">
        <f t="shared" si="11"/>
        <v>912.9166667</v>
      </c>
      <c r="N27" s="312">
        <f t="shared" si="12"/>
        <v>16823.74667</v>
      </c>
      <c r="O27" s="312">
        <f t="shared" si="13"/>
        <v>644.9998722</v>
      </c>
    </row>
    <row r="28" ht="14.25" customHeight="1">
      <c r="A28" s="19">
        <f t="shared" si="14"/>
        <v>20</v>
      </c>
      <c r="B28" s="16" t="s">
        <v>6153</v>
      </c>
      <c r="C28" s="16" t="s">
        <v>6154</v>
      </c>
      <c r="D28" s="16" t="s">
        <v>84</v>
      </c>
      <c r="E28" s="324" t="s">
        <v>379</v>
      </c>
      <c r="F28" s="324" t="s">
        <v>82</v>
      </c>
      <c r="G28" s="324" t="s">
        <v>16</v>
      </c>
      <c r="H28" s="324">
        <v>45317.0</v>
      </c>
      <c r="I28" s="324" t="s">
        <v>178</v>
      </c>
      <c r="J28" s="22">
        <v>15910.83</v>
      </c>
      <c r="K28" s="62">
        <f t="shared" si="10"/>
        <v>609.9998722</v>
      </c>
      <c r="L28" s="312"/>
      <c r="M28" s="312">
        <f t="shared" si="11"/>
        <v>912.9166667</v>
      </c>
      <c r="N28" s="312">
        <f t="shared" si="12"/>
        <v>16823.74667</v>
      </c>
      <c r="O28" s="312">
        <f t="shared" si="13"/>
        <v>644.9998722</v>
      </c>
    </row>
    <row r="29" ht="14.25" customHeight="1">
      <c r="A29" s="19">
        <f t="shared" si="14"/>
        <v>21</v>
      </c>
      <c r="B29" s="16" t="s">
        <v>1466</v>
      </c>
      <c r="C29" s="16" t="s">
        <v>1467</v>
      </c>
      <c r="D29" s="16" t="s">
        <v>1468</v>
      </c>
      <c r="E29" s="324" t="s">
        <v>217</v>
      </c>
      <c r="F29" s="324" t="s">
        <v>82</v>
      </c>
      <c r="G29" s="324" t="s">
        <v>16</v>
      </c>
      <c r="H29" s="324">
        <v>45329.0</v>
      </c>
      <c r="I29" s="324" t="s">
        <v>178</v>
      </c>
      <c r="J29" s="22">
        <v>15910.83</v>
      </c>
      <c r="K29" s="62">
        <f t="shared" si="10"/>
        <v>609.9998722</v>
      </c>
      <c r="L29" s="312"/>
      <c r="M29" s="312">
        <f t="shared" si="11"/>
        <v>912.9166667</v>
      </c>
      <c r="N29" s="312">
        <f t="shared" si="12"/>
        <v>16823.74667</v>
      </c>
      <c r="O29" s="312">
        <f t="shared" si="13"/>
        <v>644.9998722</v>
      </c>
    </row>
    <row r="30" ht="14.25" customHeight="1">
      <c r="A30" s="19">
        <f t="shared" si="14"/>
        <v>22</v>
      </c>
      <c r="B30" s="16" t="s">
        <v>214</v>
      </c>
      <c r="C30" s="16" t="s">
        <v>215</v>
      </c>
      <c r="D30" s="16" t="s">
        <v>216</v>
      </c>
      <c r="E30" s="324" t="s">
        <v>217</v>
      </c>
      <c r="F30" s="324" t="s">
        <v>218</v>
      </c>
      <c r="G30" s="324" t="s">
        <v>16</v>
      </c>
      <c r="H30" s="324">
        <v>45360.0</v>
      </c>
      <c r="I30" s="324" t="s">
        <v>178</v>
      </c>
      <c r="J30" s="22">
        <v>15910.83</v>
      </c>
      <c r="K30" s="62">
        <f t="shared" si="10"/>
        <v>609.9998722</v>
      </c>
      <c r="L30" s="312"/>
      <c r="M30" s="312">
        <f t="shared" si="11"/>
        <v>912.9166667</v>
      </c>
      <c r="N30" s="312">
        <f t="shared" si="12"/>
        <v>16823.74667</v>
      </c>
      <c r="O30" s="312">
        <f t="shared" si="13"/>
        <v>644.9998722</v>
      </c>
    </row>
    <row r="31" ht="14.25" customHeight="1">
      <c r="A31" s="19">
        <f t="shared" si="14"/>
        <v>23</v>
      </c>
      <c r="B31" s="16" t="s">
        <v>228</v>
      </c>
      <c r="C31" s="16" t="s">
        <v>229</v>
      </c>
      <c r="D31" s="16" t="s">
        <v>230</v>
      </c>
      <c r="E31" s="324" t="s">
        <v>132</v>
      </c>
      <c r="F31" s="324" t="s">
        <v>82</v>
      </c>
      <c r="G31" s="324" t="s">
        <v>16</v>
      </c>
      <c r="H31" s="324">
        <v>45380.0</v>
      </c>
      <c r="I31" s="324" t="s">
        <v>178</v>
      </c>
      <c r="J31" s="22">
        <v>15910.83</v>
      </c>
      <c r="K31" s="62">
        <f t="shared" si="10"/>
        <v>609.9998722</v>
      </c>
      <c r="L31" s="312"/>
      <c r="M31" s="312">
        <f t="shared" si="11"/>
        <v>912.9166667</v>
      </c>
      <c r="N31" s="312">
        <f t="shared" si="12"/>
        <v>16823.74667</v>
      </c>
      <c r="O31" s="312">
        <f t="shared" si="13"/>
        <v>644.9998722</v>
      </c>
    </row>
    <row r="32" ht="14.25" customHeight="1">
      <c r="A32" s="19">
        <f t="shared" si="14"/>
        <v>24</v>
      </c>
      <c r="B32" s="16" t="s">
        <v>1636</v>
      </c>
      <c r="C32" s="16" t="s">
        <v>1637</v>
      </c>
      <c r="D32" s="16" t="s">
        <v>1638</v>
      </c>
      <c r="E32" s="324" t="s">
        <v>1426</v>
      </c>
      <c r="F32" s="324" t="s">
        <v>82</v>
      </c>
      <c r="G32" s="324" t="s">
        <v>16</v>
      </c>
      <c r="H32" s="324">
        <v>45441.0</v>
      </c>
      <c r="I32" s="324" t="s">
        <v>178</v>
      </c>
      <c r="J32" s="22">
        <v>15910.83</v>
      </c>
      <c r="K32" s="62">
        <f t="shared" si="10"/>
        <v>609.9998722</v>
      </c>
      <c r="L32" s="312"/>
      <c r="M32" s="312">
        <f t="shared" si="11"/>
        <v>912.9166667</v>
      </c>
      <c r="N32" s="312">
        <f t="shared" si="12"/>
        <v>16823.74667</v>
      </c>
      <c r="O32" s="312">
        <f t="shared" si="13"/>
        <v>644.9998722</v>
      </c>
    </row>
    <row r="33" ht="14.25" customHeight="1">
      <c r="A33" s="19">
        <f t="shared" si="14"/>
        <v>25</v>
      </c>
      <c r="B33" s="16" t="s">
        <v>1453</v>
      </c>
      <c r="C33" s="16" t="s">
        <v>1454</v>
      </c>
      <c r="D33" s="16" t="s">
        <v>902</v>
      </c>
      <c r="E33" s="324" t="s">
        <v>308</v>
      </c>
      <c r="F33" s="324" t="s">
        <v>218</v>
      </c>
      <c r="G33" s="324" t="s">
        <v>16</v>
      </c>
      <c r="H33" s="324">
        <v>45443.0</v>
      </c>
      <c r="I33" s="324" t="s">
        <v>178</v>
      </c>
      <c r="J33" s="22">
        <v>15910.83</v>
      </c>
      <c r="K33" s="62">
        <f t="shared" si="10"/>
        <v>609.9998722</v>
      </c>
      <c r="L33" s="312"/>
      <c r="M33" s="312">
        <f t="shared" si="11"/>
        <v>912.9166667</v>
      </c>
      <c r="N33" s="312">
        <f t="shared" si="12"/>
        <v>16823.74667</v>
      </c>
      <c r="O33" s="312">
        <f t="shared" si="13"/>
        <v>644.9998722</v>
      </c>
    </row>
    <row r="34" ht="14.25" customHeight="1">
      <c r="A34" s="19">
        <f t="shared" si="14"/>
        <v>26</v>
      </c>
      <c r="B34" s="16" t="s">
        <v>242</v>
      </c>
      <c r="C34" s="16" t="s">
        <v>243</v>
      </c>
      <c r="D34" s="16" t="s">
        <v>244</v>
      </c>
      <c r="E34" s="324" t="s">
        <v>54</v>
      </c>
      <c r="F34" s="324" t="s">
        <v>82</v>
      </c>
      <c r="G34" s="324" t="s">
        <v>16</v>
      </c>
      <c r="H34" s="324">
        <v>45452.0</v>
      </c>
      <c r="I34" s="324" t="s">
        <v>178</v>
      </c>
      <c r="J34" s="22">
        <v>15910.83</v>
      </c>
      <c r="K34" s="62">
        <f t="shared" si="10"/>
        <v>609.9998722</v>
      </c>
      <c r="L34" s="312"/>
      <c r="M34" s="312">
        <f t="shared" si="11"/>
        <v>912.9166667</v>
      </c>
      <c r="N34" s="312">
        <f t="shared" si="12"/>
        <v>16823.74667</v>
      </c>
      <c r="O34" s="312">
        <f t="shared" si="13"/>
        <v>644.9998722</v>
      </c>
    </row>
    <row r="35" ht="14.25" customHeight="1">
      <c r="E35" s="315"/>
      <c r="F35" s="315"/>
      <c r="G35" s="316" t="s">
        <v>6127</v>
      </c>
      <c r="H35" s="174"/>
      <c r="I35" s="175"/>
      <c r="J35" s="329">
        <f>SUM(J5:J34)</f>
        <v>450805.71</v>
      </c>
      <c r="K35" s="329"/>
      <c r="L35" s="329">
        <f t="shared" ref="L35:N35" si="15">SUM(L5:L34)</f>
        <v>11710.52667</v>
      </c>
      <c r="M35" s="329">
        <f t="shared" si="15"/>
        <v>13693.75</v>
      </c>
      <c r="N35" s="329">
        <f t="shared" si="15"/>
        <v>476209.9867</v>
      </c>
      <c r="O35" s="329"/>
    </row>
    <row r="36" ht="14.25" customHeight="1">
      <c r="E36" s="315"/>
      <c r="F36" s="315"/>
      <c r="G36" s="184"/>
      <c r="H36" s="185"/>
      <c r="I36" s="186"/>
      <c r="J36" s="183"/>
      <c r="K36" s="183"/>
      <c r="L36" s="183"/>
      <c r="M36" s="183"/>
      <c r="N36" s="183"/>
      <c r="O36" s="183"/>
    </row>
    <row r="37" ht="14.25" customHeight="1">
      <c r="E37" s="315"/>
      <c r="F37" s="330"/>
      <c r="G37" s="315"/>
      <c r="H37" s="315"/>
      <c r="I37" s="315"/>
      <c r="J37" s="54"/>
      <c r="K37" s="54"/>
    </row>
    <row r="38" ht="14.25" customHeight="1">
      <c r="A38" s="85" t="s">
        <v>6128</v>
      </c>
      <c r="G38" s="85" t="s">
        <v>6129</v>
      </c>
      <c r="H38" s="29"/>
      <c r="I38" s="54"/>
      <c r="J38" s="54"/>
      <c r="L38" s="54"/>
      <c r="M38" s="313"/>
    </row>
    <row r="39" ht="14.25" customHeight="1">
      <c r="H39" s="29"/>
      <c r="I39" s="54"/>
      <c r="J39" s="54"/>
      <c r="L39" s="54"/>
      <c r="M39" s="313"/>
    </row>
    <row r="40" ht="14.25" customHeight="1">
      <c r="A40" s="319" t="s">
        <v>6130</v>
      </c>
      <c r="B40" s="319"/>
      <c r="C40" s="319"/>
      <c r="D40" s="319"/>
      <c r="E40" s="319"/>
      <c r="F40" s="319"/>
      <c r="G40" s="319" t="s">
        <v>6131</v>
      </c>
      <c r="H40" s="319"/>
      <c r="I40" s="320"/>
      <c r="J40" s="320"/>
      <c r="K40" s="319"/>
      <c r="L40" s="320"/>
      <c r="M40" s="321"/>
      <c r="N40" s="319"/>
      <c r="O40" s="319"/>
      <c r="P40" s="319"/>
      <c r="Q40" s="319"/>
      <c r="R40" s="319"/>
      <c r="S40" s="319"/>
      <c r="T40" s="319"/>
      <c r="U40" s="319"/>
      <c r="V40" s="319"/>
      <c r="W40" s="319"/>
      <c r="X40" s="319"/>
      <c r="Y40" s="319"/>
      <c r="Z40" s="319"/>
      <c r="AA40" s="319"/>
      <c r="AB40" s="319"/>
      <c r="AC40" s="319"/>
      <c r="AD40" s="319"/>
      <c r="AE40" s="319"/>
      <c r="AF40" s="319"/>
      <c r="AG40" s="319"/>
      <c r="AH40" s="319"/>
      <c r="AI40" s="319"/>
    </row>
    <row r="41" ht="14.25" customHeight="1">
      <c r="A41" s="319" t="s">
        <v>6132</v>
      </c>
      <c r="B41" s="319"/>
      <c r="C41" s="319"/>
      <c r="D41" s="319"/>
      <c r="E41" s="319"/>
      <c r="F41" s="319"/>
      <c r="G41" s="319" t="s">
        <v>6133</v>
      </c>
      <c r="H41" s="319"/>
      <c r="I41" s="320"/>
      <c r="J41" s="320"/>
      <c r="K41" s="319"/>
      <c r="L41" s="320"/>
      <c r="M41" s="321"/>
      <c r="N41" s="319"/>
      <c r="O41" s="319"/>
      <c r="P41" s="319"/>
      <c r="Q41" s="319"/>
      <c r="R41" s="319"/>
      <c r="S41" s="319"/>
      <c r="T41" s="319"/>
      <c r="U41" s="319"/>
      <c r="V41" s="319"/>
      <c r="W41" s="319"/>
      <c r="X41" s="319"/>
      <c r="Y41" s="319"/>
      <c r="Z41" s="319"/>
      <c r="AA41" s="319"/>
      <c r="AB41" s="319"/>
      <c r="AC41" s="319"/>
      <c r="AD41" s="319"/>
      <c r="AE41" s="319"/>
      <c r="AF41" s="319"/>
      <c r="AG41" s="319"/>
      <c r="AH41" s="319"/>
      <c r="AI41" s="319"/>
    </row>
    <row r="42" ht="14.25" customHeight="1">
      <c r="C42" s="84"/>
      <c r="E42" s="315"/>
      <c r="F42" s="315"/>
      <c r="G42" s="315"/>
      <c r="H42" s="315"/>
      <c r="I42" s="318"/>
      <c r="J42" s="54"/>
      <c r="K42" s="54"/>
    </row>
    <row r="43" ht="14.25" customHeight="1">
      <c r="C43" s="84"/>
      <c r="E43" s="315"/>
      <c r="F43" s="315"/>
      <c r="G43" s="315"/>
      <c r="H43" s="315"/>
      <c r="I43" s="318"/>
      <c r="J43" s="54"/>
      <c r="K43" s="54"/>
    </row>
    <row r="44" ht="14.25" customHeight="1">
      <c r="C44" s="84"/>
      <c r="E44" s="315"/>
      <c r="F44" s="315"/>
      <c r="G44" s="315"/>
      <c r="H44" s="315"/>
      <c r="I44" s="318"/>
      <c r="J44" s="54"/>
      <c r="K44" s="54"/>
    </row>
    <row r="45" ht="14.25" customHeight="1">
      <c r="C45" s="84"/>
      <c r="E45" s="315"/>
      <c r="F45" s="315"/>
      <c r="G45" s="315"/>
      <c r="H45" s="315"/>
      <c r="I45" s="318"/>
      <c r="J45" s="54"/>
      <c r="K45" s="54"/>
    </row>
    <row r="46" ht="14.25" customHeight="1">
      <c r="A46" s="84"/>
      <c r="C46" s="84"/>
      <c r="E46" s="315"/>
      <c r="F46" s="315"/>
      <c r="G46" s="315"/>
      <c r="H46" s="315"/>
      <c r="I46" s="318"/>
      <c r="J46" s="54"/>
      <c r="K46" s="54"/>
    </row>
    <row r="47" ht="14.25" customHeight="1">
      <c r="C47" s="84"/>
      <c r="E47" s="315"/>
      <c r="F47" s="315"/>
      <c r="G47" s="315"/>
      <c r="H47" s="315"/>
      <c r="I47" s="318"/>
      <c r="J47" s="54"/>
      <c r="K47" s="54"/>
    </row>
    <row r="48" ht="14.25" customHeight="1">
      <c r="C48" s="84"/>
      <c r="E48" s="315"/>
      <c r="F48" s="315"/>
      <c r="G48" s="315"/>
      <c r="H48" s="315"/>
      <c r="I48" s="318"/>
      <c r="J48" s="54"/>
      <c r="K48" s="54"/>
    </row>
    <row r="49" ht="14.25" customHeight="1">
      <c r="C49" s="84"/>
      <c r="E49" s="315"/>
      <c r="F49" s="315"/>
      <c r="G49" s="315"/>
      <c r="H49" s="315"/>
      <c r="I49" s="318"/>
      <c r="J49" s="54"/>
      <c r="K49" s="54"/>
    </row>
    <row r="50" ht="14.25" customHeight="1">
      <c r="A50" s="84"/>
      <c r="C50" s="84"/>
      <c r="E50" s="315"/>
      <c r="F50" s="315"/>
      <c r="G50" s="315"/>
      <c r="H50" s="315"/>
      <c r="I50" s="318"/>
      <c r="J50" s="54"/>
      <c r="K50" s="54"/>
    </row>
    <row r="51" ht="14.25" customHeight="1">
      <c r="C51" s="84"/>
      <c r="E51" s="315"/>
      <c r="F51" s="315"/>
      <c r="G51" s="315"/>
      <c r="H51" s="315"/>
      <c r="I51" s="318"/>
      <c r="J51" s="54"/>
      <c r="K51" s="54"/>
    </row>
    <row r="52" ht="14.25" customHeight="1">
      <c r="C52" s="84"/>
      <c r="E52" s="315"/>
      <c r="F52" s="315"/>
      <c r="G52" s="315"/>
      <c r="H52" s="315"/>
      <c r="I52" s="318"/>
      <c r="J52" s="54"/>
      <c r="K52" s="54"/>
    </row>
    <row r="53" ht="14.25" customHeight="1">
      <c r="E53" s="315"/>
      <c r="F53" s="315"/>
      <c r="G53" s="315"/>
      <c r="H53" s="315"/>
      <c r="I53" s="318"/>
      <c r="J53" s="54"/>
      <c r="K53" s="54"/>
    </row>
    <row r="54" ht="14.25" customHeight="1">
      <c r="E54" s="315"/>
      <c r="F54" s="315"/>
      <c r="G54" s="315"/>
      <c r="H54" s="315"/>
      <c r="I54" s="318"/>
      <c r="J54" s="54"/>
      <c r="K54" s="54"/>
    </row>
    <row r="55" ht="14.25" customHeight="1">
      <c r="E55" s="315"/>
      <c r="F55" s="315"/>
      <c r="G55" s="315"/>
      <c r="H55" s="315"/>
      <c r="I55" s="318"/>
      <c r="J55" s="54"/>
      <c r="K55" s="54"/>
    </row>
    <row r="56" ht="14.25" customHeight="1">
      <c r="E56" s="315"/>
      <c r="F56" s="315"/>
      <c r="G56" s="315"/>
      <c r="H56" s="315"/>
      <c r="I56" s="318"/>
      <c r="J56" s="54"/>
      <c r="K56" s="54"/>
    </row>
    <row r="57" ht="14.25" customHeight="1">
      <c r="E57" s="315"/>
      <c r="F57" s="315"/>
      <c r="G57" s="315"/>
      <c r="H57" s="315"/>
      <c r="I57" s="318"/>
      <c r="J57" s="54"/>
      <c r="K57" s="54"/>
    </row>
    <row r="58" ht="14.25" customHeight="1">
      <c r="E58" s="315"/>
      <c r="F58" s="315"/>
      <c r="G58" s="315"/>
      <c r="H58" s="315"/>
      <c r="I58" s="318"/>
      <c r="J58" s="54"/>
      <c r="K58" s="54"/>
    </row>
    <row r="59" ht="14.25" customHeight="1">
      <c r="E59" s="315"/>
      <c r="F59" s="315"/>
      <c r="G59" s="315"/>
      <c r="H59" s="315"/>
      <c r="I59" s="318"/>
      <c r="J59" s="54"/>
      <c r="K59" s="54"/>
    </row>
    <row r="60" ht="14.25" customHeight="1">
      <c r="E60" s="315"/>
      <c r="F60" s="315"/>
      <c r="G60" s="315"/>
      <c r="H60" s="315"/>
      <c r="I60" s="318"/>
      <c r="J60" s="54"/>
      <c r="K60" s="54"/>
    </row>
    <row r="61" ht="14.25" customHeight="1">
      <c r="E61" s="315"/>
      <c r="F61" s="315"/>
      <c r="G61" s="315"/>
      <c r="H61" s="315"/>
      <c r="I61" s="318"/>
      <c r="J61" s="54"/>
      <c r="K61" s="54"/>
    </row>
    <row r="62" ht="14.25" customHeight="1">
      <c r="E62" s="315"/>
      <c r="F62" s="315"/>
      <c r="G62" s="315"/>
      <c r="H62" s="315"/>
      <c r="I62" s="318"/>
      <c r="J62" s="54"/>
      <c r="K62" s="54"/>
    </row>
    <row r="63" ht="14.25" customHeight="1">
      <c r="E63" s="315"/>
      <c r="F63" s="315"/>
      <c r="G63" s="315"/>
      <c r="H63" s="315"/>
      <c r="I63" s="318"/>
      <c r="J63" s="54"/>
      <c r="K63" s="54"/>
    </row>
    <row r="64" ht="14.25" customHeight="1">
      <c r="E64" s="315"/>
      <c r="F64" s="315"/>
      <c r="G64" s="315"/>
      <c r="H64" s="315"/>
      <c r="I64" s="318"/>
      <c r="J64" s="54"/>
      <c r="K64" s="54"/>
    </row>
    <row r="65" ht="14.25" customHeight="1">
      <c r="E65" s="315"/>
      <c r="F65" s="315"/>
      <c r="G65" s="315"/>
      <c r="H65" s="315"/>
      <c r="I65" s="318"/>
      <c r="J65" s="54"/>
      <c r="K65" s="54"/>
    </row>
    <row r="66" ht="14.25" customHeight="1">
      <c r="E66" s="315"/>
      <c r="F66" s="315"/>
      <c r="G66" s="315"/>
      <c r="H66" s="315"/>
      <c r="I66" s="318"/>
      <c r="J66" s="54"/>
      <c r="K66" s="54"/>
    </row>
    <row r="67" ht="14.25" customHeight="1">
      <c r="E67" s="315"/>
      <c r="F67" s="315"/>
      <c r="G67" s="315"/>
      <c r="H67" s="315"/>
      <c r="I67" s="318"/>
      <c r="J67" s="54"/>
      <c r="K67" s="54"/>
    </row>
    <row r="68" ht="14.25" customHeight="1">
      <c r="E68" s="315"/>
      <c r="F68" s="315"/>
      <c r="G68" s="315"/>
      <c r="H68" s="315"/>
      <c r="I68" s="318"/>
      <c r="J68" s="54"/>
      <c r="K68" s="54"/>
    </row>
    <row r="69" ht="14.25" customHeight="1">
      <c r="E69" s="315"/>
      <c r="F69" s="315"/>
      <c r="G69" s="315"/>
      <c r="H69" s="315"/>
      <c r="I69" s="318"/>
      <c r="J69" s="54"/>
      <c r="K69" s="54"/>
    </row>
    <row r="70" ht="14.25" customHeight="1">
      <c r="E70" s="315"/>
      <c r="F70" s="315"/>
      <c r="G70" s="315"/>
      <c r="H70" s="315"/>
      <c r="I70" s="318"/>
      <c r="J70" s="54"/>
      <c r="K70" s="54"/>
    </row>
    <row r="71" ht="14.25" customHeight="1">
      <c r="E71" s="315"/>
      <c r="F71" s="315"/>
      <c r="G71" s="315"/>
      <c r="H71" s="315"/>
      <c r="I71" s="318"/>
      <c r="J71" s="54"/>
      <c r="K71" s="54"/>
    </row>
    <row r="72" ht="14.25" customHeight="1">
      <c r="E72" s="315"/>
      <c r="F72" s="315"/>
      <c r="G72" s="315"/>
      <c r="H72" s="315"/>
      <c r="I72" s="318"/>
      <c r="J72" s="54"/>
      <c r="K72" s="54"/>
    </row>
    <row r="73" ht="14.25" customHeight="1">
      <c r="E73" s="315"/>
      <c r="F73" s="315"/>
      <c r="G73" s="315"/>
      <c r="H73" s="315"/>
      <c r="I73" s="318"/>
      <c r="J73" s="54"/>
      <c r="K73" s="54"/>
    </row>
    <row r="74" ht="14.25" customHeight="1">
      <c r="E74" s="315"/>
      <c r="F74" s="315"/>
      <c r="G74" s="315"/>
      <c r="H74" s="315"/>
      <c r="I74" s="318"/>
      <c r="J74" s="54"/>
      <c r="K74" s="54"/>
    </row>
    <row r="75" ht="14.25" customHeight="1">
      <c r="E75" s="315"/>
      <c r="F75" s="315"/>
      <c r="G75" s="315"/>
      <c r="H75" s="315"/>
      <c r="I75" s="318"/>
      <c r="J75" s="54"/>
      <c r="K75" s="54"/>
    </row>
    <row r="76" ht="14.25" customHeight="1">
      <c r="E76" s="315"/>
      <c r="F76" s="315"/>
      <c r="G76" s="315"/>
      <c r="H76" s="315"/>
      <c r="I76" s="318"/>
      <c r="J76" s="54"/>
      <c r="K76" s="54"/>
    </row>
    <row r="77" ht="14.25" customHeight="1">
      <c r="E77" s="315"/>
      <c r="F77" s="315"/>
      <c r="G77" s="315"/>
      <c r="H77" s="315"/>
      <c r="I77" s="318"/>
      <c r="J77" s="54"/>
      <c r="K77" s="54"/>
    </row>
    <row r="78" ht="14.25" customHeight="1">
      <c r="E78" s="315"/>
      <c r="F78" s="315"/>
      <c r="G78" s="315"/>
      <c r="H78" s="315"/>
      <c r="I78" s="318"/>
      <c r="J78" s="54"/>
      <c r="K78" s="54"/>
    </row>
    <row r="79" ht="14.25" customHeight="1">
      <c r="E79" s="315"/>
      <c r="F79" s="315"/>
      <c r="G79" s="315"/>
      <c r="H79" s="315"/>
      <c r="I79" s="318"/>
      <c r="J79" s="54"/>
      <c r="K79" s="54"/>
    </row>
    <row r="80" ht="14.25" customHeight="1">
      <c r="E80" s="315"/>
      <c r="F80" s="315"/>
      <c r="G80" s="315"/>
      <c r="H80" s="315"/>
      <c r="I80" s="318"/>
      <c r="J80" s="54"/>
      <c r="K80" s="54"/>
    </row>
    <row r="81" ht="14.25" customHeight="1">
      <c r="E81" s="315"/>
      <c r="F81" s="315"/>
      <c r="G81" s="315"/>
      <c r="H81" s="315"/>
      <c r="I81" s="318"/>
      <c r="J81" s="54"/>
      <c r="K81" s="54"/>
    </row>
    <row r="82" ht="14.25" customHeight="1">
      <c r="E82" s="315"/>
      <c r="F82" s="315"/>
      <c r="G82" s="315"/>
      <c r="H82" s="315"/>
      <c r="I82" s="318"/>
      <c r="J82" s="54"/>
      <c r="K82" s="54"/>
    </row>
    <row r="83" ht="14.25" customHeight="1">
      <c r="E83" s="315"/>
      <c r="F83" s="315"/>
      <c r="G83" s="315"/>
      <c r="H83" s="315"/>
      <c r="I83" s="318"/>
      <c r="J83" s="54"/>
      <c r="K83" s="54"/>
    </row>
    <row r="84" ht="14.25" customHeight="1">
      <c r="E84" s="315"/>
      <c r="F84" s="315"/>
      <c r="G84" s="315"/>
      <c r="H84" s="315"/>
      <c r="I84" s="318"/>
      <c r="J84" s="54"/>
      <c r="K84" s="54"/>
    </row>
    <row r="85" ht="14.25" customHeight="1">
      <c r="E85" s="315"/>
      <c r="F85" s="315"/>
      <c r="G85" s="315"/>
      <c r="H85" s="315"/>
      <c r="I85" s="318"/>
      <c r="J85" s="54"/>
      <c r="K85" s="54"/>
    </row>
    <row r="86" ht="14.25" customHeight="1">
      <c r="E86" s="315"/>
      <c r="F86" s="315"/>
      <c r="G86" s="315"/>
      <c r="H86" s="315"/>
      <c r="I86" s="318"/>
      <c r="J86" s="54"/>
      <c r="K86" s="54"/>
    </row>
    <row r="87" ht="14.25" customHeight="1">
      <c r="E87" s="315"/>
      <c r="F87" s="315"/>
      <c r="G87" s="315"/>
      <c r="H87" s="315"/>
      <c r="I87" s="318"/>
      <c r="J87" s="54"/>
      <c r="K87" s="54"/>
    </row>
    <row r="88" ht="14.25" customHeight="1">
      <c r="E88" s="315"/>
      <c r="F88" s="315"/>
      <c r="G88" s="315"/>
      <c r="H88" s="315"/>
      <c r="I88" s="318"/>
      <c r="J88" s="54"/>
      <c r="K88" s="54"/>
    </row>
    <row r="89" ht="14.25" customHeight="1">
      <c r="E89" s="315"/>
      <c r="F89" s="315"/>
      <c r="G89" s="315"/>
      <c r="H89" s="315"/>
      <c r="I89" s="318"/>
      <c r="J89" s="54"/>
      <c r="K89" s="54"/>
    </row>
    <row r="90" ht="14.25" customHeight="1">
      <c r="E90" s="315"/>
      <c r="F90" s="315"/>
      <c r="G90" s="315"/>
      <c r="H90" s="315"/>
      <c r="I90" s="318"/>
      <c r="J90" s="54"/>
      <c r="K90" s="54"/>
    </row>
    <row r="91" ht="14.25" customHeight="1">
      <c r="E91" s="315"/>
      <c r="F91" s="315"/>
      <c r="G91" s="315"/>
      <c r="H91" s="315"/>
      <c r="I91" s="318"/>
      <c r="J91" s="54"/>
      <c r="K91" s="54"/>
    </row>
    <row r="92" ht="14.25" customHeight="1">
      <c r="E92" s="315"/>
      <c r="F92" s="315"/>
      <c r="G92" s="315"/>
      <c r="H92" s="315"/>
      <c r="I92" s="318"/>
      <c r="J92" s="54"/>
      <c r="K92" s="54"/>
    </row>
    <row r="93" ht="14.25" customHeight="1">
      <c r="E93" s="315"/>
      <c r="F93" s="315"/>
      <c r="G93" s="315"/>
      <c r="H93" s="315"/>
      <c r="I93" s="318"/>
      <c r="J93" s="54"/>
      <c r="K93" s="54"/>
    </row>
    <row r="94" ht="14.25" customHeight="1">
      <c r="E94" s="315"/>
      <c r="F94" s="315"/>
      <c r="G94" s="315"/>
      <c r="H94" s="315"/>
      <c r="I94" s="318"/>
      <c r="J94" s="54"/>
      <c r="K94" s="54"/>
    </row>
    <row r="95" ht="14.25" customHeight="1">
      <c r="E95" s="315"/>
      <c r="F95" s="315"/>
      <c r="G95" s="315"/>
      <c r="H95" s="315"/>
      <c r="I95" s="318"/>
      <c r="J95" s="54"/>
      <c r="K95" s="54"/>
    </row>
    <row r="96" ht="14.25" customHeight="1">
      <c r="E96" s="315"/>
      <c r="F96" s="315"/>
      <c r="G96" s="315"/>
      <c r="H96" s="315"/>
      <c r="I96" s="318"/>
      <c r="J96" s="54"/>
      <c r="K96" s="54"/>
    </row>
    <row r="97" ht="14.25" customHeight="1">
      <c r="E97" s="315"/>
      <c r="F97" s="315"/>
      <c r="G97" s="315"/>
      <c r="H97" s="315"/>
      <c r="I97" s="318"/>
      <c r="J97" s="54"/>
      <c r="K97" s="54"/>
    </row>
    <row r="98" ht="14.25" customHeight="1">
      <c r="E98" s="315"/>
      <c r="F98" s="315"/>
      <c r="G98" s="315"/>
      <c r="H98" s="315"/>
      <c r="I98" s="318"/>
      <c r="J98" s="54"/>
      <c r="K98" s="54"/>
    </row>
    <row r="99" ht="14.25" customHeight="1">
      <c r="E99" s="315"/>
      <c r="F99" s="315"/>
      <c r="G99" s="315"/>
      <c r="H99" s="315"/>
      <c r="I99" s="318"/>
      <c r="J99" s="54"/>
      <c r="K99" s="54"/>
    </row>
    <row r="100" ht="14.25" customHeight="1">
      <c r="E100" s="315"/>
      <c r="F100" s="315"/>
      <c r="G100" s="315"/>
      <c r="H100" s="315"/>
      <c r="I100" s="318"/>
      <c r="J100" s="54"/>
      <c r="K100" s="54"/>
    </row>
    <row r="101" ht="14.25" customHeight="1">
      <c r="E101" s="315"/>
      <c r="F101" s="315"/>
      <c r="G101" s="315"/>
      <c r="H101" s="315"/>
      <c r="I101" s="318"/>
      <c r="J101" s="54"/>
      <c r="K101" s="54"/>
    </row>
    <row r="102" ht="14.25" customHeight="1">
      <c r="E102" s="315"/>
      <c r="F102" s="315"/>
      <c r="G102" s="315"/>
      <c r="H102" s="315"/>
      <c r="I102" s="318"/>
      <c r="J102" s="54"/>
      <c r="K102" s="54"/>
    </row>
    <row r="103" ht="14.25" customHeight="1">
      <c r="E103" s="315"/>
      <c r="F103" s="315"/>
      <c r="G103" s="315"/>
      <c r="H103" s="315"/>
      <c r="I103" s="318"/>
      <c r="J103" s="54"/>
      <c r="K103" s="54"/>
    </row>
    <row r="104" ht="14.25" customHeight="1">
      <c r="E104" s="315"/>
      <c r="F104" s="315"/>
      <c r="G104" s="315"/>
      <c r="H104" s="315"/>
      <c r="I104" s="318"/>
      <c r="J104" s="54"/>
      <c r="K104" s="54"/>
    </row>
    <row r="105" ht="14.25" customHeight="1">
      <c r="E105" s="315"/>
      <c r="F105" s="315"/>
      <c r="G105" s="315"/>
      <c r="H105" s="315"/>
      <c r="I105" s="318"/>
      <c r="J105" s="54"/>
      <c r="K105" s="54"/>
    </row>
    <row r="106" ht="14.25" customHeight="1">
      <c r="E106" s="315"/>
      <c r="F106" s="315"/>
      <c r="G106" s="315"/>
      <c r="H106" s="315"/>
      <c r="I106" s="318"/>
      <c r="J106" s="54"/>
      <c r="K106" s="54"/>
    </row>
    <row r="107" ht="14.25" customHeight="1">
      <c r="E107" s="315"/>
      <c r="F107" s="315"/>
      <c r="G107" s="315"/>
      <c r="H107" s="315"/>
      <c r="I107" s="318"/>
      <c r="J107" s="54"/>
      <c r="K107" s="54"/>
    </row>
    <row r="108" ht="14.25" customHeight="1">
      <c r="E108" s="315"/>
      <c r="F108" s="315"/>
      <c r="G108" s="315"/>
      <c r="H108" s="315"/>
      <c r="I108" s="318"/>
      <c r="J108" s="54"/>
      <c r="K108" s="54"/>
    </row>
    <row r="109" ht="14.25" customHeight="1">
      <c r="E109" s="315"/>
      <c r="F109" s="315"/>
      <c r="G109" s="315"/>
      <c r="H109" s="315"/>
      <c r="I109" s="318"/>
      <c r="J109" s="54"/>
      <c r="K109" s="54"/>
    </row>
    <row r="110" ht="14.25" customHeight="1">
      <c r="E110" s="315"/>
      <c r="F110" s="315"/>
      <c r="G110" s="315"/>
      <c r="H110" s="315"/>
      <c r="I110" s="318"/>
      <c r="J110" s="54"/>
      <c r="K110" s="54"/>
    </row>
    <row r="111" ht="14.25" customHeight="1">
      <c r="E111" s="315"/>
      <c r="F111" s="315"/>
      <c r="G111" s="315"/>
      <c r="H111" s="315"/>
      <c r="I111" s="318"/>
      <c r="J111" s="54"/>
      <c r="K111" s="54"/>
    </row>
    <row r="112" ht="14.25" customHeight="1">
      <c r="E112" s="315"/>
      <c r="F112" s="315"/>
      <c r="G112" s="315"/>
      <c r="H112" s="315"/>
      <c r="I112" s="318"/>
      <c r="J112" s="54"/>
      <c r="K112" s="54"/>
    </row>
    <row r="113" ht="14.25" customHeight="1">
      <c r="E113" s="315"/>
      <c r="F113" s="315"/>
      <c r="G113" s="315"/>
      <c r="H113" s="315"/>
      <c r="I113" s="318"/>
      <c r="J113" s="54"/>
      <c r="K113" s="54"/>
    </row>
    <row r="114" ht="14.25" customHeight="1">
      <c r="E114" s="315"/>
      <c r="F114" s="315"/>
      <c r="G114" s="315"/>
      <c r="H114" s="315"/>
      <c r="I114" s="318"/>
      <c r="J114" s="54"/>
      <c r="K114" s="54"/>
    </row>
    <row r="115" ht="14.25" customHeight="1">
      <c r="E115" s="315"/>
      <c r="F115" s="315"/>
      <c r="G115" s="315"/>
      <c r="H115" s="315"/>
      <c r="I115" s="318"/>
      <c r="J115" s="54"/>
      <c r="K115" s="54"/>
    </row>
    <row r="116" ht="14.25" customHeight="1">
      <c r="E116" s="315"/>
      <c r="F116" s="315"/>
      <c r="G116" s="315"/>
      <c r="H116" s="315"/>
      <c r="I116" s="318"/>
      <c r="J116" s="54"/>
      <c r="K116" s="54"/>
    </row>
    <row r="117" ht="14.25" customHeight="1">
      <c r="E117" s="315"/>
      <c r="F117" s="315"/>
      <c r="G117" s="315"/>
      <c r="H117" s="315"/>
      <c r="I117" s="318"/>
      <c r="J117" s="54"/>
      <c r="K117" s="54"/>
    </row>
    <row r="118" ht="14.25" customHeight="1">
      <c r="E118" s="315"/>
      <c r="F118" s="315"/>
      <c r="G118" s="315"/>
      <c r="H118" s="315"/>
      <c r="I118" s="318"/>
      <c r="J118" s="54"/>
      <c r="K118" s="54"/>
    </row>
    <row r="119" ht="14.25" customHeight="1">
      <c r="E119" s="315"/>
      <c r="F119" s="315"/>
      <c r="G119" s="315"/>
      <c r="H119" s="315"/>
      <c r="I119" s="318"/>
      <c r="J119" s="54"/>
      <c r="K119" s="54"/>
    </row>
    <row r="120" ht="14.25" customHeight="1">
      <c r="E120" s="315"/>
      <c r="F120" s="315"/>
      <c r="G120" s="315"/>
      <c r="H120" s="315"/>
      <c r="I120" s="318"/>
      <c r="J120" s="54"/>
      <c r="K120" s="54"/>
    </row>
    <row r="121" ht="14.25" customHeight="1">
      <c r="E121" s="315"/>
      <c r="F121" s="315"/>
      <c r="G121" s="315"/>
      <c r="H121" s="315"/>
      <c r="I121" s="318"/>
      <c r="J121" s="54"/>
      <c r="K121" s="54"/>
    </row>
    <row r="122" ht="14.25" customHeight="1">
      <c r="E122" s="315"/>
      <c r="F122" s="315"/>
      <c r="G122" s="315"/>
      <c r="H122" s="315"/>
      <c r="I122" s="318"/>
      <c r="J122" s="54"/>
      <c r="K122" s="54"/>
    </row>
    <row r="123" ht="14.25" customHeight="1">
      <c r="E123" s="315"/>
      <c r="F123" s="315"/>
      <c r="G123" s="315"/>
      <c r="H123" s="315"/>
      <c r="I123" s="318"/>
      <c r="J123" s="54"/>
      <c r="K123" s="54"/>
    </row>
    <row r="124" ht="14.25" customHeight="1">
      <c r="E124" s="315"/>
      <c r="F124" s="315"/>
      <c r="G124" s="315"/>
      <c r="H124" s="315"/>
      <c r="I124" s="318"/>
      <c r="J124" s="54"/>
      <c r="K124" s="54"/>
    </row>
    <row r="125" ht="14.25" customHeight="1">
      <c r="E125" s="315"/>
      <c r="F125" s="315"/>
      <c r="G125" s="315"/>
      <c r="H125" s="315"/>
      <c r="I125" s="318"/>
      <c r="J125" s="54"/>
      <c r="K125" s="54"/>
    </row>
    <row r="126" ht="14.25" customHeight="1">
      <c r="E126" s="315"/>
      <c r="F126" s="315"/>
      <c r="G126" s="315"/>
      <c r="H126" s="315"/>
      <c r="I126" s="318"/>
      <c r="J126" s="54"/>
      <c r="K126" s="54"/>
    </row>
    <row r="127" ht="14.25" customHeight="1">
      <c r="E127" s="315"/>
      <c r="F127" s="315"/>
      <c r="G127" s="315"/>
      <c r="H127" s="315"/>
      <c r="I127" s="318"/>
      <c r="J127" s="54"/>
      <c r="K127" s="54"/>
    </row>
    <row r="128" ht="14.25" customHeight="1">
      <c r="E128" s="315"/>
      <c r="F128" s="315"/>
      <c r="G128" s="315"/>
      <c r="H128" s="315"/>
      <c r="I128" s="318"/>
      <c r="J128" s="54"/>
      <c r="K128" s="54"/>
    </row>
    <row r="129" ht="14.25" customHeight="1">
      <c r="E129" s="315"/>
      <c r="F129" s="315"/>
      <c r="G129" s="315"/>
      <c r="H129" s="315"/>
      <c r="I129" s="318"/>
      <c r="J129" s="54"/>
      <c r="K129" s="54"/>
    </row>
    <row r="130" ht="14.25" customHeight="1">
      <c r="E130" s="315"/>
      <c r="F130" s="315"/>
      <c r="G130" s="315"/>
      <c r="H130" s="315"/>
      <c r="I130" s="318"/>
      <c r="J130" s="54"/>
      <c r="K130" s="54"/>
    </row>
    <row r="131" ht="14.25" customHeight="1">
      <c r="E131" s="315"/>
      <c r="F131" s="315"/>
      <c r="G131" s="315"/>
      <c r="H131" s="315"/>
      <c r="I131" s="318"/>
      <c r="J131" s="54"/>
      <c r="K131" s="54"/>
    </row>
    <row r="132" ht="14.25" customHeight="1">
      <c r="E132" s="315"/>
      <c r="F132" s="315"/>
      <c r="G132" s="315"/>
      <c r="H132" s="315"/>
      <c r="I132" s="318"/>
      <c r="J132" s="54"/>
      <c r="K132" s="54"/>
    </row>
    <row r="133" ht="14.25" customHeight="1">
      <c r="E133" s="315"/>
      <c r="F133" s="315"/>
      <c r="G133" s="315"/>
      <c r="H133" s="315"/>
      <c r="I133" s="318"/>
      <c r="J133" s="54"/>
      <c r="K133" s="54"/>
    </row>
    <row r="134" ht="14.25" customHeight="1">
      <c r="E134" s="315"/>
      <c r="F134" s="315"/>
      <c r="G134" s="315"/>
      <c r="H134" s="315"/>
      <c r="I134" s="318"/>
      <c r="J134" s="54"/>
      <c r="K134" s="54"/>
    </row>
    <row r="135" ht="14.25" customHeight="1">
      <c r="E135" s="315"/>
      <c r="F135" s="315"/>
      <c r="G135" s="315"/>
      <c r="H135" s="315"/>
      <c r="I135" s="318"/>
      <c r="J135" s="54"/>
      <c r="K135" s="54"/>
    </row>
    <row r="136" ht="14.25" customHeight="1">
      <c r="E136" s="315"/>
      <c r="F136" s="315"/>
      <c r="G136" s="315"/>
      <c r="H136" s="315"/>
      <c r="I136" s="318"/>
      <c r="J136" s="54"/>
      <c r="K136" s="54"/>
    </row>
    <row r="137" ht="14.25" customHeight="1">
      <c r="E137" s="315"/>
      <c r="F137" s="315"/>
      <c r="G137" s="315"/>
      <c r="H137" s="315"/>
      <c r="I137" s="318"/>
      <c r="J137" s="54"/>
      <c r="K137" s="54"/>
    </row>
    <row r="138" ht="14.25" customHeight="1">
      <c r="E138" s="315"/>
      <c r="F138" s="315"/>
      <c r="G138" s="315"/>
      <c r="H138" s="315"/>
      <c r="I138" s="318"/>
      <c r="J138" s="54"/>
      <c r="K138" s="54"/>
    </row>
    <row r="139" ht="14.25" customHeight="1">
      <c r="E139" s="315"/>
      <c r="F139" s="315"/>
      <c r="G139" s="315"/>
      <c r="H139" s="315"/>
      <c r="I139" s="318"/>
      <c r="J139" s="54"/>
      <c r="K139" s="54"/>
    </row>
    <row r="140" ht="14.25" customHeight="1">
      <c r="E140" s="315"/>
      <c r="F140" s="315"/>
      <c r="G140" s="315"/>
      <c r="H140" s="315"/>
      <c r="I140" s="318"/>
      <c r="J140" s="54"/>
      <c r="K140" s="54"/>
    </row>
    <row r="141" ht="14.25" customHeight="1">
      <c r="E141" s="315"/>
      <c r="F141" s="315"/>
      <c r="G141" s="315"/>
      <c r="H141" s="315"/>
      <c r="I141" s="318"/>
      <c r="J141" s="54"/>
      <c r="K141" s="54"/>
    </row>
    <row r="142" ht="14.25" customHeight="1">
      <c r="E142" s="315"/>
      <c r="F142" s="315"/>
      <c r="G142" s="315"/>
      <c r="H142" s="315"/>
      <c r="I142" s="318"/>
      <c r="J142" s="54"/>
      <c r="K142" s="54"/>
    </row>
    <row r="143" ht="14.25" customHeight="1">
      <c r="E143" s="315"/>
      <c r="F143" s="315"/>
      <c r="G143" s="315"/>
      <c r="H143" s="315"/>
      <c r="I143" s="318"/>
      <c r="J143" s="54"/>
      <c r="K143" s="54"/>
    </row>
    <row r="144" ht="14.25" customHeight="1">
      <c r="E144" s="315"/>
      <c r="F144" s="315"/>
      <c r="G144" s="315"/>
      <c r="H144" s="315"/>
      <c r="I144" s="318"/>
      <c r="J144" s="54"/>
      <c r="K144" s="54"/>
    </row>
    <row r="145" ht="14.25" customHeight="1">
      <c r="E145" s="315"/>
      <c r="F145" s="315"/>
      <c r="G145" s="315"/>
      <c r="H145" s="315"/>
      <c r="I145" s="318"/>
      <c r="J145" s="54"/>
      <c r="K145" s="54"/>
    </row>
    <row r="146" ht="14.25" customHeight="1">
      <c r="E146" s="315"/>
      <c r="F146" s="315"/>
      <c r="G146" s="315"/>
      <c r="H146" s="315"/>
      <c r="I146" s="318"/>
      <c r="J146" s="54"/>
      <c r="K146" s="54"/>
    </row>
    <row r="147" ht="14.25" customHeight="1">
      <c r="E147" s="315"/>
      <c r="F147" s="315"/>
      <c r="G147" s="315"/>
      <c r="H147" s="315"/>
      <c r="I147" s="318"/>
      <c r="J147" s="54"/>
      <c r="K147" s="54"/>
    </row>
    <row r="148" ht="14.25" customHeight="1">
      <c r="E148" s="315"/>
      <c r="F148" s="315"/>
      <c r="G148" s="315"/>
      <c r="H148" s="315"/>
      <c r="I148" s="318"/>
      <c r="J148" s="54"/>
      <c r="K148" s="54"/>
    </row>
    <row r="149" ht="14.25" customHeight="1">
      <c r="E149" s="315"/>
      <c r="F149" s="315"/>
      <c r="G149" s="315"/>
      <c r="H149" s="315"/>
      <c r="I149" s="318"/>
      <c r="J149" s="54"/>
      <c r="K149" s="54"/>
    </row>
    <row r="150" ht="14.25" customHeight="1">
      <c r="E150" s="315"/>
      <c r="F150" s="315"/>
      <c r="G150" s="315"/>
      <c r="H150" s="315"/>
      <c r="I150" s="318"/>
      <c r="J150" s="54"/>
      <c r="K150" s="54"/>
    </row>
    <row r="151" ht="14.25" customHeight="1">
      <c r="E151" s="315"/>
      <c r="F151" s="315"/>
      <c r="G151" s="315"/>
      <c r="H151" s="315"/>
      <c r="I151" s="318"/>
      <c r="J151" s="54"/>
      <c r="K151" s="54"/>
    </row>
    <row r="152" ht="14.25" customHeight="1">
      <c r="E152" s="315"/>
      <c r="F152" s="315"/>
      <c r="G152" s="315"/>
      <c r="H152" s="315"/>
      <c r="I152" s="318"/>
      <c r="J152" s="54"/>
      <c r="K152" s="54"/>
    </row>
    <row r="153" ht="14.25" customHeight="1">
      <c r="E153" s="315"/>
      <c r="F153" s="315"/>
      <c r="G153" s="315"/>
      <c r="H153" s="315"/>
      <c r="I153" s="318"/>
      <c r="J153" s="54"/>
      <c r="K153" s="54"/>
    </row>
    <row r="154" ht="14.25" customHeight="1">
      <c r="E154" s="315"/>
      <c r="F154" s="315"/>
      <c r="G154" s="315"/>
      <c r="H154" s="315"/>
      <c r="I154" s="318"/>
      <c r="J154" s="54"/>
      <c r="K154" s="54"/>
    </row>
    <row r="155" ht="14.25" customHeight="1">
      <c r="E155" s="315"/>
      <c r="F155" s="315"/>
      <c r="G155" s="315"/>
      <c r="H155" s="315"/>
      <c r="I155" s="318"/>
      <c r="J155" s="54"/>
      <c r="K155" s="54"/>
    </row>
    <row r="156" ht="14.25" customHeight="1">
      <c r="E156" s="315"/>
      <c r="F156" s="315"/>
      <c r="G156" s="315"/>
      <c r="H156" s="315"/>
      <c r="I156" s="318"/>
      <c r="J156" s="54"/>
      <c r="K156" s="54"/>
    </row>
    <row r="157" ht="14.25" customHeight="1">
      <c r="E157" s="315"/>
      <c r="F157" s="315"/>
      <c r="G157" s="315"/>
      <c r="H157" s="315"/>
      <c r="I157" s="318"/>
      <c r="J157" s="54"/>
      <c r="K157" s="54"/>
    </row>
    <row r="158" ht="14.25" customHeight="1">
      <c r="E158" s="315"/>
      <c r="F158" s="315"/>
      <c r="G158" s="315"/>
      <c r="H158" s="315"/>
      <c r="I158" s="318"/>
      <c r="J158" s="54"/>
      <c r="K158" s="54"/>
    </row>
    <row r="159" ht="14.25" customHeight="1">
      <c r="E159" s="315"/>
      <c r="F159" s="315"/>
      <c r="G159" s="315"/>
      <c r="H159" s="315"/>
      <c r="I159" s="318"/>
      <c r="J159" s="54"/>
      <c r="K159" s="54"/>
    </row>
    <row r="160" ht="14.25" customHeight="1">
      <c r="E160" s="315"/>
      <c r="F160" s="315"/>
      <c r="G160" s="315"/>
      <c r="H160" s="315"/>
      <c r="I160" s="318"/>
      <c r="J160" s="54"/>
      <c r="K160" s="54"/>
    </row>
    <row r="161" ht="14.25" customHeight="1">
      <c r="E161" s="315"/>
      <c r="F161" s="315"/>
      <c r="G161" s="315"/>
      <c r="H161" s="315"/>
      <c r="I161" s="318"/>
      <c r="J161" s="54"/>
      <c r="K161" s="54"/>
    </row>
    <row r="162" ht="14.25" customHeight="1">
      <c r="E162" s="315"/>
      <c r="F162" s="315"/>
      <c r="G162" s="315"/>
      <c r="H162" s="315"/>
      <c r="I162" s="318"/>
      <c r="J162" s="54"/>
      <c r="K162" s="54"/>
    </row>
    <row r="163" ht="14.25" customHeight="1">
      <c r="E163" s="315"/>
      <c r="F163" s="315"/>
      <c r="G163" s="315"/>
      <c r="H163" s="315"/>
      <c r="I163" s="318"/>
      <c r="J163" s="54"/>
      <c r="K163" s="54"/>
    </row>
    <row r="164" ht="14.25" customHeight="1">
      <c r="E164" s="315"/>
      <c r="F164" s="315"/>
      <c r="G164" s="315"/>
      <c r="H164" s="315"/>
      <c r="I164" s="318"/>
      <c r="J164" s="54"/>
      <c r="K164" s="54"/>
    </row>
    <row r="165" ht="14.25" customHeight="1">
      <c r="E165" s="315"/>
      <c r="F165" s="315"/>
      <c r="G165" s="315"/>
      <c r="H165" s="315"/>
      <c r="I165" s="318"/>
      <c r="J165" s="54"/>
      <c r="K165" s="54"/>
    </row>
    <row r="166" ht="14.25" customHeight="1">
      <c r="E166" s="315"/>
      <c r="F166" s="315"/>
      <c r="G166" s="315"/>
      <c r="H166" s="315"/>
      <c r="I166" s="318"/>
      <c r="J166" s="54"/>
      <c r="K166" s="54"/>
    </row>
    <row r="167" ht="14.25" customHeight="1">
      <c r="E167" s="315"/>
      <c r="F167" s="315"/>
      <c r="G167" s="315"/>
      <c r="H167" s="315"/>
      <c r="I167" s="318"/>
      <c r="J167" s="54"/>
      <c r="K167" s="54"/>
    </row>
    <row r="168" ht="14.25" customHeight="1">
      <c r="E168" s="315"/>
      <c r="F168" s="315"/>
      <c r="G168" s="315"/>
      <c r="H168" s="315"/>
      <c r="I168" s="318"/>
      <c r="J168" s="54"/>
      <c r="K168" s="54"/>
    </row>
    <row r="169" ht="14.25" customHeight="1">
      <c r="E169" s="315"/>
      <c r="F169" s="315"/>
      <c r="G169" s="315"/>
      <c r="H169" s="315"/>
      <c r="I169" s="318"/>
      <c r="J169" s="54"/>
      <c r="K169" s="54"/>
    </row>
    <row r="170" ht="14.25" customHeight="1">
      <c r="E170" s="315"/>
      <c r="F170" s="315"/>
      <c r="G170" s="315"/>
      <c r="H170" s="315"/>
      <c r="I170" s="318"/>
      <c r="J170" s="54"/>
      <c r="K170" s="54"/>
    </row>
    <row r="171" ht="14.25" customHeight="1">
      <c r="E171" s="315"/>
      <c r="F171" s="315"/>
      <c r="G171" s="315"/>
      <c r="H171" s="315"/>
      <c r="I171" s="318"/>
      <c r="J171" s="54"/>
      <c r="K171" s="54"/>
    </row>
    <row r="172" ht="14.25" customHeight="1">
      <c r="E172" s="315"/>
      <c r="F172" s="315"/>
      <c r="G172" s="315"/>
      <c r="H172" s="315"/>
      <c r="I172" s="318"/>
      <c r="J172" s="54"/>
      <c r="K172" s="54"/>
    </row>
    <row r="173" ht="14.25" customHeight="1">
      <c r="E173" s="315"/>
      <c r="F173" s="315"/>
      <c r="G173" s="315"/>
      <c r="H173" s="315"/>
      <c r="I173" s="318"/>
      <c r="J173" s="54"/>
      <c r="K173" s="54"/>
    </row>
    <row r="174" ht="14.25" customHeight="1">
      <c r="E174" s="315"/>
      <c r="F174" s="315"/>
      <c r="G174" s="315"/>
      <c r="H174" s="315"/>
      <c r="I174" s="318"/>
      <c r="J174" s="54"/>
      <c r="K174" s="54"/>
    </row>
    <row r="175" ht="14.25" customHeight="1">
      <c r="E175" s="315"/>
      <c r="F175" s="315"/>
      <c r="G175" s="315"/>
      <c r="H175" s="315"/>
      <c r="I175" s="318"/>
      <c r="J175" s="54"/>
      <c r="K175" s="54"/>
    </row>
    <row r="176" ht="14.25" customHeight="1">
      <c r="E176" s="315"/>
      <c r="F176" s="315"/>
      <c r="G176" s="315"/>
      <c r="H176" s="315"/>
      <c r="I176" s="318"/>
      <c r="J176" s="54"/>
      <c r="K176" s="54"/>
    </row>
    <row r="177" ht="14.25" customHeight="1">
      <c r="E177" s="315"/>
      <c r="F177" s="315"/>
      <c r="G177" s="315"/>
      <c r="H177" s="315"/>
      <c r="I177" s="318"/>
      <c r="J177" s="54"/>
      <c r="K177" s="54"/>
    </row>
    <row r="178" ht="14.25" customHeight="1">
      <c r="E178" s="315"/>
      <c r="F178" s="315"/>
      <c r="G178" s="315"/>
      <c r="H178" s="315"/>
      <c r="I178" s="318"/>
      <c r="J178" s="54"/>
      <c r="K178" s="54"/>
    </row>
    <row r="179" ht="14.25" customHeight="1">
      <c r="E179" s="315"/>
      <c r="F179" s="315"/>
      <c r="G179" s="315"/>
      <c r="H179" s="315"/>
      <c r="I179" s="318"/>
      <c r="J179" s="54"/>
      <c r="K179" s="54"/>
    </row>
    <row r="180" ht="14.25" customHeight="1">
      <c r="E180" s="315"/>
      <c r="F180" s="315"/>
      <c r="G180" s="315"/>
      <c r="H180" s="315"/>
      <c r="I180" s="318"/>
      <c r="J180" s="54"/>
      <c r="K180" s="54"/>
    </row>
    <row r="181" ht="14.25" customHeight="1">
      <c r="E181" s="315"/>
      <c r="F181" s="315"/>
      <c r="G181" s="315"/>
      <c r="H181" s="315"/>
      <c r="I181" s="318"/>
      <c r="J181" s="54"/>
      <c r="K181" s="54"/>
    </row>
    <row r="182" ht="14.25" customHeight="1">
      <c r="E182" s="315"/>
      <c r="F182" s="315"/>
      <c r="G182" s="315"/>
      <c r="H182" s="315"/>
      <c r="I182" s="318"/>
      <c r="J182" s="54"/>
      <c r="K182" s="54"/>
    </row>
    <row r="183" ht="14.25" customHeight="1">
      <c r="E183" s="315"/>
      <c r="F183" s="315"/>
      <c r="G183" s="315"/>
      <c r="H183" s="315"/>
      <c r="I183" s="318"/>
      <c r="J183" s="54"/>
      <c r="K183" s="54"/>
    </row>
    <row r="184" ht="14.25" customHeight="1">
      <c r="E184" s="315"/>
      <c r="F184" s="315"/>
      <c r="G184" s="315"/>
      <c r="H184" s="315"/>
      <c r="I184" s="318"/>
      <c r="J184" s="54"/>
      <c r="K184" s="54"/>
    </row>
    <row r="185" ht="14.25" customHeight="1">
      <c r="E185" s="315"/>
      <c r="F185" s="315"/>
      <c r="G185" s="315"/>
      <c r="H185" s="315"/>
      <c r="I185" s="318"/>
      <c r="J185" s="54"/>
      <c r="K185" s="54"/>
    </row>
    <row r="186" ht="14.25" customHeight="1">
      <c r="E186" s="315"/>
      <c r="F186" s="315"/>
      <c r="G186" s="315"/>
      <c r="H186" s="315"/>
      <c r="I186" s="318"/>
      <c r="J186" s="54"/>
      <c r="K186" s="54"/>
    </row>
    <row r="187" ht="14.25" customHeight="1">
      <c r="E187" s="315"/>
      <c r="F187" s="315"/>
      <c r="G187" s="315"/>
      <c r="H187" s="315"/>
      <c r="I187" s="318"/>
      <c r="J187" s="54"/>
      <c r="K187" s="54"/>
    </row>
    <row r="188" ht="14.25" customHeight="1">
      <c r="E188" s="315"/>
      <c r="F188" s="315"/>
      <c r="G188" s="315"/>
      <c r="H188" s="315"/>
      <c r="I188" s="318"/>
      <c r="J188" s="54"/>
      <c r="K188" s="54"/>
    </row>
    <row r="189" ht="14.25" customHeight="1">
      <c r="E189" s="315"/>
      <c r="F189" s="315"/>
      <c r="G189" s="315"/>
      <c r="H189" s="315"/>
      <c r="I189" s="318"/>
      <c r="J189" s="54"/>
      <c r="K189" s="54"/>
    </row>
    <row r="190" ht="14.25" customHeight="1">
      <c r="E190" s="315"/>
      <c r="F190" s="315"/>
      <c r="G190" s="315"/>
      <c r="H190" s="315"/>
      <c r="I190" s="318"/>
      <c r="J190" s="54"/>
      <c r="K190" s="54"/>
    </row>
    <row r="191" ht="14.25" customHeight="1">
      <c r="E191" s="315"/>
      <c r="F191" s="315"/>
      <c r="G191" s="315"/>
      <c r="H191" s="315"/>
      <c r="I191" s="318"/>
      <c r="J191" s="54"/>
      <c r="K191" s="54"/>
    </row>
    <row r="192" ht="14.25" customHeight="1">
      <c r="E192" s="315"/>
      <c r="F192" s="315"/>
      <c r="G192" s="315"/>
      <c r="H192" s="315"/>
      <c r="I192" s="318"/>
      <c r="J192" s="54"/>
      <c r="K192" s="54"/>
    </row>
    <row r="193" ht="14.25" customHeight="1">
      <c r="E193" s="315"/>
      <c r="F193" s="315"/>
      <c r="G193" s="315"/>
      <c r="H193" s="315"/>
      <c r="I193" s="318"/>
      <c r="J193" s="54"/>
      <c r="K193" s="54"/>
    </row>
    <row r="194" ht="14.25" customHeight="1">
      <c r="E194" s="315"/>
      <c r="F194" s="315"/>
      <c r="G194" s="315"/>
      <c r="H194" s="315"/>
      <c r="I194" s="318"/>
      <c r="J194" s="54"/>
      <c r="K194" s="54"/>
    </row>
    <row r="195" ht="14.25" customHeight="1">
      <c r="E195" s="315"/>
      <c r="F195" s="315"/>
      <c r="G195" s="315"/>
      <c r="H195" s="315"/>
      <c r="I195" s="318"/>
      <c r="J195" s="54"/>
      <c r="K195" s="54"/>
    </row>
    <row r="196" ht="14.25" customHeight="1">
      <c r="E196" s="315"/>
      <c r="F196" s="315"/>
      <c r="G196" s="315"/>
      <c r="H196" s="315"/>
      <c r="I196" s="318"/>
      <c r="J196" s="54"/>
      <c r="K196" s="54"/>
    </row>
    <row r="197" ht="14.25" customHeight="1">
      <c r="E197" s="315"/>
      <c r="F197" s="315"/>
      <c r="G197" s="315"/>
      <c r="H197" s="315"/>
      <c r="I197" s="318"/>
      <c r="J197" s="54"/>
      <c r="K197" s="54"/>
    </row>
    <row r="198" ht="14.25" customHeight="1">
      <c r="E198" s="315"/>
      <c r="F198" s="315"/>
      <c r="G198" s="315"/>
      <c r="H198" s="315"/>
      <c r="I198" s="318"/>
      <c r="J198" s="54"/>
      <c r="K198" s="54"/>
    </row>
    <row r="199" ht="14.25" customHeight="1">
      <c r="E199" s="315"/>
      <c r="F199" s="315"/>
      <c r="G199" s="315"/>
      <c r="H199" s="315"/>
      <c r="I199" s="318"/>
      <c r="J199" s="54"/>
      <c r="K199" s="54"/>
    </row>
    <row r="200" ht="14.25" customHeight="1">
      <c r="E200" s="315"/>
      <c r="F200" s="315"/>
      <c r="G200" s="315"/>
      <c r="H200" s="315"/>
      <c r="I200" s="318"/>
      <c r="J200" s="54"/>
      <c r="K200" s="54"/>
    </row>
    <row r="201" ht="14.25" customHeight="1">
      <c r="E201" s="315"/>
      <c r="F201" s="315"/>
      <c r="G201" s="315"/>
      <c r="H201" s="315"/>
      <c r="I201" s="318"/>
      <c r="J201" s="54"/>
      <c r="K201" s="54"/>
    </row>
    <row r="202" ht="14.25" customHeight="1">
      <c r="E202" s="315"/>
      <c r="F202" s="315"/>
      <c r="G202" s="315"/>
      <c r="H202" s="315"/>
      <c r="I202" s="318"/>
      <c r="J202" s="54"/>
      <c r="K202" s="54"/>
    </row>
    <row r="203" ht="14.25" customHeight="1">
      <c r="E203" s="315"/>
      <c r="F203" s="315"/>
      <c r="G203" s="315"/>
      <c r="H203" s="315"/>
      <c r="I203" s="318"/>
      <c r="J203" s="54"/>
      <c r="K203" s="54"/>
    </row>
    <row r="204" ht="14.25" customHeight="1">
      <c r="E204" s="315"/>
      <c r="F204" s="315"/>
      <c r="G204" s="315"/>
      <c r="H204" s="315"/>
      <c r="I204" s="318"/>
      <c r="J204" s="54"/>
      <c r="K204" s="54"/>
    </row>
    <row r="205" ht="14.25" customHeight="1">
      <c r="E205" s="315"/>
      <c r="F205" s="315"/>
      <c r="G205" s="315"/>
      <c r="H205" s="315"/>
      <c r="I205" s="318"/>
      <c r="J205" s="54"/>
      <c r="K205" s="54"/>
    </row>
    <row r="206" ht="14.25" customHeight="1">
      <c r="E206" s="315"/>
      <c r="F206" s="315"/>
      <c r="G206" s="315"/>
      <c r="H206" s="315"/>
      <c r="I206" s="318"/>
      <c r="J206" s="54"/>
      <c r="K206" s="54"/>
    </row>
    <row r="207" ht="14.25" customHeight="1">
      <c r="E207" s="315"/>
      <c r="F207" s="315"/>
      <c r="G207" s="315"/>
      <c r="H207" s="315"/>
      <c r="I207" s="318"/>
      <c r="J207" s="54"/>
      <c r="K207" s="54"/>
    </row>
    <row r="208" ht="14.25" customHeight="1">
      <c r="E208" s="315"/>
      <c r="F208" s="315"/>
      <c r="G208" s="315"/>
      <c r="H208" s="315"/>
      <c r="I208" s="318"/>
      <c r="J208" s="54"/>
      <c r="K208" s="54"/>
    </row>
    <row r="209" ht="14.25" customHeight="1">
      <c r="E209" s="315"/>
      <c r="F209" s="315"/>
      <c r="G209" s="315"/>
      <c r="H209" s="315"/>
      <c r="I209" s="318"/>
      <c r="J209" s="54"/>
      <c r="K209" s="54"/>
    </row>
    <row r="210" ht="14.25" customHeight="1">
      <c r="E210" s="315"/>
      <c r="F210" s="315"/>
      <c r="G210" s="315"/>
      <c r="H210" s="315"/>
      <c r="I210" s="318"/>
      <c r="J210" s="54"/>
      <c r="K210" s="54"/>
    </row>
    <row r="211" ht="14.25" customHeight="1">
      <c r="E211" s="315"/>
      <c r="F211" s="315"/>
      <c r="G211" s="315"/>
      <c r="H211" s="315"/>
      <c r="I211" s="318"/>
      <c r="J211" s="54"/>
      <c r="K211" s="54"/>
    </row>
    <row r="212" ht="14.25" customHeight="1">
      <c r="E212" s="315"/>
      <c r="F212" s="315"/>
      <c r="G212" s="315"/>
      <c r="H212" s="315"/>
      <c r="I212" s="318"/>
      <c r="J212" s="54"/>
      <c r="K212" s="54"/>
    </row>
    <row r="213" ht="14.25" customHeight="1">
      <c r="E213" s="315"/>
      <c r="F213" s="315"/>
      <c r="G213" s="315"/>
      <c r="H213" s="315"/>
      <c r="I213" s="318"/>
      <c r="J213" s="54"/>
      <c r="K213" s="54"/>
    </row>
    <row r="214" ht="14.25" customHeight="1">
      <c r="E214" s="315"/>
      <c r="F214" s="315"/>
      <c r="G214" s="315"/>
      <c r="H214" s="315"/>
      <c r="I214" s="318"/>
      <c r="J214" s="54"/>
      <c r="K214" s="54"/>
    </row>
    <row r="215" ht="14.25" customHeight="1">
      <c r="E215" s="315"/>
      <c r="F215" s="315"/>
      <c r="G215" s="315"/>
      <c r="H215" s="315"/>
      <c r="I215" s="318"/>
      <c r="J215" s="54"/>
      <c r="K215" s="54"/>
    </row>
    <row r="216" ht="14.25" customHeight="1">
      <c r="E216" s="315"/>
      <c r="F216" s="315"/>
      <c r="G216" s="315"/>
      <c r="H216" s="315"/>
      <c r="I216" s="318"/>
      <c r="J216" s="54"/>
      <c r="K216" s="54"/>
    </row>
    <row r="217" ht="14.25" customHeight="1">
      <c r="E217" s="315"/>
      <c r="F217" s="315"/>
      <c r="G217" s="315"/>
      <c r="H217" s="315"/>
      <c r="I217" s="318"/>
      <c r="J217" s="54"/>
      <c r="K217" s="54"/>
    </row>
    <row r="218" ht="14.25" customHeight="1">
      <c r="E218" s="315"/>
      <c r="F218" s="315"/>
      <c r="G218" s="315"/>
      <c r="H218" s="315"/>
      <c r="I218" s="318"/>
      <c r="J218" s="54"/>
      <c r="K218" s="54"/>
    </row>
    <row r="219" ht="14.25" customHeight="1">
      <c r="E219" s="315"/>
      <c r="F219" s="315"/>
      <c r="G219" s="315"/>
      <c r="H219" s="315"/>
      <c r="I219" s="318"/>
      <c r="J219" s="54"/>
      <c r="K219" s="54"/>
    </row>
    <row r="220" ht="14.25" customHeight="1">
      <c r="E220" s="315"/>
      <c r="F220" s="315"/>
      <c r="G220" s="315"/>
      <c r="H220" s="315"/>
      <c r="I220" s="318"/>
      <c r="J220" s="54"/>
      <c r="K220" s="54"/>
    </row>
    <row r="221" ht="14.25" customHeight="1">
      <c r="E221" s="315"/>
      <c r="F221" s="315"/>
      <c r="G221" s="315"/>
      <c r="H221" s="315"/>
      <c r="I221" s="318"/>
      <c r="J221" s="54"/>
      <c r="K221" s="54"/>
    </row>
    <row r="222" ht="14.25" customHeight="1">
      <c r="E222" s="315"/>
      <c r="F222" s="315"/>
      <c r="G222" s="315"/>
      <c r="H222" s="315"/>
      <c r="I222" s="318"/>
      <c r="J222" s="54"/>
      <c r="K222" s="54"/>
    </row>
    <row r="223" ht="14.25" customHeight="1">
      <c r="E223" s="315"/>
      <c r="F223" s="315"/>
      <c r="G223" s="315"/>
      <c r="H223" s="315"/>
      <c r="I223" s="318"/>
      <c r="J223" s="54"/>
      <c r="K223" s="54"/>
    </row>
    <row r="224" ht="14.25" customHeight="1">
      <c r="E224" s="315"/>
      <c r="F224" s="315"/>
      <c r="G224" s="315"/>
      <c r="H224" s="315"/>
      <c r="I224" s="318"/>
      <c r="J224" s="54"/>
      <c r="K224" s="54"/>
    </row>
    <row r="225" ht="14.25" customHeight="1">
      <c r="E225" s="315"/>
      <c r="F225" s="315"/>
      <c r="G225" s="315"/>
      <c r="H225" s="315"/>
      <c r="I225" s="318"/>
      <c r="J225" s="54"/>
      <c r="K225" s="54"/>
    </row>
    <row r="226" ht="14.25" customHeight="1">
      <c r="E226" s="315"/>
      <c r="F226" s="315"/>
      <c r="G226" s="315"/>
      <c r="H226" s="315"/>
      <c r="I226" s="318"/>
      <c r="J226" s="54"/>
      <c r="K226" s="54"/>
    </row>
    <row r="227" ht="14.25" customHeight="1">
      <c r="E227" s="315"/>
      <c r="F227" s="315"/>
      <c r="G227" s="315"/>
      <c r="H227" s="315"/>
      <c r="I227" s="318"/>
      <c r="J227" s="54"/>
      <c r="K227" s="54"/>
    </row>
    <row r="228" ht="14.25" customHeight="1">
      <c r="E228" s="315"/>
      <c r="F228" s="315"/>
      <c r="G228" s="315"/>
      <c r="H228" s="315"/>
      <c r="I228" s="318"/>
      <c r="J228" s="54"/>
      <c r="K228" s="54"/>
    </row>
    <row r="229" ht="14.25" customHeight="1">
      <c r="E229" s="315"/>
      <c r="F229" s="315"/>
      <c r="G229" s="315"/>
      <c r="H229" s="315"/>
      <c r="I229" s="318"/>
      <c r="J229" s="54"/>
      <c r="K229" s="54"/>
    </row>
    <row r="230" ht="14.25" customHeight="1">
      <c r="E230" s="315"/>
      <c r="F230" s="315"/>
      <c r="G230" s="315"/>
      <c r="H230" s="315"/>
      <c r="I230" s="318"/>
      <c r="J230" s="54"/>
      <c r="K230" s="54"/>
    </row>
    <row r="231" ht="14.25" customHeight="1">
      <c r="E231" s="315"/>
      <c r="F231" s="315"/>
      <c r="G231" s="315"/>
      <c r="H231" s="315"/>
      <c r="I231" s="318"/>
      <c r="J231" s="54"/>
      <c r="K231" s="54"/>
    </row>
    <row r="232" ht="14.25" customHeight="1">
      <c r="E232" s="315"/>
      <c r="F232" s="315"/>
      <c r="G232" s="315"/>
      <c r="H232" s="315"/>
      <c r="I232" s="318"/>
      <c r="J232" s="54"/>
      <c r="K232" s="54"/>
    </row>
    <row r="233" ht="14.25" customHeight="1">
      <c r="E233" s="315"/>
      <c r="F233" s="315"/>
      <c r="G233" s="315"/>
      <c r="H233" s="315"/>
      <c r="I233" s="318"/>
      <c r="J233" s="54"/>
      <c r="K233" s="54"/>
    </row>
    <row r="234" ht="14.25" customHeight="1">
      <c r="E234" s="315"/>
      <c r="F234" s="315"/>
      <c r="G234" s="315"/>
      <c r="H234" s="315"/>
      <c r="I234" s="318"/>
      <c r="J234" s="54"/>
      <c r="K234" s="54"/>
    </row>
    <row r="235" ht="14.25" customHeight="1">
      <c r="E235" s="315"/>
      <c r="F235" s="315"/>
      <c r="G235" s="315"/>
      <c r="H235" s="315"/>
      <c r="I235" s="318"/>
      <c r="J235" s="54"/>
      <c r="K235" s="54"/>
    </row>
    <row r="236" ht="14.25" customHeight="1">
      <c r="E236" s="315"/>
      <c r="F236" s="315"/>
      <c r="G236" s="315"/>
      <c r="H236" s="315"/>
      <c r="I236" s="318"/>
      <c r="J236" s="54"/>
      <c r="K236" s="54"/>
    </row>
    <row r="237" ht="14.25" customHeight="1">
      <c r="E237" s="315"/>
      <c r="F237" s="315"/>
      <c r="G237" s="315"/>
      <c r="H237" s="315"/>
      <c r="I237" s="318"/>
      <c r="J237" s="54"/>
      <c r="K237" s="54"/>
    </row>
    <row r="238" ht="14.25" customHeight="1">
      <c r="E238" s="315"/>
      <c r="F238" s="315"/>
      <c r="G238" s="315"/>
      <c r="H238" s="315"/>
      <c r="I238" s="318"/>
      <c r="J238" s="54"/>
      <c r="K238" s="54"/>
    </row>
    <row r="239" ht="14.25" customHeight="1">
      <c r="E239" s="315"/>
      <c r="F239" s="315"/>
      <c r="G239" s="315"/>
      <c r="H239" s="315"/>
      <c r="I239" s="318"/>
      <c r="J239" s="54"/>
      <c r="K239" s="54"/>
    </row>
    <row r="240" ht="14.25" customHeight="1">
      <c r="E240" s="315"/>
      <c r="F240" s="315"/>
      <c r="G240" s="315"/>
      <c r="H240" s="315"/>
      <c r="I240" s="318"/>
      <c r="J240" s="54"/>
      <c r="K240" s="54"/>
    </row>
    <row r="241" ht="14.25" customHeight="1">
      <c r="E241" s="315"/>
      <c r="F241" s="315"/>
      <c r="G241" s="315"/>
      <c r="H241" s="315"/>
      <c r="I241" s="318"/>
      <c r="J241" s="54"/>
      <c r="K241" s="54"/>
    </row>
    <row r="242" ht="14.25" customHeight="1">
      <c r="E242" s="315"/>
      <c r="F242" s="315"/>
      <c r="G242" s="315"/>
      <c r="H242" s="315"/>
      <c r="I242" s="318"/>
      <c r="J242" s="54"/>
      <c r="K242" s="54"/>
    </row>
    <row r="243" ht="14.25" customHeight="1">
      <c r="E243" s="315"/>
      <c r="F243" s="315"/>
      <c r="G243" s="315"/>
      <c r="H243" s="315"/>
      <c r="I243" s="318"/>
      <c r="J243" s="54"/>
      <c r="K243" s="54"/>
    </row>
    <row r="244" ht="14.25" customHeight="1">
      <c r="E244" s="315"/>
      <c r="F244" s="315"/>
      <c r="G244" s="315"/>
      <c r="H244" s="315"/>
      <c r="I244" s="318"/>
      <c r="J244" s="54"/>
      <c r="K244" s="54"/>
    </row>
    <row r="245" ht="14.25" customHeight="1">
      <c r="E245" s="315"/>
      <c r="F245" s="315"/>
      <c r="G245" s="315"/>
      <c r="H245" s="315"/>
      <c r="I245" s="318"/>
      <c r="J245" s="54"/>
      <c r="K245" s="54"/>
    </row>
    <row r="246" ht="14.25" customHeight="1">
      <c r="E246" s="315"/>
      <c r="F246" s="315"/>
      <c r="G246" s="315"/>
      <c r="H246" s="315"/>
      <c r="I246" s="318"/>
      <c r="J246" s="54"/>
      <c r="K246" s="54"/>
    </row>
    <row r="247" ht="14.25" customHeight="1">
      <c r="E247" s="315"/>
      <c r="F247" s="315"/>
      <c r="G247" s="315"/>
      <c r="H247" s="315"/>
      <c r="I247" s="318"/>
      <c r="J247" s="54"/>
      <c r="K247" s="54"/>
    </row>
    <row r="248" ht="14.25" customHeight="1">
      <c r="E248" s="315"/>
      <c r="F248" s="315"/>
      <c r="G248" s="315"/>
      <c r="H248" s="315"/>
      <c r="I248" s="318"/>
      <c r="J248" s="54"/>
      <c r="K248" s="54"/>
    </row>
    <row r="249" ht="14.25" customHeight="1">
      <c r="E249" s="315"/>
      <c r="F249" s="315"/>
      <c r="G249" s="315"/>
      <c r="H249" s="315"/>
      <c r="I249" s="318"/>
      <c r="J249" s="54"/>
      <c r="K249" s="54"/>
    </row>
    <row r="250" ht="14.25" customHeight="1">
      <c r="E250" s="315"/>
      <c r="F250" s="315"/>
      <c r="G250" s="315"/>
      <c r="H250" s="315"/>
      <c r="I250" s="318"/>
      <c r="J250" s="54"/>
      <c r="K250" s="54"/>
    </row>
    <row r="251" ht="14.25" customHeight="1">
      <c r="E251" s="315"/>
      <c r="F251" s="315"/>
      <c r="G251" s="315"/>
      <c r="H251" s="315"/>
      <c r="I251" s="318"/>
      <c r="J251" s="54"/>
      <c r="K251" s="54"/>
    </row>
    <row r="252" ht="14.25" customHeight="1">
      <c r="E252" s="315"/>
      <c r="F252" s="315"/>
      <c r="G252" s="315"/>
      <c r="H252" s="315"/>
      <c r="I252" s="318"/>
      <c r="J252" s="54"/>
      <c r="K252" s="54"/>
    </row>
    <row r="253" ht="14.25" customHeight="1">
      <c r="E253" s="315"/>
      <c r="F253" s="315"/>
      <c r="G253" s="315"/>
      <c r="H253" s="315"/>
      <c r="I253" s="318"/>
      <c r="J253" s="54"/>
      <c r="K253" s="54"/>
    </row>
    <row r="254" ht="14.25" customHeight="1">
      <c r="E254" s="315"/>
      <c r="F254" s="315"/>
      <c r="G254" s="315"/>
      <c r="H254" s="315"/>
      <c r="I254" s="318"/>
      <c r="J254" s="54"/>
      <c r="K254" s="54"/>
    </row>
    <row r="255" ht="14.25" customHeight="1">
      <c r="E255" s="315"/>
      <c r="F255" s="315"/>
      <c r="G255" s="315"/>
      <c r="H255" s="315"/>
      <c r="I255" s="318"/>
      <c r="J255" s="54"/>
      <c r="K255" s="54"/>
    </row>
    <row r="256" ht="14.25" customHeight="1">
      <c r="E256" s="315"/>
      <c r="F256" s="315"/>
      <c r="G256" s="315"/>
      <c r="H256" s="315"/>
      <c r="I256" s="318"/>
      <c r="J256" s="54"/>
      <c r="K256" s="54"/>
    </row>
    <row r="257" ht="14.25" customHeight="1">
      <c r="E257" s="315"/>
      <c r="F257" s="315"/>
      <c r="G257" s="315"/>
      <c r="H257" s="315"/>
      <c r="I257" s="318"/>
      <c r="J257" s="54"/>
      <c r="K257" s="54"/>
    </row>
    <row r="258" ht="14.25" customHeight="1">
      <c r="E258" s="315"/>
      <c r="F258" s="315"/>
      <c r="G258" s="315"/>
      <c r="H258" s="315"/>
      <c r="I258" s="318"/>
      <c r="J258" s="54"/>
      <c r="K258" s="54"/>
    </row>
    <row r="259" ht="14.25" customHeight="1">
      <c r="E259" s="315"/>
      <c r="F259" s="315"/>
      <c r="G259" s="315"/>
      <c r="H259" s="315"/>
      <c r="I259" s="318"/>
      <c r="J259" s="54"/>
      <c r="K259" s="54"/>
    </row>
    <row r="260" ht="14.25" customHeight="1">
      <c r="E260" s="315"/>
      <c r="F260" s="315"/>
      <c r="G260" s="315"/>
      <c r="H260" s="315"/>
      <c r="I260" s="318"/>
      <c r="J260" s="54"/>
      <c r="K260" s="54"/>
    </row>
    <row r="261" ht="14.25" customHeight="1">
      <c r="E261" s="315"/>
      <c r="F261" s="315"/>
      <c r="G261" s="315"/>
      <c r="H261" s="315"/>
      <c r="I261" s="318"/>
      <c r="J261" s="54"/>
      <c r="K261" s="54"/>
    </row>
    <row r="262" ht="14.25" customHeight="1">
      <c r="E262" s="315"/>
      <c r="F262" s="315"/>
      <c r="G262" s="315"/>
      <c r="H262" s="315"/>
      <c r="I262" s="318"/>
      <c r="J262" s="54"/>
      <c r="K262" s="54"/>
    </row>
    <row r="263" ht="14.25" customHeight="1">
      <c r="E263" s="315"/>
      <c r="F263" s="315"/>
      <c r="G263" s="315"/>
      <c r="H263" s="315"/>
      <c r="I263" s="318"/>
      <c r="J263" s="54"/>
      <c r="K263" s="54"/>
    </row>
    <row r="264" ht="14.25" customHeight="1">
      <c r="E264" s="315"/>
      <c r="F264" s="315"/>
      <c r="G264" s="315"/>
      <c r="H264" s="315"/>
      <c r="I264" s="318"/>
      <c r="J264" s="54"/>
      <c r="K264" s="54"/>
    </row>
    <row r="265" ht="14.25" customHeight="1">
      <c r="E265" s="315"/>
      <c r="F265" s="315"/>
      <c r="G265" s="315"/>
      <c r="H265" s="315"/>
      <c r="I265" s="318"/>
      <c r="J265" s="54"/>
      <c r="K265" s="54"/>
    </row>
    <row r="266" ht="14.25" customHeight="1">
      <c r="E266" s="315"/>
      <c r="F266" s="315"/>
      <c r="G266" s="315"/>
      <c r="H266" s="315"/>
      <c r="I266" s="318"/>
      <c r="J266" s="54"/>
      <c r="K266" s="54"/>
    </row>
    <row r="267" ht="14.25" customHeight="1">
      <c r="E267" s="315"/>
      <c r="F267" s="315"/>
      <c r="G267" s="315"/>
      <c r="H267" s="315"/>
      <c r="I267" s="318"/>
      <c r="J267" s="54"/>
      <c r="K267" s="54"/>
    </row>
    <row r="268" ht="14.25" customHeight="1">
      <c r="E268" s="315"/>
      <c r="F268" s="315"/>
      <c r="G268" s="315"/>
      <c r="H268" s="315"/>
      <c r="I268" s="318"/>
      <c r="J268" s="54"/>
      <c r="K268" s="54"/>
    </row>
    <row r="269" ht="14.25" customHeight="1">
      <c r="E269" s="315"/>
      <c r="F269" s="315"/>
      <c r="G269" s="315"/>
      <c r="H269" s="315"/>
      <c r="I269" s="318"/>
      <c r="J269" s="54"/>
      <c r="K269" s="54"/>
    </row>
    <row r="270" ht="14.25" customHeight="1">
      <c r="E270" s="315"/>
      <c r="F270" s="315"/>
      <c r="G270" s="315"/>
      <c r="H270" s="315"/>
      <c r="I270" s="318"/>
      <c r="J270" s="54"/>
      <c r="K270" s="54"/>
    </row>
    <row r="271" ht="14.25" customHeight="1">
      <c r="E271" s="315"/>
      <c r="F271" s="315"/>
      <c r="G271" s="315"/>
      <c r="H271" s="315"/>
      <c r="I271" s="318"/>
      <c r="J271" s="54"/>
      <c r="K271" s="54"/>
    </row>
    <row r="272" ht="14.25" customHeight="1">
      <c r="E272" s="315"/>
      <c r="F272" s="315"/>
      <c r="G272" s="315"/>
      <c r="H272" s="315"/>
      <c r="I272" s="318"/>
      <c r="J272" s="54"/>
      <c r="K272" s="54"/>
    </row>
    <row r="273" ht="14.25" customHeight="1">
      <c r="E273" s="315"/>
      <c r="F273" s="315"/>
      <c r="G273" s="315"/>
      <c r="H273" s="315"/>
      <c r="I273" s="318"/>
      <c r="J273" s="54"/>
      <c r="K273" s="54"/>
    </row>
    <row r="274" ht="14.25" customHeight="1">
      <c r="E274" s="315"/>
      <c r="F274" s="315"/>
      <c r="G274" s="315"/>
      <c r="H274" s="315"/>
      <c r="I274" s="318"/>
      <c r="J274" s="54"/>
      <c r="K274" s="54"/>
    </row>
    <row r="275" ht="14.25" customHeight="1">
      <c r="E275" s="315"/>
      <c r="F275" s="315"/>
      <c r="G275" s="315"/>
      <c r="H275" s="315"/>
      <c r="I275" s="318"/>
      <c r="J275" s="54"/>
      <c r="K275" s="54"/>
    </row>
    <row r="276" ht="14.25" customHeight="1">
      <c r="E276" s="315"/>
      <c r="F276" s="315"/>
      <c r="G276" s="315"/>
      <c r="H276" s="315"/>
      <c r="I276" s="318"/>
      <c r="J276" s="54"/>
      <c r="K276" s="54"/>
    </row>
    <row r="277" ht="14.25" customHeight="1">
      <c r="E277" s="315"/>
      <c r="F277" s="315"/>
      <c r="G277" s="315"/>
      <c r="H277" s="315"/>
      <c r="I277" s="318"/>
      <c r="J277" s="54"/>
      <c r="K277" s="54"/>
    </row>
    <row r="278" ht="14.25" customHeight="1">
      <c r="E278" s="315"/>
      <c r="F278" s="315"/>
      <c r="G278" s="315"/>
      <c r="H278" s="315"/>
      <c r="I278" s="318"/>
      <c r="J278" s="54"/>
      <c r="K278" s="54"/>
    </row>
    <row r="279" ht="14.25" customHeight="1">
      <c r="E279" s="315"/>
      <c r="F279" s="315"/>
      <c r="G279" s="315"/>
      <c r="H279" s="315"/>
      <c r="I279" s="318"/>
      <c r="J279" s="54"/>
      <c r="K279" s="54"/>
    </row>
    <row r="280" ht="14.25" customHeight="1">
      <c r="E280" s="315"/>
      <c r="F280" s="315"/>
      <c r="G280" s="315"/>
      <c r="H280" s="315"/>
      <c r="I280" s="318"/>
      <c r="J280" s="54"/>
      <c r="K280" s="54"/>
    </row>
    <row r="281" ht="14.25" customHeight="1">
      <c r="E281" s="315"/>
      <c r="F281" s="315"/>
      <c r="G281" s="315"/>
      <c r="H281" s="315"/>
      <c r="I281" s="318"/>
      <c r="J281" s="54"/>
      <c r="K281" s="54"/>
    </row>
    <row r="282" ht="14.25" customHeight="1">
      <c r="E282" s="315"/>
      <c r="F282" s="315"/>
      <c r="G282" s="315"/>
      <c r="H282" s="315"/>
      <c r="I282" s="318"/>
      <c r="J282" s="54"/>
      <c r="K282" s="54"/>
    </row>
    <row r="283" ht="14.25" customHeight="1">
      <c r="E283" s="315"/>
      <c r="F283" s="315"/>
      <c r="G283" s="315"/>
      <c r="H283" s="315"/>
      <c r="I283" s="318"/>
      <c r="J283" s="54"/>
      <c r="K283" s="54"/>
    </row>
    <row r="284" ht="14.25" customHeight="1">
      <c r="E284" s="315"/>
      <c r="F284" s="315"/>
      <c r="G284" s="315"/>
      <c r="H284" s="315"/>
      <c r="I284" s="318"/>
      <c r="J284" s="54"/>
      <c r="K284" s="54"/>
    </row>
    <row r="285" ht="14.25" customHeight="1">
      <c r="E285" s="315"/>
      <c r="F285" s="315"/>
      <c r="G285" s="315"/>
      <c r="H285" s="315"/>
      <c r="I285" s="318"/>
      <c r="J285" s="54"/>
      <c r="K285" s="54"/>
    </row>
    <row r="286" ht="14.25" customHeight="1">
      <c r="E286" s="315"/>
      <c r="F286" s="315"/>
      <c r="G286" s="315"/>
      <c r="H286" s="315"/>
      <c r="I286" s="318"/>
      <c r="J286" s="54"/>
      <c r="K286" s="54"/>
    </row>
    <row r="287" ht="14.25" customHeight="1">
      <c r="E287" s="315"/>
      <c r="F287" s="315"/>
      <c r="G287" s="315"/>
      <c r="H287" s="315"/>
      <c r="I287" s="318"/>
      <c r="J287" s="54"/>
      <c r="K287" s="54"/>
    </row>
    <row r="288" ht="14.25" customHeight="1">
      <c r="E288" s="315"/>
      <c r="F288" s="315"/>
      <c r="G288" s="315"/>
      <c r="H288" s="315"/>
      <c r="I288" s="318"/>
      <c r="J288" s="54"/>
      <c r="K288" s="54"/>
    </row>
    <row r="289" ht="14.25" customHeight="1">
      <c r="E289" s="315"/>
      <c r="F289" s="315"/>
      <c r="G289" s="315"/>
      <c r="H289" s="315"/>
      <c r="I289" s="318"/>
      <c r="J289" s="54"/>
      <c r="K289" s="54"/>
    </row>
    <row r="290" ht="14.25" customHeight="1">
      <c r="E290" s="315"/>
      <c r="F290" s="315"/>
      <c r="G290" s="315"/>
      <c r="H290" s="315"/>
      <c r="I290" s="318"/>
      <c r="J290" s="54"/>
      <c r="K290" s="54"/>
    </row>
    <row r="291" ht="14.25" customHeight="1">
      <c r="E291" s="315"/>
      <c r="F291" s="315"/>
      <c r="G291" s="315"/>
      <c r="H291" s="315"/>
      <c r="I291" s="318"/>
      <c r="J291" s="54"/>
      <c r="K291" s="54"/>
    </row>
    <row r="292" ht="14.25" customHeight="1">
      <c r="E292" s="315"/>
      <c r="F292" s="315"/>
      <c r="G292" s="315"/>
      <c r="H292" s="315"/>
      <c r="I292" s="318"/>
      <c r="J292" s="54"/>
      <c r="K292" s="54"/>
    </row>
    <row r="293" ht="14.25" customHeight="1">
      <c r="E293" s="315"/>
      <c r="F293" s="315"/>
      <c r="G293" s="315"/>
      <c r="H293" s="315"/>
      <c r="I293" s="318"/>
      <c r="J293" s="54"/>
      <c r="K293" s="54"/>
    </row>
    <row r="294" ht="14.25" customHeight="1">
      <c r="E294" s="315"/>
      <c r="F294" s="315"/>
      <c r="G294" s="315"/>
      <c r="H294" s="315"/>
      <c r="I294" s="318"/>
      <c r="J294" s="54"/>
      <c r="K294" s="54"/>
    </row>
    <row r="295" ht="14.25" customHeight="1">
      <c r="E295" s="315"/>
      <c r="F295" s="315"/>
      <c r="G295" s="315"/>
      <c r="H295" s="315"/>
      <c r="I295" s="318"/>
      <c r="J295" s="54"/>
      <c r="K295" s="54"/>
    </row>
    <row r="296" ht="14.25" customHeight="1">
      <c r="E296" s="315"/>
      <c r="F296" s="315"/>
      <c r="G296" s="315"/>
      <c r="H296" s="315"/>
      <c r="I296" s="318"/>
      <c r="J296" s="54"/>
      <c r="K296" s="54"/>
    </row>
    <row r="297" ht="14.25" customHeight="1">
      <c r="E297" s="315"/>
      <c r="F297" s="315"/>
      <c r="G297" s="315"/>
      <c r="H297" s="315"/>
      <c r="I297" s="318"/>
      <c r="J297" s="54"/>
      <c r="K297" s="54"/>
    </row>
    <row r="298" ht="14.25" customHeight="1">
      <c r="E298" s="315"/>
      <c r="F298" s="315"/>
      <c r="G298" s="315"/>
      <c r="H298" s="315"/>
      <c r="I298" s="318"/>
      <c r="J298" s="54"/>
      <c r="K298" s="54"/>
    </row>
    <row r="299" ht="14.25" customHeight="1">
      <c r="E299" s="315"/>
      <c r="F299" s="315"/>
      <c r="G299" s="315"/>
      <c r="H299" s="315"/>
      <c r="I299" s="318"/>
      <c r="J299" s="54"/>
      <c r="K299" s="54"/>
    </row>
    <row r="300" ht="14.25" customHeight="1">
      <c r="E300" s="315"/>
      <c r="F300" s="315"/>
      <c r="G300" s="315"/>
      <c r="H300" s="315"/>
      <c r="I300" s="318"/>
      <c r="J300" s="54"/>
      <c r="K300" s="54"/>
    </row>
    <row r="301" ht="14.25" customHeight="1">
      <c r="E301" s="315"/>
      <c r="F301" s="315"/>
      <c r="G301" s="315"/>
      <c r="H301" s="315"/>
      <c r="I301" s="318"/>
      <c r="J301" s="54"/>
      <c r="K301" s="54"/>
    </row>
    <row r="302" ht="14.25" customHeight="1">
      <c r="E302" s="315"/>
      <c r="F302" s="315"/>
      <c r="G302" s="315"/>
      <c r="H302" s="315"/>
      <c r="I302" s="318"/>
      <c r="J302" s="54"/>
      <c r="K302" s="54"/>
    </row>
    <row r="303" ht="14.25" customHeight="1">
      <c r="E303" s="315"/>
      <c r="F303" s="315"/>
      <c r="G303" s="315"/>
      <c r="H303" s="315"/>
      <c r="I303" s="318"/>
      <c r="J303" s="54"/>
      <c r="K303" s="54"/>
    </row>
    <row r="304" ht="14.25" customHeight="1">
      <c r="E304" s="315"/>
      <c r="F304" s="315"/>
      <c r="G304" s="315"/>
      <c r="H304" s="315"/>
      <c r="I304" s="318"/>
      <c r="J304" s="54"/>
      <c r="K304" s="54"/>
    </row>
    <row r="305" ht="14.25" customHeight="1">
      <c r="E305" s="315"/>
      <c r="F305" s="315"/>
      <c r="G305" s="315"/>
      <c r="H305" s="315"/>
      <c r="I305" s="318"/>
      <c r="J305" s="54"/>
      <c r="K305" s="54"/>
    </row>
    <row r="306" ht="14.25" customHeight="1">
      <c r="E306" s="315"/>
      <c r="F306" s="315"/>
      <c r="G306" s="315"/>
      <c r="H306" s="315"/>
      <c r="I306" s="318"/>
      <c r="J306" s="54"/>
      <c r="K306" s="54"/>
    </row>
    <row r="307" ht="14.25" customHeight="1">
      <c r="E307" s="315"/>
      <c r="F307" s="315"/>
      <c r="G307" s="315"/>
      <c r="H307" s="315"/>
      <c r="I307" s="318"/>
      <c r="J307" s="54"/>
      <c r="K307" s="54"/>
    </row>
    <row r="308" ht="14.25" customHeight="1">
      <c r="E308" s="315"/>
      <c r="F308" s="315"/>
      <c r="G308" s="315"/>
      <c r="H308" s="315"/>
      <c r="I308" s="318"/>
      <c r="J308" s="54"/>
      <c r="K308" s="54"/>
    </row>
    <row r="309" ht="14.25" customHeight="1">
      <c r="E309" s="315"/>
      <c r="F309" s="315"/>
      <c r="G309" s="315"/>
      <c r="H309" s="315"/>
      <c r="I309" s="318"/>
      <c r="J309" s="54"/>
      <c r="K309" s="54"/>
    </row>
    <row r="310" ht="14.25" customHeight="1">
      <c r="E310" s="315"/>
      <c r="F310" s="315"/>
      <c r="G310" s="315"/>
      <c r="H310" s="315"/>
      <c r="I310" s="318"/>
      <c r="J310" s="54"/>
      <c r="K310" s="54"/>
    </row>
    <row r="311" ht="14.25" customHeight="1">
      <c r="E311" s="315"/>
      <c r="F311" s="315"/>
      <c r="G311" s="315"/>
      <c r="H311" s="315"/>
      <c r="I311" s="318"/>
      <c r="J311" s="54"/>
      <c r="K311" s="54"/>
    </row>
    <row r="312" ht="14.25" customHeight="1">
      <c r="E312" s="315"/>
      <c r="F312" s="315"/>
      <c r="G312" s="315"/>
      <c r="H312" s="315"/>
      <c r="I312" s="318"/>
      <c r="J312" s="54"/>
      <c r="K312" s="54"/>
    </row>
    <row r="313" ht="14.25" customHeight="1">
      <c r="E313" s="315"/>
      <c r="F313" s="315"/>
      <c r="G313" s="315"/>
      <c r="H313" s="315"/>
      <c r="I313" s="318"/>
      <c r="J313" s="54"/>
      <c r="K313" s="54"/>
    </row>
    <row r="314" ht="14.25" customHeight="1">
      <c r="E314" s="315"/>
      <c r="F314" s="315"/>
      <c r="G314" s="315"/>
      <c r="H314" s="315"/>
      <c r="I314" s="318"/>
      <c r="J314" s="54"/>
      <c r="K314" s="54"/>
    </row>
    <row r="315" ht="14.25" customHeight="1">
      <c r="E315" s="315"/>
      <c r="F315" s="315"/>
      <c r="G315" s="315"/>
      <c r="H315" s="315"/>
      <c r="I315" s="318"/>
      <c r="J315" s="54"/>
      <c r="K315" s="54"/>
    </row>
    <row r="316" ht="14.25" customHeight="1">
      <c r="E316" s="315"/>
      <c r="F316" s="315"/>
      <c r="G316" s="315"/>
      <c r="H316" s="315"/>
      <c r="I316" s="318"/>
      <c r="J316" s="54"/>
      <c r="K316" s="54"/>
    </row>
    <row r="317" ht="14.25" customHeight="1">
      <c r="E317" s="315"/>
      <c r="F317" s="315"/>
      <c r="G317" s="315"/>
      <c r="H317" s="315"/>
      <c r="I317" s="318"/>
      <c r="J317" s="54"/>
      <c r="K317" s="54"/>
    </row>
    <row r="318" ht="14.25" customHeight="1">
      <c r="E318" s="315"/>
      <c r="F318" s="315"/>
      <c r="G318" s="315"/>
      <c r="H318" s="315"/>
      <c r="I318" s="318"/>
      <c r="J318" s="54"/>
      <c r="K318" s="54"/>
    </row>
    <row r="319" ht="14.25" customHeight="1">
      <c r="E319" s="315"/>
      <c r="F319" s="315"/>
      <c r="G319" s="315"/>
      <c r="H319" s="315"/>
      <c r="I319" s="318"/>
      <c r="J319" s="54"/>
      <c r="K319" s="54"/>
    </row>
    <row r="320" ht="14.25" customHeight="1">
      <c r="E320" s="315"/>
      <c r="F320" s="315"/>
      <c r="G320" s="315"/>
      <c r="H320" s="315"/>
      <c r="I320" s="318"/>
      <c r="J320" s="54"/>
      <c r="K320" s="54"/>
    </row>
    <row r="321" ht="14.25" customHeight="1">
      <c r="E321" s="315"/>
      <c r="F321" s="315"/>
      <c r="G321" s="315"/>
      <c r="H321" s="315"/>
      <c r="I321" s="318"/>
      <c r="J321" s="54"/>
      <c r="K321" s="54"/>
    </row>
    <row r="322" ht="14.25" customHeight="1">
      <c r="E322" s="315"/>
      <c r="F322" s="315"/>
      <c r="G322" s="315"/>
      <c r="H322" s="315"/>
      <c r="I322" s="318"/>
      <c r="J322" s="54"/>
      <c r="K322" s="54"/>
    </row>
    <row r="323" ht="14.25" customHeight="1">
      <c r="E323" s="315"/>
      <c r="F323" s="315"/>
      <c r="G323" s="315"/>
      <c r="H323" s="315"/>
      <c r="I323" s="318"/>
      <c r="J323" s="54"/>
      <c r="K323" s="54"/>
    </row>
    <row r="324" ht="14.25" customHeight="1">
      <c r="E324" s="315"/>
      <c r="F324" s="315"/>
      <c r="G324" s="315"/>
      <c r="H324" s="315"/>
      <c r="I324" s="318"/>
      <c r="J324" s="54"/>
      <c r="K324" s="54"/>
    </row>
    <row r="325" ht="14.25" customHeight="1">
      <c r="E325" s="315"/>
      <c r="F325" s="315"/>
      <c r="G325" s="315"/>
      <c r="H325" s="315"/>
      <c r="I325" s="318"/>
      <c r="J325" s="54"/>
      <c r="K325" s="54"/>
    </row>
    <row r="326" ht="14.25" customHeight="1">
      <c r="E326" s="315"/>
      <c r="F326" s="315"/>
      <c r="G326" s="315"/>
      <c r="H326" s="315"/>
      <c r="I326" s="318"/>
      <c r="J326" s="54"/>
      <c r="K326" s="54"/>
    </row>
    <row r="327" ht="14.25" customHeight="1">
      <c r="E327" s="315"/>
      <c r="F327" s="315"/>
      <c r="G327" s="315"/>
      <c r="H327" s="315"/>
      <c r="I327" s="318"/>
      <c r="J327" s="54"/>
      <c r="K327" s="54"/>
    </row>
    <row r="328" ht="14.25" customHeight="1">
      <c r="E328" s="315"/>
      <c r="F328" s="315"/>
      <c r="G328" s="315"/>
      <c r="H328" s="315"/>
      <c r="I328" s="318"/>
      <c r="J328" s="54"/>
      <c r="K328" s="54"/>
    </row>
    <row r="329" ht="14.25" customHeight="1">
      <c r="E329" s="315"/>
      <c r="F329" s="315"/>
      <c r="G329" s="315"/>
      <c r="H329" s="315"/>
      <c r="I329" s="318"/>
      <c r="J329" s="54"/>
      <c r="K329" s="54"/>
    </row>
    <row r="330" ht="14.25" customHeight="1">
      <c r="E330" s="315"/>
      <c r="F330" s="315"/>
      <c r="G330" s="315"/>
      <c r="H330" s="315"/>
      <c r="I330" s="318"/>
      <c r="J330" s="54"/>
      <c r="K330" s="54"/>
    </row>
    <row r="331" ht="14.25" customHeight="1">
      <c r="E331" s="315"/>
      <c r="F331" s="315"/>
      <c r="G331" s="315"/>
      <c r="H331" s="315"/>
      <c r="I331" s="318"/>
      <c r="J331" s="54"/>
      <c r="K331" s="54"/>
    </row>
    <row r="332" ht="14.25" customHeight="1">
      <c r="E332" s="315"/>
      <c r="F332" s="315"/>
      <c r="G332" s="315"/>
      <c r="H332" s="315"/>
      <c r="I332" s="318"/>
      <c r="J332" s="54"/>
      <c r="K332" s="54"/>
    </row>
    <row r="333" ht="14.25" customHeight="1">
      <c r="E333" s="315"/>
      <c r="F333" s="315"/>
      <c r="G333" s="315"/>
      <c r="H333" s="315"/>
      <c r="I333" s="318"/>
      <c r="J333" s="54"/>
      <c r="K333" s="54"/>
    </row>
    <row r="334" ht="14.25" customHeight="1">
      <c r="E334" s="315"/>
      <c r="F334" s="315"/>
      <c r="G334" s="315"/>
      <c r="H334" s="315"/>
      <c r="I334" s="318"/>
      <c r="J334" s="54"/>
      <c r="K334" s="54"/>
    </row>
    <row r="335" ht="14.25" customHeight="1">
      <c r="E335" s="315"/>
      <c r="F335" s="315"/>
      <c r="G335" s="315"/>
      <c r="H335" s="315"/>
      <c r="I335" s="318"/>
      <c r="J335" s="54"/>
      <c r="K335" s="54"/>
    </row>
    <row r="336" ht="14.25" customHeight="1">
      <c r="E336" s="315"/>
      <c r="F336" s="315"/>
      <c r="G336" s="315"/>
      <c r="H336" s="315"/>
      <c r="I336" s="318"/>
      <c r="J336" s="54"/>
      <c r="K336" s="54"/>
    </row>
    <row r="337" ht="14.25" customHeight="1">
      <c r="E337" s="315"/>
      <c r="F337" s="315"/>
      <c r="G337" s="315"/>
      <c r="H337" s="315"/>
      <c r="I337" s="318"/>
      <c r="J337" s="54"/>
      <c r="K337" s="54"/>
    </row>
    <row r="338" ht="14.25" customHeight="1">
      <c r="E338" s="315"/>
      <c r="F338" s="315"/>
      <c r="G338" s="315"/>
      <c r="H338" s="315"/>
      <c r="I338" s="318"/>
      <c r="J338" s="54"/>
      <c r="K338" s="54"/>
    </row>
    <row r="339" ht="14.25" customHeight="1">
      <c r="E339" s="315"/>
      <c r="F339" s="315"/>
      <c r="G339" s="315"/>
      <c r="H339" s="315"/>
      <c r="I339" s="318"/>
      <c r="J339" s="54"/>
      <c r="K339" s="54"/>
    </row>
    <row r="340" ht="14.25" customHeight="1">
      <c r="E340" s="315"/>
      <c r="F340" s="315"/>
      <c r="G340" s="315"/>
      <c r="H340" s="315"/>
      <c r="I340" s="318"/>
      <c r="J340" s="54"/>
      <c r="K340" s="54"/>
    </row>
    <row r="341" ht="14.25" customHeight="1">
      <c r="E341" s="315"/>
      <c r="F341" s="315"/>
      <c r="G341" s="315"/>
      <c r="H341" s="315"/>
      <c r="I341" s="318"/>
      <c r="J341" s="54"/>
      <c r="K341" s="54"/>
    </row>
    <row r="342" ht="14.25" customHeight="1">
      <c r="E342" s="315"/>
      <c r="F342" s="315"/>
      <c r="G342" s="315"/>
      <c r="H342" s="315"/>
      <c r="I342" s="318"/>
      <c r="J342" s="54"/>
      <c r="K342" s="54"/>
    </row>
    <row r="343" ht="14.25" customHeight="1">
      <c r="E343" s="315"/>
      <c r="F343" s="315"/>
      <c r="G343" s="315"/>
      <c r="H343" s="315"/>
      <c r="I343" s="318"/>
      <c r="J343" s="54"/>
      <c r="K343" s="54"/>
    </row>
    <row r="344" ht="14.25" customHeight="1">
      <c r="E344" s="315"/>
      <c r="F344" s="315"/>
      <c r="G344" s="315"/>
      <c r="H344" s="315"/>
      <c r="I344" s="318"/>
      <c r="J344" s="54"/>
      <c r="K344" s="54"/>
    </row>
    <row r="345" ht="14.25" customHeight="1">
      <c r="E345" s="315"/>
      <c r="F345" s="315"/>
      <c r="G345" s="315"/>
      <c r="H345" s="315"/>
      <c r="I345" s="318"/>
      <c r="J345" s="54"/>
      <c r="K345" s="54"/>
    </row>
    <row r="346" ht="14.25" customHeight="1">
      <c r="E346" s="315"/>
      <c r="F346" s="315"/>
      <c r="G346" s="315"/>
      <c r="H346" s="315"/>
      <c r="I346" s="318"/>
      <c r="J346" s="54"/>
      <c r="K346" s="54"/>
    </row>
    <row r="347" ht="14.25" customHeight="1">
      <c r="E347" s="315"/>
      <c r="F347" s="315"/>
      <c r="G347" s="315"/>
      <c r="H347" s="315"/>
      <c r="I347" s="318"/>
      <c r="J347" s="54"/>
      <c r="K347" s="54"/>
    </row>
    <row r="348" ht="14.25" customHeight="1">
      <c r="E348" s="315"/>
      <c r="F348" s="315"/>
      <c r="G348" s="315"/>
      <c r="H348" s="315"/>
      <c r="I348" s="318"/>
      <c r="J348" s="54"/>
      <c r="K348" s="54"/>
    </row>
    <row r="349" ht="14.25" customHeight="1">
      <c r="E349" s="315"/>
      <c r="F349" s="315"/>
      <c r="G349" s="315"/>
      <c r="H349" s="315"/>
      <c r="I349" s="318"/>
      <c r="J349" s="54"/>
      <c r="K349" s="54"/>
    </row>
    <row r="350" ht="14.25" customHeight="1">
      <c r="E350" s="315"/>
      <c r="F350" s="315"/>
      <c r="G350" s="315"/>
      <c r="H350" s="315"/>
      <c r="I350" s="318"/>
      <c r="J350" s="54"/>
      <c r="K350" s="54"/>
    </row>
    <row r="351" ht="14.25" customHeight="1">
      <c r="E351" s="315"/>
      <c r="F351" s="315"/>
      <c r="G351" s="315"/>
      <c r="H351" s="315"/>
      <c r="I351" s="318"/>
      <c r="J351" s="54"/>
      <c r="K351" s="54"/>
    </row>
    <row r="352" ht="14.25" customHeight="1">
      <c r="E352" s="315"/>
      <c r="F352" s="315"/>
      <c r="G352" s="315"/>
      <c r="H352" s="315"/>
      <c r="I352" s="318"/>
      <c r="J352" s="54"/>
      <c r="K352" s="54"/>
    </row>
    <row r="353" ht="14.25" customHeight="1">
      <c r="E353" s="315"/>
      <c r="F353" s="315"/>
      <c r="G353" s="315"/>
      <c r="H353" s="315"/>
      <c r="I353" s="318"/>
      <c r="J353" s="54"/>
      <c r="K353" s="54"/>
    </row>
    <row r="354" ht="14.25" customHeight="1">
      <c r="E354" s="315"/>
      <c r="F354" s="315"/>
      <c r="G354" s="315"/>
      <c r="H354" s="315"/>
      <c r="I354" s="318"/>
      <c r="J354" s="54"/>
      <c r="K354" s="54"/>
    </row>
    <row r="355" ht="14.25" customHeight="1">
      <c r="E355" s="315"/>
      <c r="F355" s="315"/>
      <c r="G355" s="315"/>
      <c r="H355" s="315"/>
      <c r="I355" s="318"/>
      <c r="J355" s="54"/>
      <c r="K355" s="54"/>
    </row>
    <row r="356" ht="14.25" customHeight="1">
      <c r="E356" s="315"/>
      <c r="F356" s="315"/>
      <c r="G356" s="315"/>
      <c r="H356" s="315"/>
      <c r="I356" s="318"/>
      <c r="J356" s="54"/>
      <c r="K356" s="54"/>
    </row>
    <row r="357" ht="14.25" customHeight="1">
      <c r="E357" s="315"/>
      <c r="F357" s="315"/>
      <c r="G357" s="315"/>
      <c r="H357" s="315"/>
      <c r="I357" s="318"/>
      <c r="J357" s="54"/>
      <c r="K357" s="54"/>
    </row>
    <row r="358" ht="14.25" customHeight="1">
      <c r="E358" s="315"/>
      <c r="F358" s="315"/>
      <c r="G358" s="315"/>
      <c r="H358" s="315"/>
      <c r="I358" s="318"/>
      <c r="J358" s="54"/>
      <c r="K358" s="54"/>
    </row>
    <row r="359" ht="14.25" customHeight="1">
      <c r="E359" s="315"/>
      <c r="F359" s="315"/>
      <c r="G359" s="315"/>
      <c r="H359" s="315"/>
      <c r="I359" s="318"/>
      <c r="J359" s="54"/>
      <c r="K359" s="54"/>
    </row>
    <row r="360" ht="14.25" customHeight="1">
      <c r="E360" s="315"/>
      <c r="F360" s="315"/>
      <c r="G360" s="315"/>
      <c r="H360" s="315"/>
      <c r="I360" s="318"/>
      <c r="J360" s="54"/>
      <c r="K360" s="54"/>
    </row>
    <row r="361" ht="14.25" customHeight="1">
      <c r="E361" s="315"/>
      <c r="F361" s="315"/>
      <c r="G361" s="315"/>
      <c r="H361" s="315"/>
      <c r="I361" s="318"/>
      <c r="J361" s="54"/>
      <c r="K361" s="54"/>
    </row>
    <row r="362" ht="14.25" customHeight="1">
      <c r="E362" s="315"/>
      <c r="F362" s="315"/>
      <c r="G362" s="315"/>
      <c r="H362" s="315"/>
      <c r="I362" s="318"/>
      <c r="J362" s="54"/>
      <c r="K362" s="54"/>
    </row>
    <row r="363" ht="14.25" customHeight="1">
      <c r="E363" s="315"/>
      <c r="F363" s="315"/>
      <c r="G363" s="315"/>
      <c r="H363" s="315"/>
      <c r="I363" s="318"/>
      <c r="J363" s="54"/>
      <c r="K363" s="54"/>
    </row>
    <row r="364" ht="14.25" customHeight="1">
      <c r="E364" s="315"/>
      <c r="F364" s="315"/>
      <c r="G364" s="315"/>
      <c r="H364" s="315"/>
      <c r="I364" s="318"/>
      <c r="J364" s="54"/>
      <c r="K364" s="54"/>
    </row>
    <row r="365" ht="14.25" customHeight="1">
      <c r="E365" s="315"/>
      <c r="F365" s="315"/>
      <c r="G365" s="315"/>
      <c r="H365" s="315"/>
      <c r="I365" s="318"/>
      <c r="J365" s="54"/>
      <c r="K365" s="54"/>
    </row>
    <row r="366" ht="14.25" customHeight="1">
      <c r="E366" s="315"/>
      <c r="F366" s="315"/>
      <c r="G366" s="315"/>
      <c r="H366" s="315"/>
      <c r="I366" s="318"/>
      <c r="J366" s="54"/>
      <c r="K366" s="54"/>
    </row>
    <row r="367" ht="14.25" customHeight="1">
      <c r="E367" s="315"/>
      <c r="F367" s="315"/>
      <c r="G367" s="315"/>
      <c r="H367" s="315"/>
      <c r="I367" s="318"/>
      <c r="J367" s="54"/>
      <c r="K367" s="54"/>
    </row>
    <row r="368" ht="14.25" customHeight="1">
      <c r="E368" s="315"/>
      <c r="F368" s="315"/>
      <c r="G368" s="315"/>
      <c r="H368" s="315"/>
      <c r="I368" s="318"/>
      <c r="J368" s="54"/>
      <c r="K368" s="54"/>
    </row>
    <row r="369" ht="14.25" customHeight="1">
      <c r="E369" s="315"/>
      <c r="F369" s="315"/>
      <c r="G369" s="315"/>
      <c r="H369" s="315"/>
      <c r="I369" s="318"/>
      <c r="J369" s="54"/>
      <c r="K369" s="54"/>
    </row>
    <row r="370" ht="14.25" customHeight="1">
      <c r="E370" s="315"/>
      <c r="F370" s="315"/>
      <c r="G370" s="315"/>
      <c r="H370" s="315"/>
      <c r="I370" s="318"/>
      <c r="J370" s="54"/>
      <c r="K370" s="54"/>
    </row>
    <row r="371" ht="14.25" customHeight="1">
      <c r="E371" s="315"/>
      <c r="F371" s="315"/>
      <c r="G371" s="315"/>
      <c r="H371" s="315"/>
      <c r="I371" s="318"/>
      <c r="J371" s="54"/>
      <c r="K371" s="54"/>
    </row>
    <row r="372" ht="14.25" customHeight="1">
      <c r="E372" s="315"/>
      <c r="F372" s="315"/>
      <c r="G372" s="315"/>
      <c r="H372" s="315"/>
      <c r="I372" s="318"/>
      <c r="J372" s="54"/>
      <c r="K372" s="54"/>
    </row>
    <row r="373" ht="14.25" customHeight="1">
      <c r="E373" s="315"/>
      <c r="F373" s="315"/>
      <c r="G373" s="315"/>
      <c r="H373" s="315"/>
      <c r="I373" s="318"/>
      <c r="J373" s="54"/>
      <c r="K373" s="54"/>
    </row>
    <row r="374" ht="14.25" customHeight="1">
      <c r="E374" s="315"/>
      <c r="F374" s="315"/>
      <c r="G374" s="315"/>
      <c r="H374" s="315"/>
      <c r="I374" s="318"/>
      <c r="J374" s="54"/>
      <c r="K374" s="54"/>
    </row>
    <row r="375" ht="14.25" customHeight="1">
      <c r="E375" s="315"/>
      <c r="F375" s="315"/>
      <c r="G375" s="315"/>
      <c r="H375" s="315"/>
      <c r="I375" s="318"/>
      <c r="J375" s="54"/>
      <c r="K375" s="54"/>
    </row>
    <row r="376" ht="14.25" customHeight="1">
      <c r="E376" s="315"/>
      <c r="F376" s="315"/>
      <c r="G376" s="315"/>
      <c r="H376" s="315"/>
      <c r="I376" s="318"/>
      <c r="J376" s="54"/>
      <c r="K376" s="54"/>
    </row>
    <row r="377" ht="14.25" customHeight="1">
      <c r="E377" s="315"/>
      <c r="F377" s="315"/>
      <c r="G377" s="315"/>
      <c r="H377" s="315"/>
      <c r="I377" s="318"/>
      <c r="J377" s="54"/>
      <c r="K377" s="54"/>
    </row>
    <row r="378" ht="14.25" customHeight="1">
      <c r="E378" s="315"/>
      <c r="F378" s="315"/>
      <c r="G378" s="315"/>
      <c r="H378" s="315"/>
      <c r="I378" s="318"/>
      <c r="J378" s="54"/>
      <c r="K378" s="54"/>
    </row>
    <row r="379" ht="14.25" customHeight="1">
      <c r="E379" s="315"/>
      <c r="F379" s="315"/>
      <c r="G379" s="315"/>
      <c r="H379" s="315"/>
      <c r="I379" s="318"/>
      <c r="J379" s="54"/>
      <c r="K379" s="54"/>
    </row>
    <row r="380" ht="14.25" customHeight="1">
      <c r="E380" s="315"/>
      <c r="F380" s="315"/>
      <c r="G380" s="315"/>
      <c r="H380" s="315"/>
      <c r="I380" s="318"/>
      <c r="J380" s="54"/>
      <c r="K380" s="54"/>
    </row>
    <row r="381" ht="14.25" customHeight="1">
      <c r="E381" s="315"/>
      <c r="F381" s="315"/>
      <c r="G381" s="315"/>
      <c r="H381" s="315"/>
      <c r="I381" s="318"/>
      <c r="J381" s="54"/>
      <c r="K381" s="54"/>
    </row>
    <row r="382" ht="14.25" customHeight="1">
      <c r="E382" s="315"/>
      <c r="F382" s="315"/>
      <c r="G382" s="315"/>
      <c r="H382" s="315"/>
      <c r="I382" s="318"/>
      <c r="J382" s="54"/>
      <c r="K382" s="54"/>
    </row>
    <row r="383" ht="14.25" customHeight="1">
      <c r="E383" s="315"/>
      <c r="F383" s="315"/>
      <c r="G383" s="315"/>
      <c r="H383" s="315"/>
      <c r="I383" s="318"/>
      <c r="J383" s="54"/>
      <c r="K383" s="54"/>
    </row>
    <row r="384" ht="14.25" customHeight="1">
      <c r="E384" s="315"/>
      <c r="F384" s="315"/>
      <c r="G384" s="315"/>
      <c r="H384" s="315"/>
      <c r="I384" s="318"/>
      <c r="J384" s="54"/>
      <c r="K384" s="54"/>
    </row>
    <row r="385" ht="14.25" customHeight="1">
      <c r="E385" s="315"/>
      <c r="F385" s="315"/>
      <c r="G385" s="315"/>
      <c r="H385" s="315"/>
      <c r="I385" s="318"/>
      <c r="J385" s="54"/>
      <c r="K385" s="54"/>
    </row>
    <row r="386" ht="14.25" customHeight="1">
      <c r="E386" s="315"/>
      <c r="F386" s="315"/>
      <c r="G386" s="315"/>
      <c r="H386" s="315"/>
      <c r="I386" s="318"/>
      <c r="J386" s="54"/>
      <c r="K386" s="54"/>
    </row>
    <row r="387" ht="14.25" customHeight="1">
      <c r="E387" s="315"/>
      <c r="F387" s="315"/>
      <c r="G387" s="315"/>
      <c r="H387" s="315"/>
      <c r="I387" s="318"/>
      <c r="J387" s="54"/>
      <c r="K387" s="54"/>
    </row>
    <row r="388" ht="14.25" customHeight="1">
      <c r="E388" s="315"/>
      <c r="F388" s="315"/>
      <c r="G388" s="315"/>
      <c r="H388" s="315"/>
      <c r="I388" s="318"/>
      <c r="J388" s="54"/>
      <c r="K388" s="54"/>
    </row>
    <row r="389" ht="14.25" customHeight="1">
      <c r="E389" s="315"/>
      <c r="F389" s="315"/>
      <c r="G389" s="315"/>
      <c r="H389" s="315"/>
      <c r="I389" s="318"/>
      <c r="J389" s="54"/>
      <c r="K389" s="54"/>
    </row>
    <row r="390" ht="14.25" customHeight="1">
      <c r="E390" s="315"/>
      <c r="F390" s="315"/>
      <c r="G390" s="315"/>
      <c r="H390" s="315"/>
      <c r="I390" s="318"/>
      <c r="J390" s="54"/>
      <c r="K390" s="54"/>
    </row>
    <row r="391" ht="14.25" customHeight="1">
      <c r="E391" s="315"/>
      <c r="F391" s="315"/>
      <c r="G391" s="315"/>
      <c r="H391" s="315"/>
      <c r="I391" s="318"/>
      <c r="J391" s="54"/>
      <c r="K391" s="54"/>
    </row>
    <row r="392" ht="14.25" customHeight="1">
      <c r="E392" s="315"/>
      <c r="F392" s="315"/>
      <c r="G392" s="315"/>
      <c r="H392" s="315"/>
      <c r="I392" s="318"/>
      <c r="J392" s="54"/>
      <c r="K392" s="54"/>
    </row>
    <row r="393" ht="14.25" customHeight="1">
      <c r="E393" s="315"/>
      <c r="F393" s="315"/>
      <c r="G393" s="315"/>
      <c r="H393" s="315"/>
      <c r="I393" s="318"/>
      <c r="J393" s="54"/>
      <c r="K393" s="54"/>
    </row>
    <row r="394" ht="14.25" customHeight="1">
      <c r="E394" s="315"/>
      <c r="F394" s="315"/>
      <c r="G394" s="315"/>
      <c r="H394" s="315"/>
      <c r="I394" s="318"/>
      <c r="J394" s="54"/>
      <c r="K394" s="54"/>
    </row>
    <row r="395" ht="14.25" customHeight="1">
      <c r="E395" s="315"/>
      <c r="F395" s="315"/>
      <c r="G395" s="315"/>
      <c r="H395" s="315"/>
      <c r="I395" s="318"/>
      <c r="J395" s="54"/>
      <c r="K395" s="54"/>
    </row>
    <row r="396" ht="14.25" customHeight="1">
      <c r="E396" s="315"/>
      <c r="F396" s="315"/>
      <c r="G396" s="315"/>
      <c r="H396" s="315"/>
      <c r="I396" s="318"/>
      <c r="J396" s="54"/>
      <c r="K396" s="54"/>
    </row>
    <row r="397" ht="14.25" customHeight="1">
      <c r="E397" s="315"/>
      <c r="F397" s="315"/>
      <c r="G397" s="315"/>
      <c r="H397" s="315"/>
      <c r="I397" s="318"/>
      <c r="J397" s="54"/>
      <c r="K397" s="54"/>
    </row>
    <row r="398" ht="14.25" customHeight="1">
      <c r="E398" s="315"/>
      <c r="F398" s="315"/>
      <c r="G398" s="315"/>
      <c r="H398" s="315"/>
      <c r="I398" s="318"/>
      <c r="J398" s="54"/>
      <c r="K398" s="54"/>
    </row>
    <row r="399" ht="14.25" customHeight="1">
      <c r="E399" s="315"/>
      <c r="F399" s="315"/>
      <c r="G399" s="315"/>
      <c r="H399" s="315"/>
      <c r="I399" s="318"/>
      <c r="J399" s="54"/>
      <c r="K399" s="54"/>
    </row>
    <row r="400" ht="14.25" customHeight="1">
      <c r="E400" s="315"/>
      <c r="F400" s="315"/>
      <c r="G400" s="315"/>
      <c r="H400" s="315"/>
      <c r="I400" s="318"/>
      <c r="J400" s="54"/>
      <c r="K400" s="54"/>
    </row>
    <row r="401" ht="14.25" customHeight="1">
      <c r="E401" s="315"/>
      <c r="F401" s="315"/>
      <c r="G401" s="315"/>
      <c r="H401" s="315"/>
      <c r="I401" s="318"/>
      <c r="J401" s="54"/>
      <c r="K401" s="54"/>
    </row>
    <row r="402" ht="14.25" customHeight="1">
      <c r="E402" s="315"/>
      <c r="F402" s="315"/>
      <c r="G402" s="315"/>
      <c r="H402" s="315"/>
      <c r="I402" s="318"/>
      <c r="J402" s="54"/>
      <c r="K402" s="54"/>
    </row>
    <row r="403" ht="14.25" customHeight="1">
      <c r="E403" s="315"/>
      <c r="F403" s="315"/>
      <c r="G403" s="315"/>
      <c r="H403" s="315"/>
      <c r="I403" s="318"/>
      <c r="J403" s="54"/>
      <c r="K403" s="54"/>
    </row>
    <row r="404" ht="14.25" customHeight="1">
      <c r="E404" s="315"/>
      <c r="F404" s="315"/>
      <c r="G404" s="315"/>
      <c r="H404" s="315"/>
      <c r="I404" s="318"/>
      <c r="J404" s="54"/>
      <c r="K404" s="54"/>
    </row>
    <row r="405" ht="14.25" customHeight="1">
      <c r="E405" s="315"/>
      <c r="F405" s="315"/>
      <c r="G405" s="315"/>
      <c r="H405" s="315"/>
      <c r="I405" s="318"/>
      <c r="J405" s="54"/>
      <c r="K405" s="54"/>
    </row>
    <row r="406" ht="14.25" customHeight="1">
      <c r="E406" s="315"/>
      <c r="F406" s="315"/>
      <c r="G406" s="315"/>
      <c r="H406" s="315"/>
      <c r="I406" s="318"/>
      <c r="J406" s="54"/>
      <c r="K406" s="54"/>
    </row>
    <row r="407" ht="14.25" customHeight="1">
      <c r="E407" s="315"/>
      <c r="F407" s="315"/>
      <c r="G407" s="315"/>
      <c r="H407" s="315"/>
      <c r="I407" s="318"/>
      <c r="J407" s="54"/>
      <c r="K407" s="54"/>
    </row>
    <row r="408" ht="14.25" customHeight="1">
      <c r="E408" s="315"/>
      <c r="F408" s="315"/>
      <c r="G408" s="315"/>
      <c r="H408" s="315"/>
      <c r="I408" s="318"/>
      <c r="J408" s="54"/>
      <c r="K408" s="54"/>
    </row>
    <row r="409" ht="14.25" customHeight="1">
      <c r="E409" s="315"/>
      <c r="F409" s="315"/>
      <c r="G409" s="315"/>
      <c r="H409" s="315"/>
      <c r="I409" s="318"/>
      <c r="J409" s="54"/>
      <c r="K409" s="54"/>
    </row>
    <row r="410" ht="14.25" customHeight="1">
      <c r="E410" s="315"/>
      <c r="F410" s="315"/>
      <c r="G410" s="315"/>
      <c r="H410" s="315"/>
      <c r="I410" s="318"/>
      <c r="J410" s="54"/>
      <c r="K410" s="54"/>
    </row>
    <row r="411" ht="14.25" customHeight="1">
      <c r="E411" s="315"/>
      <c r="F411" s="315"/>
      <c r="G411" s="315"/>
      <c r="H411" s="315"/>
      <c r="I411" s="318"/>
      <c r="J411" s="54"/>
      <c r="K411" s="54"/>
    </row>
    <row r="412" ht="14.25" customHeight="1">
      <c r="E412" s="315"/>
      <c r="F412" s="315"/>
      <c r="G412" s="315"/>
      <c r="H412" s="315"/>
      <c r="I412" s="318"/>
      <c r="J412" s="54"/>
      <c r="K412" s="54"/>
    </row>
    <row r="413" ht="14.25" customHeight="1">
      <c r="E413" s="315"/>
      <c r="F413" s="315"/>
      <c r="G413" s="315"/>
      <c r="H413" s="315"/>
      <c r="I413" s="318"/>
      <c r="J413" s="54"/>
      <c r="K413" s="54"/>
    </row>
    <row r="414" ht="14.25" customHeight="1">
      <c r="E414" s="315"/>
      <c r="F414" s="315"/>
      <c r="G414" s="315"/>
      <c r="H414" s="315"/>
      <c r="I414" s="318"/>
      <c r="J414" s="54"/>
      <c r="K414" s="54"/>
    </row>
    <row r="415" ht="14.25" customHeight="1">
      <c r="E415" s="315"/>
      <c r="F415" s="315"/>
      <c r="G415" s="315"/>
      <c r="H415" s="315"/>
      <c r="I415" s="318"/>
      <c r="J415" s="54"/>
      <c r="K415" s="54"/>
    </row>
    <row r="416" ht="14.25" customHeight="1">
      <c r="E416" s="315"/>
      <c r="F416" s="315"/>
      <c r="G416" s="315"/>
      <c r="H416" s="315"/>
      <c r="I416" s="318"/>
      <c r="J416" s="54"/>
      <c r="K416" s="54"/>
    </row>
    <row r="417" ht="14.25" customHeight="1">
      <c r="E417" s="315"/>
      <c r="F417" s="315"/>
      <c r="G417" s="315"/>
      <c r="H417" s="315"/>
      <c r="I417" s="318"/>
      <c r="J417" s="54"/>
      <c r="K417" s="54"/>
    </row>
    <row r="418" ht="14.25" customHeight="1">
      <c r="E418" s="315"/>
      <c r="F418" s="315"/>
      <c r="G418" s="315"/>
      <c r="H418" s="315"/>
      <c r="I418" s="318"/>
      <c r="J418" s="54"/>
      <c r="K418" s="54"/>
    </row>
    <row r="419" ht="14.25" customHeight="1">
      <c r="E419" s="315"/>
      <c r="F419" s="315"/>
      <c r="G419" s="315"/>
      <c r="H419" s="315"/>
      <c r="I419" s="318"/>
      <c r="J419" s="54"/>
      <c r="K419" s="54"/>
    </row>
    <row r="420" ht="14.25" customHeight="1">
      <c r="E420" s="315"/>
      <c r="F420" s="315"/>
      <c r="G420" s="315"/>
      <c r="H420" s="315"/>
      <c r="I420" s="318"/>
      <c r="J420" s="54"/>
      <c r="K420" s="54"/>
    </row>
    <row r="421" ht="14.25" customHeight="1">
      <c r="E421" s="315"/>
      <c r="F421" s="315"/>
      <c r="G421" s="315"/>
      <c r="H421" s="315"/>
      <c r="I421" s="318"/>
      <c r="J421" s="54"/>
      <c r="K421" s="54"/>
    </row>
    <row r="422" ht="14.25" customHeight="1">
      <c r="E422" s="315"/>
      <c r="F422" s="315"/>
      <c r="G422" s="315"/>
      <c r="H422" s="315"/>
      <c r="I422" s="318"/>
      <c r="J422" s="54"/>
      <c r="K422" s="54"/>
    </row>
    <row r="423" ht="14.25" customHeight="1">
      <c r="E423" s="315"/>
      <c r="F423" s="315"/>
      <c r="G423" s="315"/>
      <c r="H423" s="315"/>
      <c r="I423" s="318"/>
      <c r="J423" s="54"/>
      <c r="K423" s="54"/>
    </row>
    <row r="424" ht="14.25" customHeight="1">
      <c r="E424" s="315"/>
      <c r="F424" s="315"/>
      <c r="G424" s="315"/>
      <c r="H424" s="315"/>
      <c r="I424" s="318"/>
      <c r="J424" s="54"/>
      <c r="K424" s="54"/>
    </row>
    <row r="425" ht="14.25" customHeight="1">
      <c r="E425" s="315"/>
      <c r="F425" s="315"/>
      <c r="G425" s="315"/>
      <c r="H425" s="315"/>
      <c r="I425" s="318"/>
      <c r="J425" s="54"/>
      <c r="K425" s="54"/>
    </row>
    <row r="426" ht="14.25" customHeight="1">
      <c r="E426" s="315"/>
      <c r="F426" s="315"/>
      <c r="G426" s="315"/>
      <c r="H426" s="315"/>
      <c r="I426" s="318"/>
      <c r="J426" s="54"/>
      <c r="K426" s="54"/>
    </row>
    <row r="427" ht="14.25" customHeight="1">
      <c r="E427" s="315"/>
      <c r="F427" s="315"/>
      <c r="G427" s="315"/>
      <c r="H427" s="315"/>
      <c r="I427" s="318"/>
      <c r="J427" s="54"/>
      <c r="K427" s="54"/>
    </row>
    <row r="428" ht="14.25" customHeight="1">
      <c r="E428" s="315"/>
      <c r="F428" s="315"/>
      <c r="G428" s="315"/>
      <c r="H428" s="315"/>
      <c r="I428" s="318"/>
      <c r="J428" s="54"/>
      <c r="K428" s="54"/>
    </row>
    <row r="429" ht="14.25" customHeight="1">
      <c r="E429" s="315"/>
      <c r="F429" s="315"/>
      <c r="G429" s="315"/>
      <c r="H429" s="315"/>
      <c r="I429" s="318"/>
      <c r="J429" s="54"/>
      <c r="K429" s="54"/>
    </row>
    <row r="430" ht="14.25" customHeight="1">
      <c r="E430" s="315"/>
      <c r="F430" s="315"/>
      <c r="G430" s="315"/>
      <c r="H430" s="315"/>
      <c r="I430" s="318"/>
      <c r="J430" s="54"/>
      <c r="K430" s="54"/>
    </row>
    <row r="431" ht="14.25" customHeight="1">
      <c r="E431" s="315"/>
      <c r="F431" s="315"/>
      <c r="G431" s="315"/>
      <c r="H431" s="315"/>
      <c r="I431" s="318"/>
      <c r="J431" s="54"/>
      <c r="K431" s="54"/>
    </row>
    <row r="432" ht="14.25" customHeight="1">
      <c r="E432" s="315"/>
      <c r="F432" s="315"/>
      <c r="G432" s="315"/>
      <c r="H432" s="315"/>
      <c r="I432" s="318"/>
      <c r="J432" s="54"/>
      <c r="K432" s="54"/>
    </row>
    <row r="433" ht="14.25" customHeight="1">
      <c r="E433" s="315"/>
      <c r="F433" s="315"/>
      <c r="G433" s="315"/>
      <c r="H433" s="315"/>
      <c r="I433" s="318"/>
      <c r="J433" s="54"/>
      <c r="K433" s="54"/>
    </row>
    <row r="434" ht="14.25" customHeight="1">
      <c r="E434" s="315"/>
      <c r="F434" s="315"/>
      <c r="G434" s="315"/>
      <c r="H434" s="315"/>
      <c r="I434" s="318"/>
      <c r="J434" s="54"/>
      <c r="K434" s="54"/>
    </row>
    <row r="435" ht="14.25" customHeight="1">
      <c r="E435" s="315"/>
      <c r="F435" s="315"/>
      <c r="G435" s="315"/>
      <c r="H435" s="315"/>
      <c r="I435" s="318"/>
      <c r="J435" s="54"/>
      <c r="K435" s="54"/>
    </row>
    <row r="436" ht="14.25" customHeight="1">
      <c r="E436" s="315"/>
      <c r="F436" s="315"/>
      <c r="G436" s="315"/>
      <c r="H436" s="315"/>
      <c r="I436" s="318"/>
      <c r="J436" s="54"/>
      <c r="K436" s="54"/>
    </row>
    <row r="437" ht="14.25" customHeight="1">
      <c r="E437" s="315"/>
      <c r="F437" s="315"/>
      <c r="G437" s="315"/>
      <c r="H437" s="315"/>
      <c r="I437" s="318"/>
      <c r="J437" s="54"/>
      <c r="K437" s="54"/>
    </row>
    <row r="438" ht="14.25" customHeight="1">
      <c r="E438" s="315"/>
      <c r="F438" s="315"/>
      <c r="G438" s="315"/>
      <c r="H438" s="315"/>
      <c r="I438" s="318"/>
      <c r="J438" s="54"/>
      <c r="K438" s="54"/>
    </row>
    <row r="439" ht="14.25" customHeight="1">
      <c r="E439" s="315"/>
      <c r="F439" s="315"/>
      <c r="G439" s="315"/>
      <c r="H439" s="315"/>
      <c r="I439" s="318"/>
      <c r="J439" s="54"/>
      <c r="K439" s="54"/>
    </row>
    <row r="440" ht="14.25" customHeight="1">
      <c r="E440" s="315"/>
      <c r="F440" s="315"/>
      <c r="G440" s="315"/>
      <c r="H440" s="315"/>
      <c r="I440" s="318"/>
      <c r="J440" s="54"/>
      <c r="K440" s="54"/>
    </row>
    <row r="441" ht="14.25" customHeight="1">
      <c r="E441" s="315"/>
      <c r="F441" s="315"/>
      <c r="G441" s="315"/>
      <c r="H441" s="315"/>
      <c r="I441" s="318"/>
      <c r="J441" s="54"/>
      <c r="K441" s="54"/>
    </row>
    <row r="442" ht="14.25" customHeight="1">
      <c r="E442" s="315"/>
      <c r="F442" s="315"/>
      <c r="G442" s="315"/>
      <c r="H442" s="315"/>
      <c r="I442" s="318"/>
      <c r="J442" s="54"/>
      <c r="K442" s="54"/>
    </row>
    <row r="443" ht="14.25" customHeight="1">
      <c r="E443" s="315"/>
      <c r="F443" s="315"/>
      <c r="G443" s="315"/>
      <c r="H443" s="315"/>
      <c r="I443" s="318"/>
      <c r="J443" s="54"/>
      <c r="K443" s="54"/>
    </row>
    <row r="444" ht="14.25" customHeight="1">
      <c r="E444" s="315"/>
      <c r="F444" s="315"/>
      <c r="G444" s="315"/>
      <c r="H444" s="315"/>
      <c r="I444" s="318"/>
      <c r="J444" s="54"/>
      <c r="K444" s="54"/>
    </row>
    <row r="445" ht="14.25" customHeight="1">
      <c r="E445" s="315"/>
      <c r="F445" s="315"/>
      <c r="G445" s="315"/>
      <c r="H445" s="315"/>
      <c r="I445" s="318"/>
      <c r="J445" s="54"/>
      <c r="K445" s="54"/>
    </row>
    <row r="446" ht="14.25" customHeight="1">
      <c r="E446" s="315"/>
      <c r="F446" s="315"/>
      <c r="G446" s="315"/>
      <c r="H446" s="315"/>
      <c r="I446" s="318"/>
      <c r="J446" s="54"/>
      <c r="K446" s="54"/>
    </row>
    <row r="447" ht="14.25" customHeight="1">
      <c r="E447" s="315"/>
      <c r="F447" s="315"/>
      <c r="G447" s="315"/>
      <c r="H447" s="315"/>
      <c r="I447" s="318"/>
      <c r="J447" s="54"/>
      <c r="K447" s="54"/>
    </row>
    <row r="448" ht="14.25" customHeight="1">
      <c r="E448" s="315"/>
      <c r="F448" s="315"/>
      <c r="G448" s="315"/>
      <c r="H448" s="315"/>
      <c r="I448" s="318"/>
      <c r="J448" s="54"/>
      <c r="K448" s="54"/>
    </row>
    <row r="449" ht="14.25" customHeight="1">
      <c r="E449" s="315"/>
      <c r="F449" s="315"/>
      <c r="G449" s="315"/>
      <c r="H449" s="315"/>
      <c r="I449" s="318"/>
      <c r="J449" s="54"/>
      <c r="K449" s="54"/>
    </row>
    <row r="450" ht="14.25" customHeight="1">
      <c r="E450" s="315"/>
      <c r="F450" s="315"/>
      <c r="G450" s="315"/>
      <c r="H450" s="315"/>
      <c r="I450" s="318"/>
      <c r="J450" s="54"/>
      <c r="K450" s="54"/>
    </row>
    <row r="451" ht="14.25" customHeight="1">
      <c r="E451" s="315"/>
      <c r="F451" s="315"/>
      <c r="G451" s="315"/>
      <c r="H451" s="315"/>
      <c r="I451" s="318"/>
      <c r="J451" s="54"/>
      <c r="K451" s="54"/>
    </row>
    <row r="452" ht="14.25" customHeight="1">
      <c r="E452" s="315"/>
      <c r="F452" s="315"/>
      <c r="G452" s="315"/>
      <c r="H452" s="315"/>
      <c r="I452" s="318"/>
      <c r="J452" s="54"/>
      <c r="K452" s="54"/>
    </row>
    <row r="453" ht="14.25" customHeight="1">
      <c r="E453" s="315"/>
      <c r="F453" s="315"/>
      <c r="G453" s="315"/>
      <c r="H453" s="315"/>
      <c r="I453" s="318"/>
      <c r="J453" s="54"/>
      <c r="K453" s="54"/>
    </row>
    <row r="454" ht="14.25" customHeight="1">
      <c r="E454" s="315"/>
      <c r="F454" s="315"/>
      <c r="G454" s="315"/>
      <c r="H454" s="315"/>
      <c r="I454" s="318"/>
      <c r="J454" s="54"/>
      <c r="K454" s="54"/>
    </row>
    <row r="455" ht="14.25" customHeight="1">
      <c r="E455" s="315"/>
      <c r="F455" s="315"/>
      <c r="G455" s="315"/>
      <c r="H455" s="315"/>
      <c r="I455" s="318"/>
      <c r="J455" s="54"/>
      <c r="K455" s="54"/>
    </row>
    <row r="456" ht="14.25" customHeight="1">
      <c r="E456" s="315"/>
      <c r="F456" s="315"/>
      <c r="G456" s="315"/>
      <c r="H456" s="315"/>
      <c r="I456" s="318"/>
      <c r="J456" s="54"/>
      <c r="K456" s="54"/>
    </row>
    <row r="457" ht="14.25" customHeight="1">
      <c r="E457" s="315"/>
      <c r="F457" s="315"/>
      <c r="G457" s="315"/>
      <c r="H457" s="315"/>
      <c r="I457" s="318"/>
      <c r="J457" s="54"/>
      <c r="K457" s="54"/>
    </row>
    <row r="458" ht="14.25" customHeight="1">
      <c r="E458" s="315"/>
      <c r="F458" s="315"/>
      <c r="G458" s="315"/>
      <c r="H458" s="315"/>
      <c r="I458" s="318"/>
      <c r="J458" s="54"/>
      <c r="K458" s="54"/>
    </row>
    <row r="459" ht="14.25" customHeight="1">
      <c r="E459" s="315"/>
      <c r="F459" s="315"/>
      <c r="G459" s="315"/>
      <c r="H459" s="315"/>
      <c r="I459" s="318"/>
      <c r="J459" s="54"/>
      <c r="K459" s="54"/>
    </row>
    <row r="460" ht="14.25" customHeight="1">
      <c r="E460" s="315"/>
      <c r="F460" s="315"/>
      <c r="G460" s="315"/>
      <c r="H460" s="315"/>
      <c r="I460" s="318"/>
      <c r="J460" s="54"/>
      <c r="K460" s="54"/>
    </row>
    <row r="461" ht="14.25" customHeight="1">
      <c r="E461" s="315"/>
      <c r="F461" s="315"/>
      <c r="G461" s="315"/>
      <c r="H461" s="315"/>
      <c r="I461" s="318"/>
      <c r="J461" s="54"/>
      <c r="K461" s="54"/>
    </row>
    <row r="462" ht="14.25" customHeight="1">
      <c r="E462" s="315"/>
      <c r="F462" s="315"/>
      <c r="G462" s="315"/>
      <c r="H462" s="315"/>
      <c r="I462" s="318"/>
      <c r="J462" s="54"/>
      <c r="K462" s="54"/>
    </row>
    <row r="463" ht="14.25" customHeight="1">
      <c r="E463" s="315"/>
      <c r="F463" s="315"/>
      <c r="G463" s="315"/>
      <c r="H463" s="315"/>
      <c r="I463" s="318"/>
      <c r="J463" s="54"/>
      <c r="K463" s="54"/>
    </row>
    <row r="464" ht="14.25" customHeight="1">
      <c r="E464" s="315"/>
      <c r="F464" s="315"/>
      <c r="G464" s="315"/>
      <c r="H464" s="315"/>
      <c r="I464" s="318"/>
      <c r="J464" s="54"/>
      <c r="K464" s="54"/>
    </row>
    <row r="465" ht="14.25" customHeight="1">
      <c r="E465" s="315"/>
      <c r="F465" s="315"/>
      <c r="G465" s="315"/>
      <c r="H465" s="315"/>
      <c r="I465" s="318"/>
      <c r="J465" s="54"/>
      <c r="K465" s="54"/>
    </row>
    <row r="466" ht="14.25" customHeight="1">
      <c r="E466" s="315"/>
      <c r="F466" s="315"/>
      <c r="G466" s="315"/>
      <c r="H466" s="315"/>
      <c r="I466" s="318"/>
      <c r="J466" s="54"/>
      <c r="K466" s="54"/>
    </row>
    <row r="467" ht="14.25" customHeight="1">
      <c r="E467" s="315"/>
      <c r="F467" s="315"/>
      <c r="G467" s="315"/>
      <c r="H467" s="315"/>
      <c r="I467" s="318"/>
      <c r="J467" s="54"/>
      <c r="K467" s="54"/>
    </row>
    <row r="468" ht="14.25" customHeight="1">
      <c r="E468" s="315"/>
      <c r="F468" s="315"/>
      <c r="G468" s="315"/>
      <c r="H468" s="315"/>
      <c r="I468" s="318"/>
      <c r="J468" s="54"/>
      <c r="K468" s="54"/>
    </row>
    <row r="469" ht="14.25" customHeight="1">
      <c r="E469" s="315"/>
      <c r="F469" s="315"/>
      <c r="G469" s="315"/>
      <c r="H469" s="315"/>
      <c r="I469" s="318"/>
      <c r="J469" s="54"/>
      <c r="K469" s="54"/>
    </row>
    <row r="470" ht="14.25" customHeight="1">
      <c r="E470" s="315"/>
      <c r="F470" s="315"/>
      <c r="G470" s="315"/>
      <c r="H470" s="315"/>
      <c r="I470" s="318"/>
      <c r="J470" s="54"/>
      <c r="K470" s="54"/>
    </row>
    <row r="471" ht="14.25" customHeight="1">
      <c r="E471" s="315"/>
      <c r="F471" s="315"/>
      <c r="G471" s="315"/>
      <c r="H471" s="315"/>
      <c r="I471" s="318"/>
      <c r="J471" s="54"/>
      <c r="K471" s="54"/>
    </row>
    <row r="472" ht="14.25" customHeight="1">
      <c r="E472" s="315"/>
      <c r="F472" s="315"/>
      <c r="G472" s="315"/>
      <c r="H472" s="315"/>
      <c r="I472" s="318"/>
      <c r="J472" s="54"/>
      <c r="K472" s="54"/>
    </row>
    <row r="473" ht="14.25" customHeight="1">
      <c r="E473" s="315"/>
      <c r="F473" s="315"/>
      <c r="G473" s="315"/>
      <c r="H473" s="315"/>
      <c r="I473" s="318"/>
      <c r="J473" s="54"/>
      <c r="K473" s="54"/>
    </row>
    <row r="474" ht="14.25" customHeight="1">
      <c r="E474" s="315"/>
      <c r="F474" s="315"/>
      <c r="G474" s="315"/>
      <c r="H474" s="315"/>
      <c r="I474" s="318"/>
      <c r="J474" s="54"/>
      <c r="K474" s="54"/>
    </row>
    <row r="475" ht="14.25" customHeight="1">
      <c r="E475" s="315"/>
      <c r="F475" s="315"/>
      <c r="G475" s="315"/>
      <c r="H475" s="315"/>
      <c r="I475" s="318"/>
      <c r="J475" s="54"/>
      <c r="K475" s="54"/>
    </row>
    <row r="476" ht="14.25" customHeight="1">
      <c r="E476" s="315"/>
      <c r="F476" s="315"/>
      <c r="G476" s="315"/>
      <c r="H476" s="315"/>
      <c r="I476" s="318"/>
      <c r="J476" s="54"/>
      <c r="K476" s="54"/>
    </row>
    <row r="477" ht="14.25" customHeight="1">
      <c r="E477" s="315"/>
      <c r="F477" s="315"/>
      <c r="G477" s="315"/>
      <c r="H477" s="315"/>
      <c r="I477" s="318"/>
      <c r="J477" s="54"/>
      <c r="K477" s="54"/>
    </row>
    <row r="478" ht="14.25" customHeight="1">
      <c r="E478" s="315"/>
      <c r="F478" s="315"/>
      <c r="G478" s="315"/>
      <c r="H478" s="315"/>
      <c r="I478" s="318"/>
      <c r="J478" s="54"/>
      <c r="K478" s="54"/>
    </row>
    <row r="479" ht="14.25" customHeight="1">
      <c r="E479" s="315"/>
      <c r="F479" s="315"/>
      <c r="G479" s="315"/>
      <c r="H479" s="315"/>
      <c r="I479" s="318"/>
      <c r="J479" s="54"/>
      <c r="K479" s="54"/>
    </row>
    <row r="480" ht="14.25" customHeight="1">
      <c r="E480" s="315"/>
      <c r="F480" s="315"/>
      <c r="G480" s="315"/>
      <c r="H480" s="315"/>
      <c r="I480" s="318"/>
      <c r="J480" s="54"/>
      <c r="K480" s="54"/>
    </row>
    <row r="481" ht="14.25" customHeight="1">
      <c r="E481" s="315"/>
      <c r="F481" s="315"/>
      <c r="G481" s="315"/>
      <c r="H481" s="315"/>
      <c r="I481" s="318"/>
      <c r="J481" s="54"/>
      <c r="K481" s="54"/>
    </row>
    <row r="482" ht="14.25" customHeight="1">
      <c r="E482" s="315"/>
      <c r="F482" s="315"/>
      <c r="G482" s="315"/>
      <c r="H482" s="315"/>
      <c r="I482" s="318"/>
      <c r="J482" s="54"/>
      <c r="K482" s="54"/>
    </row>
    <row r="483" ht="14.25" customHeight="1">
      <c r="E483" s="315"/>
      <c r="F483" s="315"/>
      <c r="G483" s="315"/>
      <c r="H483" s="315"/>
      <c r="I483" s="318"/>
      <c r="J483" s="54"/>
      <c r="K483" s="54"/>
    </row>
    <row r="484" ht="14.25" customHeight="1">
      <c r="E484" s="315"/>
      <c r="F484" s="315"/>
      <c r="G484" s="315"/>
      <c r="H484" s="315"/>
      <c r="I484" s="318"/>
      <c r="J484" s="54"/>
      <c r="K484" s="54"/>
    </row>
    <row r="485" ht="14.25" customHeight="1">
      <c r="E485" s="315"/>
      <c r="F485" s="315"/>
      <c r="G485" s="315"/>
      <c r="H485" s="315"/>
      <c r="I485" s="318"/>
      <c r="J485" s="54"/>
      <c r="K485" s="54"/>
    </row>
    <row r="486" ht="14.25" customHeight="1">
      <c r="E486" s="315"/>
      <c r="F486" s="315"/>
      <c r="G486" s="315"/>
      <c r="H486" s="315"/>
      <c r="I486" s="318"/>
      <c r="J486" s="54"/>
      <c r="K486" s="54"/>
    </row>
    <row r="487" ht="14.25" customHeight="1">
      <c r="E487" s="315"/>
      <c r="F487" s="315"/>
      <c r="G487" s="315"/>
      <c r="H487" s="315"/>
      <c r="I487" s="318"/>
      <c r="J487" s="54"/>
      <c r="K487" s="54"/>
    </row>
    <row r="488" ht="14.25" customHeight="1">
      <c r="E488" s="315"/>
      <c r="F488" s="315"/>
      <c r="G488" s="315"/>
      <c r="H488" s="315"/>
      <c r="I488" s="318"/>
      <c r="J488" s="54"/>
      <c r="K488" s="54"/>
    </row>
    <row r="489" ht="14.25" customHeight="1">
      <c r="E489" s="315"/>
      <c r="F489" s="315"/>
      <c r="G489" s="315"/>
      <c r="H489" s="315"/>
      <c r="I489" s="318"/>
      <c r="J489" s="54"/>
      <c r="K489" s="54"/>
    </row>
    <row r="490" ht="14.25" customHeight="1">
      <c r="E490" s="315"/>
      <c r="F490" s="315"/>
      <c r="G490" s="315"/>
      <c r="H490" s="315"/>
      <c r="I490" s="318"/>
      <c r="J490" s="54"/>
      <c r="K490" s="54"/>
    </row>
    <row r="491" ht="14.25" customHeight="1">
      <c r="E491" s="315"/>
      <c r="F491" s="315"/>
      <c r="G491" s="315"/>
      <c r="H491" s="315"/>
      <c r="I491" s="318"/>
      <c r="J491" s="54"/>
      <c r="K491" s="54"/>
    </row>
    <row r="492" ht="14.25" customHeight="1">
      <c r="E492" s="315"/>
      <c r="F492" s="315"/>
      <c r="G492" s="315"/>
      <c r="H492" s="315"/>
      <c r="I492" s="318"/>
      <c r="J492" s="54"/>
      <c r="K492" s="54"/>
    </row>
    <row r="493" ht="14.25" customHeight="1">
      <c r="E493" s="315"/>
      <c r="F493" s="315"/>
      <c r="G493" s="315"/>
      <c r="H493" s="315"/>
      <c r="I493" s="318"/>
      <c r="J493" s="54"/>
      <c r="K493" s="54"/>
    </row>
    <row r="494" ht="14.25" customHeight="1">
      <c r="E494" s="315"/>
      <c r="F494" s="315"/>
      <c r="G494" s="315"/>
      <c r="H494" s="315"/>
      <c r="I494" s="318"/>
      <c r="J494" s="54"/>
      <c r="K494" s="54"/>
    </row>
    <row r="495" ht="14.25" customHeight="1">
      <c r="E495" s="315"/>
      <c r="F495" s="315"/>
      <c r="G495" s="315"/>
      <c r="H495" s="315"/>
      <c r="I495" s="318"/>
      <c r="J495" s="54"/>
      <c r="K495" s="54"/>
    </row>
    <row r="496" ht="14.25" customHeight="1">
      <c r="E496" s="315"/>
      <c r="F496" s="315"/>
      <c r="G496" s="315"/>
      <c r="H496" s="315"/>
      <c r="I496" s="318"/>
      <c r="J496" s="54"/>
      <c r="K496" s="54"/>
    </row>
    <row r="497" ht="14.25" customHeight="1">
      <c r="E497" s="315"/>
      <c r="F497" s="315"/>
      <c r="G497" s="315"/>
      <c r="H497" s="315"/>
      <c r="I497" s="318"/>
      <c r="J497" s="54"/>
      <c r="K497" s="54"/>
    </row>
    <row r="498" ht="14.25" customHeight="1">
      <c r="E498" s="315"/>
      <c r="F498" s="315"/>
      <c r="G498" s="315"/>
      <c r="H498" s="315"/>
      <c r="I498" s="318"/>
      <c r="J498" s="54"/>
      <c r="K498" s="54"/>
    </row>
    <row r="499" ht="14.25" customHeight="1">
      <c r="E499" s="315"/>
      <c r="F499" s="315"/>
      <c r="G499" s="315"/>
      <c r="H499" s="315"/>
      <c r="I499" s="318"/>
      <c r="J499" s="54"/>
      <c r="K499" s="54"/>
    </row>
    <row r="500" ht="14.25" customHeight="1">
      <c r="E500" s="315"/>
      <c r="F500" s="315"/>
      <c r="G500" s="315"/>
      <c r="H500" s="315"/>
      <c r="I500" s="318"/>
      <c r="J500" s="54"/>
      <c r="K500" s="54"/>
    </row>
    <row r="501" ht="14.25" customHeight="1">
      <c r="E501" s="315"/>
      <c r="F501" s="315"/>
      <c r="G501" s="315"/>
      <c r="H501" s="315"/>
      <c r="I501" s="318"/>
      <c r="J501" s="54"/>
      <c r="K501" s="54"/>
    </row>
    <row r="502" ht="14.25" customHeight="1">
      <c r="E502" s="315"/>
      <c r="F502" s="315"/>
      <c r="G502" s="315"/>
      <c r="H502" s="315"/>
      <c r="I502" s="318"/>
      <c r="J502" s="54"/>
      <c r="K502" s="54"/>
    </row>
    <row r="503" ht="14.25" customHeight="1">
      <c r="E503" s="315"/>
      <c r="F503" s="315"/>
      <c r="G503" s="315"/>
      <c r="H503" s="315"/>
      <c r="I503" s="318"/>
      <c r="J503" s="54"/>
      <c r="K503" s="54"/>
    </row>
    <row r="504" ht="14.25" customHeight="1">
      <c r="E504" s="315"/>
      <c r="F504" s="315"/>
      <c r="G504" s="315"/>
      <c r="H504" s="315"/>
      <c r="I504" s="318"/>
      <c r="J504" s="54"/>
      <c r="K504" s="54"/>
    </row>
    <row r="505" ht="14.25" customHeight="1">
      <c r="E505" s="315"/>
      <c r="F505" s="315"/>
      <c r="G505" s="315"/>
      <c r="H505" s="315"/>
      <c r="I505" s="318"/>
      <c r="J505" s="54"/>
      <c r="K505" s="54"/>
    </row>
    <row r="506" ht="14.25" customHeight="1">
      <c r="E506" s="315"/>
      <c r="F506" s="315"/>
      <c r="G506" s="315"/>
      <c r="H506" s="315"/>
      <c r="I506" s="318"/>
      <c r="J506" s="54"/>
      <c r="K506" s="54"/>
    </row>
    <row r="507" ht="14.25" customHeight="1">
      <c r="E507" s="315"/>
      <c r="F507" s="315"/>
      <c r="G507" s="315"/>
      <c r="H507" s="315"/>
      <c r="I507" s="318"/>
      <c r="J507" s="54"/>
      <c r="K507" s="54"/>
    </row>
    <row r="508" ht="14.25" customHeight="1">
      <c r="E508" s="315"/>
      <c r="F508" s="315"/>
      <c r="G508" s="315"/>
      <c r="H508" s="315"/>
      <c r="I508" s="318"/>
      <c r="J508" s="54"/>
      <c r="K508" s="54"/>
    </row>
    <row r="509" ht="14.25" customHeight="1">
      <c r="E509" s="315"/>
      <c r="F509" s="315"/>
      <c r="G509" s="315"/>
      <c r="H509" s="315"/>
      <c r="I509" s="318"/>
      <c r="J509" s="54"/>
      <c r="K509" s="54"/>
    </row>
    <row r="510" ht="14.25" customHeight="1">
      <c r="E510" s="315"/>
      <c r="F510" s="315"/>
      <c r="G510" s="315"/>
      <c r="H510" s="315"/>
      <c r="I510" s="318"/>
      <c r="J510" s="54"/>
      <c r="K510" s="54"/>
    </row>
    <row r="511" ht="14.25" customHeight="1">
      <c r="E511" s="315"/>
      <c r="F511" s="315"/>
      <c r="G511" s="315"/>
      <c r="H511" s="315"/>
      <c r="I511" s="318"/>
      <c r="J511" s="54"/>
      <c r="K511" s="54"/>
    </row>
    <row r="512" ht="14.25" customHeight="1">
      <c r="E512" s="315"/>
      <c r="F512" s="315"/>
      <c r="G512" s="315"/>
      <c r="H512" s="315"/>
      <c r="I512" s="318"/>
      <c r="J512" s="54"/>
      <c r="K512" s="54"/>
    </row>
    <row r="513" ht="14.25" customHeight="1">
      <c r="E513" s="315"/>
      <c r="F513" s="315"/>
      <c r="G513" s="315"/>
      <c r="H513" s="315"/>
      <c r="I513" s="318"/>
      <c r="J513" s="54"/>
      <c r="K513" s="54"/>
    </row>
    <row r="514" ht="14.25" customHeight="1">
      <c r="E514" s="315"/>
      <c r="F514" s="315"/>
      <c r="G514" s="315"/>
      <c r="H514" s="315"/>
      <c r="I514" s="318"/>
      <c r="J514" s="54"/>
      <c r="K514" s="54"/>
    </row>
    <row r="515" ht="14.25" customHeight="1">
      <c r="E515" s="315"/>
      <c r="F515" s="315"/>
      <c r="G515" s="315"/>
      <c r="H515" s="315"/>
      <c r="I515" s="318"/>
      <c r="J515" s="54"/>
      <c r="K515" s="54"/>
    </row>
    <row r="516" ht="14.25" customHeight="1">
      <c r="E516" s="315"/>
      <c r="F516" s="315"/>
      <c r="G516" s="315"/>
      <c r="H516" s="315"/>
      <c r="I516" s="318"/>
      <c r="J516" s="54"/>
      <c r="K516" s="54"/>
    </row>
    <row r="517" ht="14.25" customHeight="1">
      <c r="E517" s="315"/>
      <c r="F517" s="315"/>
      <c r="G517" s="315"/>
      <c r="H517" s="315"/>
      <c r="I517" s="318"/>
      <c r="J517" s="54"/>
      <c r="K517" s="54"/>
    </row>
    <row r="518" ht="14.25" customHeight="1">
      <c r="E518" s="315"/>
      <c r="F518" s="315"/>
      <c r="G518" s="315"/>
      <c r="H518" s="315"/>
      <c r="I518" s="318"/>
      <c r="J518" s="54"/>
      <c r="K518" s="54"/>
    </row>
    <row r="519" ht="14.25" customHeight="1">
      <c r="E519" s="315"/>
      <c r="F519" s="315"/>
      <c r="G519" s="315"/>
      <c r="H519" s="315"/>
      <c r="I519" s="318"/>
      <c r="J519" s="54"/>
      <c r="K519" s="54"/>
    </row>
    <row r="520" ht="14.25" customHeight="1">
      <c r="E520" s="315"/>
      <c r="F520" s="315"/>
      <c r="G520" s="315"/>
      <c r="H520" s="315"/>
      <c r="I520" s="318"/>
      <c r="J520" s="54"/>
      <c r="K520" s="54"/>
    </row>
    <row r="521" ht="14.25" customHeight="1">
      <c r="E521" s="315"/>
      <c r="F521" s="315"/>
      <c r="G521" s="315"/>
      <c r="H521" s="315"/>
      <c r="I521" s="318"/>
      <c r="J521" s="54"/>
      <c r="K521" s="54"/>
    </row>
    <row r="522" ht="14.25" customHeight="1">
      <c r="E522" s="315"/>
      <c r="F522" s="315"/>
      <c r="G522" s="315"/>
      <c r="H522" s="315"/>
      <c r="I522" s="318"/>
      <c r="J522" s="54"/>
      <c r="K522" s="54"/>
    </row>
    <row r="523" ht="14.25" customHeight="1">
      <c r="E523" s="315"/>
      <c r="F523" s="315"/>
      <c r="G523" s="315"/>
      <c r="H523" s="315"/>
      <c r="I523" s="318"/>
      <c r="J523" s="54"/>
      <c r="K523" s="54"/>
    </row>
    <row r="524" ht="14.25" customHeight="1">
      <c r="E524" s="315"/>
      <c r="F524" s="315"/>
      <c r="G524" s="315"/>
      <c r="H524" s="315"/>
      <c r="I524" s="318"/>
      <c r="J524" s="54"/>
      <c r="K524" s="54"/>
    </row>
    <row r="525" ht="14.25" customHeight="1">
      <c r="E525" s="315"/>
      <c r="F525" s="315"/>
      <c r="G525" s="315"/>
      <c r="H525" s="315"/>
      <c r="I525" s="318"/>
      <c r="J525" s="54"/>
      <c r="K525" s="54"/>
    </row>
    <row r="526" ht="14.25" customHeight="1">
      <c r="E526" s="315"/>
      <c r="F526" s="315"/>
      <c r="G526" s="315"/>
      <c r="H526" s="315"/>
      <c r="I526" s="318"/>
      <c r="J526" s="54"/>
      <c r="K526" s="54"/>
    </row>
    <row r="527" ht="14.25" customHeight="1">
      <c r="E527" s="315"/>
      <c r="F527" s="315"/>
      <c r="G527" s="315"/>
      <c r="H527" s="315"/>
      <c r="I527" s="318"/>
      <c r="J527" s="54"/>
      <c r="K527" s="54"/>
    </row>
    <row r="528" ht="14.25" customHeight="1">
      <c r="E528" s="315"/>
      <c r="F528" s="315"/>
      <c r="G528" s="315"/>
      <c r="H528" s="315"/>
      <c r="I528" s="318"/>
      <c r="J528" s="54"/>
      <c r="K528" s="54"/>
    </row>
    <row r="529" ht="14.25" customHeight="1">
      <c r="E529" s="315"/>
      <c r="F529" s="315"/>
      <c r="G529" s="315"/>
      <c r="H529" s="315"/>
      <c r="I529" s="318"/>
      <c r="J529" s="54"/>
      <c r="K529" s="54"/>
    </row>
    <row r="530" ht="14.25" customHeight="1">
      <c r="E530" s="315"/>
      <c r="F530" s="315"/>
      <c r="G530" s="315"/>
      <c r="H530" s="315"/>
      <c r="I530" s="318"/>
      <c r="J530" s="54"/>
      <c r="K530" s="54"/>
    </row>
    <row r="531" ht="14.25" customHeight="1">
      <c r="E531" s="315"/>
      <c r="F531" s="315"/>
      <c r="G531" s="315"/>
      <c r="H531" s="315"/>
      <c r="I531" s="318"/>
      <c r="J531" s="54"/>
      <c r="K531" s="54"/>
    </row>
    <row r="532" ht="14.25" customHeight="1">
      <c r="E532" s="315"/>
      <c r="F532" s="315"/>
      <c r="G532" s="315"/>
      <c r="H532" s="315"/>
      <c r="I532" s="318"/>
      <c r="J532" s="54"/>
      <c r="K532" s="54"/>
    </row>
    <row r="533" ht="14.25" customHeight="1">
      <c r="E533" s="315"/>
      <c r="F533" s="315"/>
      <c r="G533" s="315"/>
      <c r="H533" s="315"/>
      <c r="I533" s="318"/>
      <c r="J533" s="54"/>
      <c r="K533" s="54"/>
    </row>
    <row r="534" ht="14.25" customHeight="1">
      <c r="E534" s="315"/>
      <c r="F534" s="315"/>
      <c r="G534" s="315"/>
      <c r="H534" s="315"/>
      <c r="I534" s="318"/>
      <c r="J534" s="54"/>
      <c r="K534" s="54"/>
    </row>
    <row r="535" ht="14.25" customHeight="1">
      <c r="E535" s="315"/>
      <c r="F535" s="315"/>
      <c r="G535" s="315"/>
      <c r="H535" s="315"/>
      <c r="I535" s="318"/>
      <c r="J535" s="54"/>
      <c r="K535" s="54"/>
    </row>
    <row r="536" ht="14.25" customHeight="1">
      <c r="E536" s="315"/>
      <c r="F536" s="315"/>
      <c r="G536" s="315"/>
      <c r="H536" s="315"/>
      <c r="I536" s="318"/>
      <c r="J536" s="54"/>
      <c r="K536" s="54"/>
    </row>
    <row r="537" ht="14.25" customHeight="1">
      <c r="E537" s="315"/>
      <c r="F537" s="315"/>
      <c r="G537" s="315"/>
      <c r="H537" s="315"/>
      <c r="I537" s="318"/>
      <c r="J537" s="54"/>
      <c r="K537" s="54"/>
    </row>
    <row r="538" ht="14.25" customHeight="1">
      <c r="E538" s="315"/>
      <c r="F538" s="315"/>
      <c r="G538" s="315"/>
      <c r="H538" s="315"/>
      <c r="I538" s="318"/>
      <c r="J538" s="54"/>
      <c r="K538" s="54"/>
    </row>
    <row r="539" ht="14.25" customHeight="1">
      <c r="E539" s="315"/>
      <c r="F539" s="315"/>
      <c r="G539" s="315"/>
      <c r="H539" s="315"/>
      <c r="I539" s="318"/>
      <c r="J539" s="54"/>
      <c r="K539" s="54"/>
    </row>
    <row r="540" ht="14.25" customHeight="1">
      <c r="E540" s="315"/>
      <c r="F540" s="315"/>
      <c r="G540" s="315"/>
      <c r="H540" s="315"/>
      <c r="I540" s="318"/>
      <c r="J540" s="54"/>
      <c r="K540" s="54"/>
    </row>
    <row r="541" ht="14.25" customHeight="1">
      <c r="E541" s="315"/>
      <c r="F541" s="315"/>
      <c r="G541" s="315"/>
      <c r="H541" s="315"/>
      <c r="I541" s="318"/>
      <c r="J541" s="54"/>
      <c r="K541" s="54"/>
    </row>
    <row r="542" ht="14.25" customHeight="1">
      <c r="E542" s="315"/>
      <c r="F542" s="315"/>
      <c r="G542" s="315"/>
      <c r="H542" s="315"/>
      <c r="I542" s="318"/>
      <c r="J542" s="54"/>
      <c r="K542" s="54"/>
    </row>
    <row r="543" ht="14.25" customHeight="1">
      <c r="E543" s="315"/>
      <c r="F543" s="315"/>
      <c r="G543" s="315"/>
      <c r="H543" s="315"/>
      <c r="I543" s="318"/>
      <c r="J543" s="54"/>
      <c r="K543" s="54"/>
    </row>
    <row r="544" ht="14.25" customHeight="1">
      <c r="E544" s="315"/>
      <c r="F544" s="315"/>
      <c r="G544" s="315"/>
      <c r="H544" s="315"/>
      <c r="I544" s="318"/>
      <c r="J544" s="54"/>
      <c r="K544" s="54"/>
    </row>
    <row r="545" ht="14.25" customHeight="1">
      <c r="E545" s="315"/>
      <c r="F545" s="315"/>
      <c r="G545" s="315"/>
      <c r="H545" s="315"/>
      <c r="I545" s="318"/>
      <c r="J545" s="54"/>
      <c r="K545" s="54"/>
    </row>
    <row r="546" ht="14.25" customHeight="1">
      <c r="E546" s="315"/>
      <c r="F546" s="315"/>
      <c r="G546" s="315"/>
      <c r="H546" s="315"/>
      <c r="I546" s="318"/>
      <c r="J546" s="54"/>
      <c r="K546" s="54"/>
    </row>
    <row r="547" ht="14.25" customHeight="1">
      <c r="E547" s="315"/>
      <c r="F547" s="315"/>
      <c r="G547" s="315"/>
      <c r="H547" s="315"/>
      <c r="I547" s="318"/>
      <c r="J547" s="54"/>
      <c r="K547" s="54"/>
    </row>
    <row r="548" ht="14.25" customHeight="1">
      <c r="E548" s="315"/>
      <c r="F548" s="315"/>
      <c r="G548" s="315"/>
      <c r="H548" s="315"/>
      <c r="I548" s="318"/>
      <c r="J548" s="54"/>
      <c r="K548" s="54"/>
    </row>
    <row r="549" ht="14.25" customHeight="1">
      <c r="E549" s="315"/>
      <c r="F549" s="315"/>
      <c r="G549" s="315"/>
      <c r="H549" s="315"/>
      <c r="I549" s="318"/>
      <c r="J549" s="54"/>
      <c r="K549" s="54"/>
    </row>
    <row r="550" ht="14.25" customHeight="1">
      <c r="E550" s="315"/>
      <c r="F550" s="315"/>
      <c r="G550" s="315"/>
      <c r="H550" s="315"/>
      <c r="I550" s="318"/>
      <c r="J550" s="54"/>
      <c r="K550" s="54"/>
    </row>
    <row r="551" ht="14.25" customHeight="1">
      <c r="E551" s="315"/>
      <c r="F551" s="315"/>
      <c r="G551" s="315"/>
      <c r="H551" s="315"/>
      <c r="I551" s="318"/>
      <c r="J551" s="54"/>
      <c r="K551" s="54"/>
    </row>
    <row r="552" ht="14.25" customHeight="1">
      <c r="E552" s="315"/>
      <c r="F552" s="315"/>
      <c r="G552" s="315"/>
      <c r="H552" s="315"/>
      <c r="I552" s="318"/>
      <c r="J552" s="54"/>
      <c r="K552" s="54"/>
    </row>
    <row r="553" ht="14.25" customHeight="1">
      <c r="E553" s="315"/>
      <c r="F553" s="315"/>
      <c r="G553" s="315"/>
      <c r="H553" s="315"/>
      <c r="I553" s="318"/>
      <c r="J553" s="54"/>
      <c r="K553" s="54"/>
    </row>
    <row r="554" ht="14.25" customHeight="1">
      <c r="E554" s="315"/>
      <c r="F554" s="315"/>
      <c r="G554" s="315"/>
      <c r="H554" s="315"/>
      <c r="I554" s="318"/>
      <c r="J554" s="54"/>
      <c r="K554" s="54"/>
    </row>
    <row r="555" ht="14.25" customHeight="1">
      <c r="E555" s="315"/>
      <c r="F555" s="315"/>
      <c r="G555" s="315"/>
      <c r="H555" s="315"/>
      <c r="I555" s="318"/>
      <c r="J555" s="54"/>
      <c r="K555" s="54"/>
    </row>
    <row r="556" ht="14.25" customHeight="1">
      <c r="E556" s="315"/>
      <c r="F556" s="315"/>
      <c r="G556" s="315"/>
      <c r="H556" s="315"/>
      <c r="I556" s="318"/>
      <c r="J556" s="54"/>
      <c r="K556" s="54"/>
    </row>
    <row r="557" ht="14.25" customHeight="1">
      <c r="E557" s="315"/>
      <c r="F557" s="315"/>
      <c r="G557" s="315"/>
      <c r="H557" s="315"/>
      <c r="I557" s="318"/>
      <c r="J557" s="54"/>
      <c r="K557" s="54"/>
    </row>
    <row r="558" ht="14.25" customHeight="1">
      <c r="E558" s="315"/>
      <c r="F558" s="315"/>
      <c r="G558" s="315"/>
      <c r="H558" s="315"/>
      <c r="I558" s="318"/>
      <c r="J558" s="54"/>
      <c r="K558" s="54"/>
    </row>
    <row r="559" ht="14.25" customHeight="1">
      <c r="E559" s="315"/>
      <c r="F559" s="315"/>
      <c r="G559" s="315"/>
      <c r="H559" s="315"/>
      <c r="I559" s="318"/>
      <c r="J559" s="54"/>
      <c r="K559" s="54"/>
    </row>
    <row r="560" ht="14.25" customHeight="1">
      <c r="E560" s="315"/>
      <c r="F560" s="315"/>
      <c r="G560" s="315"/>
      <c r="H560" s="315"/>
      <c r="I560" s="318"/>
      <c r="J560" s="54"/>
      <c r="K560" s="54"/>
    </row>
    <row r="561" ht="14.25" customHeight="1">
      <c r="E561" s="315"/>
      <c r="F561" s="315"/>
      <c r="G561" s="315"/>
      <c r="H561" s="315"/>
      <c r="I561" s="318"/>
      <c r="J561" s="54"/>
      <c r="K561" s="54"/>
    </row>
    <row r="562" ht="14.25" customHeight="1">
      <c r="E562" s="315"/>
      <c r="F562" s="315"/>
      <c r="G562" s="315"/>
      <c r="H562" s="315"/>
      <c r="I562" s="318"/>
      <c r="J562" s="54"/>
      <c r="K562" s="54"/>
    </row>
    <row r="563" ht="14.25" customHeight="1">
      <c r="E563" s="315"/>
      <c r="F563" s="315"/>
      <c r="G563" s="315"/>
      <c r="H563" s="315"/>
      <c r="I563" s="318"/>
      <c r="J563" s="54"/>
      <c r="K563" s="54"/>
    </row>
    <row r="564" ht="14.25" customHeight="1">
      <c r="E564" s="315"/>
      <c r="F564" s="315"/>
      <c r="G564" s="315"/>
      <c r="H564" s="315"/>
      <c r="I564" s="318"/>
      <c r="J564" s="54"/>
      <c r="K564" s="54"/>
    </row>
    <row r="565" ht="14.25" customHeight="1">
      <c r="E565" s="315"/>
      <c r="F565" s="315"/>
      <c r="G565" s="315"/>
      <c r="H565" s="315"/>
      <c r="I565" s="318"/>
      <c r="J565" s="54"/>
      <c r="K565" s="54"/>
    </row>
    <row r="566" ht="14.25" customHeight="1">
      <c r="E566" s="315"/>
      <c r="F566" s="315"/>
      <c r="G566" s="315"/>
      <c r="H566" s="315"/>
      <c r="I566" s="318"/>
      <c r="J566" s="54"/>
      <c r="K566" s="54"/>
    </row>
    <row r="567" ht="14.25" customHeight="1">
      <c r="E567" s="315"/>
      <c r="F567" s="315"/>
      <c r="G567" s="315"/>
      <c r="H567" s="315"/>
      <c r="I567" s="318"/>
      <c r="J567" s="54"/>
      <c r="K567" s="54"/>
    </row>
    <row r="568" ht="14.25" customHeight="1">
      <c r="E568" s="315"/>
      <c r="F568" s="315"/>
      <c r="G568" s="315"/>
      <c r="H568" s="315"/>
      <c r="I568" s="318"/>
      <c r="J568" s="54"/>
      <c r="K568" s="54"/>
    </row>
    <row r="569" ht="14.25" customHeight="1">
      <c r="E569" s="315"/>
      <c r="F569" s="315"/>
      <c r="G569" s="315"/>
      <c r="H569" s="315"/>
      <c r="I569" s="318"/>
      <c r="J569" s="54"/>
      <c r="K569" s="54"/>
    </row>
    <row r="570" ht="14.25" customHeight="1">
      <c r="E570" s="315"/>
      <c r="F570" s="315"/>
      <c r="G570" s="315"/>
      <c r="H570" s="315"/>
      <c r="I570" s="318"/>
      <c r="J570" s="54"/>
      <c r="K570" s="54"/>
    </row>
    <row r="571" ht="14.25" customHeight="1">
      <c r="E571" s="315"/>
      <c r="F571" s="315"/>
      <c r="G571" s="315"/>
      <c r="H571" s="315"/>
      <c r="I571" s="318"/>
      <c r="J571" s="54"/>
      <c r="K571" s="54"/>
    </row>
    <row r="572" ht="14.25" customHeight="1">
      <c r="E572" s="315"/>
      <c r="F572" s="315"/>
      <c r="G572" s="315"/>
      <c r="H572" s="315"/>
      <c r="I572" s="318"/>
      <c r="J572" s="54"/>
      <c r="K572" s="54"/>
    </row>
    <row r="573" ht="14.25" customHeight="1">
      <c r="E573" s="315"/>
      <c r="F573" s="315"/>
      <c r="G573" s="315"/>
      <c r="H573" s="315"/>
      <c r="I573" s="318"/>
      <c r="J573" s="54"/>
      <c r="K573" s="54"/>
    </row>
    <row r="574" ht="14.25" customHeight="1">
      <c r="E574" s="315"/>
      <c r="F574" s="315"/>
      <c r="G574" s="315"/>
      <c r="H574" s="315"/>
      <c r="I574" s="318"/>
      <c r="J574" s="54"/>
      <c r="K574" s="54"/>
    </row>
    <row r="575" ht="14.25" customHeight="1">
      <c r="E575" s="315"/>
      <c r="F575" s="315"/>
      <c r="G575" s="315"/>
      <c r="H575" s="315"/>
      <c r="I575" s="318"/>
      <c r="J575" s="54"/>
      <c r="K575" s="54"/>
    </row>
    <row r="576" ht="14.25" customHeight="1">
      <c r="E576" s="315"/>
      <c r="F576" s="315"/>
      <c r="G576" s="315"/>
      <c r="H576" s="315"/>
      <c r="I576" s="318"/>
      <c r="J576" s="54"/>
      <c r="K576" s="54"/>
    </row>
    <row r="577" ht="14.25" customHeight="1">
      <c r="E577" s="315"/>
      <c r="F577" s="315"/>
      <c r="G577" s="315"/>
      <c r="H577" s="315"/>
      <c r="I577" s="318"/>
      <c r="J577" s="54"/>
      <c r="K577" s="54"/>
    </row>
    <row r="578" ht="14.25" customHeight="1">
      <c r="E578" s="315"/>
      <c r="F578" s="315"/>
      <c r="G578" s="315"/>
      <c r="H578" s="315"/>
      <c r="I578" s="318"/>
      <c r="J578" s="54"/>
      <c r="K578" s="54"/>
    </row>
    <row r="579" ht="14.25" customHeight="1">
      <c r="E579" s="315"/>
      <c r="F579" s="315"/>
      <c r="G579" s="315"/>
      <c r="H579" s="315"/>
      <c r="I579" s="318"/>
      <c r="J579" s="54"/>
      <c r="K579" s="54"/>
    </row>
    <row r="580" ht="14.25" customHeight="1">
      <c r="E580" s="315"/>
      <c r="F580" s="315"/>
      <c r="G580" s="315"/>
      <c r="H580" s="315"/>
      <c r="I580" s="318"/>
      <c r="J580" s="54"/>
      <c r="K580" s="54"/>
    </row>
    <row r="581" ht="14.25" customHeight="1">
      <c r="E581" s="315"/>
      <c r="F581" s="315"/>
      <c r="G581" s="315"/>
      <c r="H581" s="315"/>
      <c r="I581" s="318"/>
      <c r="J581" s="54"/>
      <c r="K581" s="54"/>
    </row>
    <row r="582" ht="14.25" customHeight="1">
      <c r="E582" s="315"/>
      <c r="F582" s="315"/>
      <c r="G582" s="315"/>
      <c r="H582" s="315"/>
      <c r="I582" s="318"/>
      <c r="J582" s="54"/>
      <c r="K582" s="54"/>
    </row>
    <row r="583" ht="14.25" customHeight="1">
      <c r="E583" s="315"/>
      <c r="F583" s="315"/>
      <c r="G583" s="315"/>
      <c r="H583" s="315"/>
      <c r="I583" s="318"/>
      <c r="J583" s="54"/>
      <c r="K583" s="54"/>
    </row>
    <row r="584" ht="14.25" customHeight="1">
      <c r="E584" s="315"/>
      <c r="F584" s="315"/>
      <c r="G584" s="315"/>
      <c r="H584" s="315"/>
      <c r="I584" s="318"/>
      <c r="J584" s="54"/>
      <c r="K584" s="54"/>
    </row>
    <row r="585" ht="14.25" customHeight="1">
      <c r="E585" s="315"/>
      <c r="F585" s="315"/>
      <c r="G585" s="315"/>
      <c r="H585" s="315"/>
      <c r="I585" s="318"/>
      <c r="J585" s="54"/>
      <c r="K585" s="54"/>
    </row>
    <row r="586" ht="14.25" customHeight="1">
      <c r="E586" s="315"/>
      <c r="F586" s="315"/>
      <c r="G586" s="315"/>
      <c r="H586" s="315"/>
      <c r="I586" s="318"/>
      <c r="J586" s="54"/>
      <c r="K586" s="54"/>
    </row>
    <row r="587" ht="14.25" customHeight="1">
      <c r="E587" s="315"/>
      <c r="F587" s="315"/>
      <c r="G587" s="315"/>
      <c r="H587" s="315"/>
      <c r="I587" s="318"/>
      <c r="J587" s="54"/>
      <c r="K587" s="54"/>
    </row>
    <row r="588" ht="14.25" customHeight="1">
      <c r="E588" s="315"/>
      <c r="F588" s="315"/>
      <c r="G588" s="315"/>
      <c r="H588" s="315"/>
      <c r="I588" s="318"/>
      <c r="J588" s="54"/>
      <c r="K588" s="54"/>
    </row>
    <row r="589" ht="14.25" customHeight="1">
      <c r="E589" s="315"/>
      <c r="F589" s="315"/>
      <c r="G589" s="315"/>
      <c r="H589" s="315"/>
      <c r="I589" s="318"/>
      <c r="J589" s="54"/>
      <c r="K589" s="54"/>
    </row>
    <row r="590" ht="14.25" customHeight="1">
      <c r="E590" s="315"/>
      <c r="F590" s="315"/>
      <c r="G590" s="315"/>
      <c r="H590" s="315"/>
      <c r="I590" s="318"/>
      <c r="J590" s="54"/>
      <c r="K590" s="54"/>
    </row>
    <row r="591" ht="14.25" customHeight="1">
      <c r="E591" s="315"/>
      <c r="F591" s="315"/>
      <c r="G591" s="315"/>
      <c r="H591" s="315"/>
      <c r="I591" s="318"/>
      <c r="J591" s="54"/>
      <c r="K591" s="54"/>
    </row>
    <row r="592" ht="14.25" customHeight="1">
      <c r="E592" s="315"/>
      <c r="F592" s="315"/>
      <c r="G592" s="315"/>
      <c r="H592" s="315"/>
      <c r="I592" s="318"/>
      <c r="J592" s="54"/>
      <c r="K592" s="54"/>
    </row>
    <row r="593" ht="14.25" customHeight="1">
      <c r="E593" s="315"/>
      <c r="F593" s="315"/>
      <c r="G593" s="315"/>
      <c r="H593" s="315"/>
      <c r="I593" s="318"/>
      <c r="J593" s="54"/>
      <c r="K593" s="54"/>
    </row>
    <row r="594" ht="14.25" customHeight="1">
      <c r="E594" s="315"/>
      <c r="F594" s="315"/>
      <c r="G594" s="315"/>
      <c r="H594" s="315"/>
      <c r="I594" s="318"/>
      <c r="J594" s="54"/>
      <c r="K594" s="54"/>
    </row>
    <row r="595" ht="14.25" customHeight="1">
      <c r="E595" s="315"/>
      <c r="F595" s="315"/>
      <c r="G595" s="315"/>
      <c r="H595" s="315"/>
      <c r="I595" s="318"/>
      <c r="J595" s="54"/>
      <c r="K595" s="54"/>
    </row>
    <row r="596" ht="14.25" customHeight="1">
      <c r="E596" s="315"/>
      <c r="F596" s="315"/>
      <c r="G596" s="315"/>
      <c r="H596" s="315"/>
      <c r="I596" s="318"/>
      <c r="J596" s="54"/>
      <c r="K596" s="54"/>
    </row>
    <row r="597" ht="14.25" customHeight="1">
      <c r="E597" s="315"/>
      <c r="F597" s="315"/>
      <c r="G597" s="315"/>
      <c r="H597" s="315"/>
      <c r="I597" s="318"/>
      <c r="J597" s="54"/>
      <c r="K597" s="54"/>
    </row>
    <row r="598" ht="14.25" customHeight="1">
      <c r="E598" s="315"/>
      <c r="F598" s="315"/>
      <c r="G598" s="315"/>
      <c r="H598" s="315"/>
      <c r="I598" s="318"/>
      <c r="J598" s="54"/>
      <c r="K598" s="54"/>
    </row>
    <row r="599" ht="14.25" customHeight="1">
      <c r="E599" s="315"/>
      <c r="F599" s="315"/>
      <c r="G599" s="315"/>
      <c r="H599" s="315"/>
      <c r="I599" s="318"/>
      <c r="J599" s="54"/>
      <c r="K599" s="54"/>
    </row>
    <row r="600" ht="14.25" customHeight="1">
      <c r="E600" s="315"/>
      <c r="F600" s="315"/>
      <c r="G600" s="315"/>
      <c r="H600" s="315"/>
      <c r="I600" s="318"/>
      <c r="J600" s="54"/>
      <c r="K600" s="54"/>
    </row>
    <row r="601" ht="14.25" customHeight="1">
      <c r="E601" s="315"/>
      <c r="F601" s="315"/>
      <c r="G601" s="315"/>
      <c r="H601" s="315"/>
      <c r="I601" s="318"/>
      <c r="J601" s="54"/>
      <c r="K601" s="54"/>
    </row>
    <row r="602" ht="14.25" customHeight="1">
      <c r="E602" s="315"/>
      <c r="F602" s="315"/>
      <c r="G602" s="315"/>
      <c r="H602" s="315"/>
      <c r="I602" s="318"/>
      <c r="J602" s="54"/>
      <c r="K602" s="54"/>
    </row>
    <row r="603" ht="14.25" customHeight="1">
      <c r="E603" s="315"/>
      <c r="F603" s="315"/>
      <c r="G603" s="315"/>
      <c r="H603" s="315"/>
      <c r="I603" s="318"/>
      <c r="J603" s="54"/>
      <c r="K603" s="54"/>
    </row>
    <row r="604" ht="14.25" customHeight="1">
      <c r="E604" s="315"/>
      <c r="F604" s="315"/>
      <c r="G604" s="315"/>
      <c r="H604" s="315"/>
      <c r="I604" s="318"/>
      <c r="J604" s="54"/>
      <c r="K604" s="54"/>
    </row>
    <row r="605" ht="14.25" customHeight="1">
      <c r="E605" s="315"/>
      <c r="F605" s="315"/>
      <c r="G605" s="315"/>
      <c r="H605" s="315"/>
      <c r="I605" s="318"/>
      <c r="J605" s="54"/>
      <c r="K605" s="54"/>
    </row>
    <row r="606" ht="14.25" customHeight="1">
      <c r="E606" s="315"/>
      <c r="F606" s="315"/>
      <c r="G606" s="315"/>
      <c r="H606" s="315"/>
      <c r="I606" s="318"/>
      <c r="J606" s="54"/>
      <c r="K606" s="54"/>
    </row>
    <row r="607" ht="14.25" customHeight="1">
      <c r="E607" s="315"/>
      <c r="F607" s="315"/>
      <c r="G607" s="315"/>
      <c r="H607" s="315"/>
      <c r="I607" s="318"/>
      <c r="J607" s="54"/>
      <c r="K607" s="54"/>
    </row>
    <row r="608" ht="14.25" customHeight="1">
      <c r="E608" s="315"/>
      <c r="F608" s="315"/>
      <c r="G608" s="315"/>
      <c r="H608" s="315"/>
      <c r="I608" s="318"/>
      <c r="J608" s="54"/>
      <c r="K608" s="54"/>
    </row>
    <row r="609" ht="14.25" customHeight="1">
      <c r="E609" s="315"/>
      <c r="F609" s="315"/>
      <c r="G609" s="315"/>
      <c r="H609" s="315"/>
      <c r="I609" s="318"/>
      <c r="J609" s="54"/>
      <c r="K609" s="54"/>
    </row>
    <row r="610" ht="14.25" customHeight="1">
      <c r="E610" s="315"/>
      <c r="F610" s="315"/>
      <c r="G610" s="315"/>
      <c r="H610" s="315"/>
      <c r="I610" s="318"/>
      <c r="J610" s="54"/>
      <c r="K610" s="54"/>
    </row>
    <row r="611" ht="14.25" customHeight="1">
      <c r="E611" s="315"/>
      <c r="F611" s="315"/>
      <c r="G611" s="315"/>
      <c r="H611" s="315"/>
      <c r="I611" s="318"/>
      <c r="J611" s="54"/>
      <c r="K611" s="54"/>
    </row>
    <row r="612" ht="14.25" customHeight="1">
      <c r="E612" s="315"/>
      <c r="F612" s="315"/>
      <c r="G612" s="315"/>
      <c r="H612" s="315"/>
      <c r="I612" s="318"/>
      <c r="J612" s="54"/>
      <c r="K612" s="54"/>
    </row>
    <row r="613" ht="14.25" customHeight="1">
      <c r="E613" s="315"/>
      <c r="F613" s="315"/>
      <c r="G613" s="315"/>
      <c r="H613" s="315"/>
      <c r="I613" s="318"/>
      <c r="J613" s="54"/>
      <c r="K613" s="54"/>
    </row>
    <row r="614" ht="14.25" customHeight="1">
      <c r="E614" s="315"/>
      <c r="F614" s="315"/>
      <c r="G614" s="315"/>
      <c r="H614" s="315"/>
      <c r="I614" s="318"/>
      <c r="J614" s="54"/>
      <c r="K614" s="54"/>
    </row>
    <row r="615" ht="14.25" customHeight="1">
      <c r="E615" s="315"/>
      <c r="F615" s="315"/>
      <c r="G615" s="315"/>
      <c r="H615" s="315"/>
      <c r="I615" s="318"/>
      <c r="J615" s="54"/>
      <c r="K615" s="54"/>
    </row>
    <row r="616" ht="14.25" customHeight="1">
      <c r="E616" s="315"/>
      <c r="F616" s="315"/>
      <c r="G616" s="315"/>
      <c r="H616" s="315"/>
      <c r="I616" s="318"/>
      <c r="J616" s="54"/>
      <c r="K616" s="54"/>
    </row>
    <row r="617" ht="14.25" customHeight="1">
      <c r="E617" s="315"/>
      <c r="F617" s="315"/>
      <c r="G617" s="315"/>
      <c r="H617" s="315"/>
      <c r="I617" s="318"/>
      <c r="J617" s="54"/>
      <c r="K617" s="54"/>
    </row>
    <row r="618" ht="14.25" customHeight="1">
      <c r="E618" s="315"/>
      <c r="F618" s="315"/>
      <c r="G618" s="315"/>
      <c r="H618" s="315"/>
      <c r="I618" s="318"/>
      <c r="J618" s="54"/>
      <c r="K618" s="54"/>
    </row>
    <row r="619" ht="14.25" customHeight="1">
      <c r="E619" s="315"/>
      <c r="F619" s="315"/>
      <c r="G619" s="315"/>
      <c r="H619" s="315"/>
      <c r="I619" s="318"/>
      <c r="J619" s="54"/>
      <c r="K619" s="54"/>
    </row>
    <row r="620" ht="14.25" customHeight="1">
      <c r="E620" s="315"/>
      <c r="F620" s="315"/>
      <c r="G620" s="315"/>
      <c r="H620" s="315"/>
      <c r="I620" s="318"/>
      <c r="J620" s="54"/>
      <c r="K620" s="54"/>
    </row>
    <row r="621" ht="14.25" customHeight="1">
      <c r="E621" s="315"/>
      <c r="F621" s="315"/>
      <c r="G621" s="315"/>
      <c r="H621" s="315"/>
      <c r="I621" s="318"/>
      <c r="J621" s="54"/>
      <c r="K621" s="54"/>
    </row>
    <row r="622" ht="14.25" customHeight="1">
      <c r="E622" s="315"/>
      <c r="F622" s="315"/>
      <c r="G622" s="315"/>
      <c r="H622" s="315"/>
      <c r="I622" s="318"/>
      <c r="J622" s="54"/>
      <c r="K622" s="54"/>
    </row>
    <row r="623" ht="14.25" customHeight="1">
      <c r="E623" s="315"/>
      <c r="F623" s="315"/>
      <c r="G623" s="315"/>
      <c r="H623" s="315"/>
      <c r="I623" s="318"/>
      <c r="J623" s="54"/>
      <c r="K623" s="54"/>
    </row>
    <row r="624" ht="14.25" customHeight="1">
      <c r="E624" s="315"/>
      <c r="F624" s="315"/>
      <c r="G624" s="315"/>
      <c r="H624" s="315"/>
      <c r="I624" s="318"/>
      <c r="J624" s="54"/>
      <c r="K624" s="54"/>
    </row>
    <row r="625" ht="14.25" customHeight="1">
      <c r="E625" s="315"/>
      <c r="F625" s="315"/>
      <c r="G625" s="315"/>
      <c r="H625" s="315"/>
      <c r="I625" s="318"/>
      <c r="J625" s="54"/>
      <c r="K625" s="54"/>
    </row>
    <row r="626" ht="14.25" customHeight="1">
      <c r="E626" s="315"/>
      <c r="F626" s="315"/>
      <c r="G626" s="315"/>
      <c r="H626" s="315"/>
      <c r="I626" s="318"/>
      <c r="J626" s="54"/>
      <c r="K626" s="54"/>
    </row>
    <row r="627" ht="14.25" customHeight="1">
      <c r="E627" s="315"/>
      <c r="F627" s="315"/>
      <c r="G627" s="315"/>
      <c r="H627" s="315"/>
      <c r="I627" s="318"/>
      <c r="J627" s="54"/>
      <c r="K627" s="54"/>
    </row>
    <row r="628" ht="14.25" customHeight="1">
      <c r="E628" s="315"/>
      <c r="F628" s="315"/>
      <c r="G628" s="315"/>
      <c r="H628" s="315"/>
      <c r="I628" s="318"/>
      <c r="J628" s="54"/>
      <c r="K628" s="54"/>
    </row>
    <row r="629" ht="14.25" customHeight="1">
      <c r="E629" s="315"/>
      <c r="F629" s="315"/>
      <c r="G629" s="315"/>
      <c r="H629" s="315"/>
      <c r="I629" s="318"/>
      <c r="J629" s="54"/>
      <c r="K629" s="54"/>
    </row>
    <row r="630" ht="14.25" customHeight="1">
      <c r="E630" s="315"/>
      <c r="F630" s="315"/>
      <c r="G630" s="315"/>
      <c r="H630" s="315"/>
      <c r="I630" s="318"/>
      <c r="J630" s="54"/>
      <c r="K630" s="54"/>
    </row>
    <row r="631" ht="14.25" customHeight="1">
      <c r="E631" s="315"/>
      <c r="F631" s="315"/>
      <c r="G631" s="315"/>
      <c r="H631" s="315"/>
      <c r="I631" s="318"/>
      <c r="J631" s="54"/>
      <c r="K631" s="54"/>
    </row>
    <row r="632" ht="14.25" customHeight="1">
      <c r="E632" s="315"/>
      <c r="F632" s="315"/>
      <c r="G632" s="315"/>
      <c r="H632" s="315"/>
      <c r="I632" s="318"/>
      <c r="J632" s="54"/>
      <c r="K632" s="54"/>
    </row>
    <row r="633" ht="14.25" customHeight="1">
      <c r="E633" s="315"/>
      <c r="F633" s="315"/>
      <c r="G633" s="315"/>
      <c r="H633" s="315"/>
      <c r="I633" s="318"/>
      <c r="J633" s="54"/>
      <c r="K633" s="54"/>
    </row>
    <row r="634" ht="14.25" customHeight="1">
      <c r="E634" s="315"/>
      <c r="F634" s="315"/>
      <c r="G634" s="315"/>
      <c r="H634" s="315"/>
      <c r="I634" s="318"/>
      <c r="J634" s="54"/>
      <c r="K634" s="54"/>
    </row>
    <row r="635" ht="14.25" customHeight="1">
      <c r="E635" s="315"/>
      <c r="F635" s="315"/>
      <c r="G635" s="315"/>
      <c r="H635" s="315"/>
      <c r="I635" s="318"/>
      <c r="J635" s="54"/>
      <c r="K635" s="54"/>
    </row>
    <row r="636" ht="14.25" customHeight="1">
      <c r="E636" s="315"/>
      <c r="F636" s="315"/>
      <c r="G636" s="315"/>
      <c r="H636" s="315"/>
      <c r="I636" s="318"/>
      <c r="J636" s="54"/>
      <c r="K636" s="54"/>
    </row>
    <row r="637" ht="14.25" customHeight="1">
      <c r="E637" s="315"/>
      <c r="F637" s="315"/>
      <c r="G637" s="315"/>
      <c r="H637" s="315"/>
      <c r="I637" s="318"/>
      <c r="J637" s="54"/>
      <c r="K637" s="54"/>
    </row>
    <row r="638" ht="14.25" customHeight="1">
      <c r="E638" s="315"/>
      <c r="F638" s="315"/>
      <c r="G638" s="315"/>
      <c r="H638" s="315"/>
      <c r="I638" s="318"/>
      <c r="J638" s="54"/>
      <c r="K638" s="54"/>
    </row>
    <row r="639" ht="14.25" customHeight="1">
      <c r="E639" s="315"/>
      <c r="F639" s="315"/>
      <c r="G639" s="315"/>
      <c r="H639" s="315"/>
      <c r="I639" s="318"/>
      <c r="J639" s="54"/>
      <c r="K639" s="54"/>
    </row>
    <row r="640" ht="14.25" customHeight="1">
      <c r="E640" s="315"/>
      <c r="F640" s="315"/>
      <c r="G640" s="315"/>
      <c r="H640" s="315"/>
      <c r="I640" s="318"/>
      <c r="J640" s="54"/>
      <c r="K640" s="54"/>
    </row>
    <row r="641" ht="14.25" customHeight="1">
      <c r="E641" s="315"/>
      <c r="F641" s="315"/>
      <c r="G641" s="315"/>
      <c r="H641" s="315"/>
      <c r="I641" s="318"/>
      <c r="J641" s="54"/>
      <c r="K641" s="54"/>
    </row>
    <row r="642" ht="14.25" customHeight="1">
      <c r="E642" s="315"/>
      <c r="F642" s="315"/>
      <c r="G642" s="315"/>
      <c r="H642" s="315"/>
      <c r="I642" s="318"/>
      <c r="J642" s="54"/>
      <c r="K642" s="54"/>
    </row>
    <row r="643" ht="14.25" customHeight="1">
      <c r="E643" s="315"/>
      <c r="F643" s="315"/>
      <c r="G643" s="315"/>
      <c r="H643" s="315"/>
      <c r="I643" s="318"/>
      <c r="J643" s="54"/>
      <c r="K643" s="54"/>
    </row>
    <row r="644" ht="14.25" customHeight="1">
      <c r="E644" s="315"/>
      <c r="F644" s="315"/>
      <c r="G644" s="315"/>
      <c r="H644" s="315"/>
      <c r="I644" s="318"/>
      <c r="J644" s="54"/>
      <c r="K644" s="54"/>
    </row>
    <row r="645" ht="14.25" customHeight="1">
      <c r="E645" s="315"/>
      <c r="F645" s="315"/>
      <c r="G645" s="315"/>
      <c r="H645" s="315"/>
      <c r="I645" s="318"/>
      <c r="J645" s="54"/>
      <c r="K645" s="54"/>
    </row>
    <row r="646" ht="14.25" customHeight="1">
      <c r="E646" s="315"/>
      <c r="F646" s="315"/>
      <c r="G646" s="315"/>
      <c r="H646" s="315"/>
      <c r="I646" s="318"/>
      <c r="J646" s="54"/>
      <c r="K646" s="54"/>
    </row>
    <row r="647" ht="14.25" customHeight="1">
      <c r="E647" s="315"/>
      <c r="F647" s="315"/>
      <c r="G647" s="315"/>
      <c r="H647" s="315"/>
      <c r="I647" s="318"/>
      <c r="J647" s="54"/>
      <c r="K647" s="54"/>
    </row>
    <row r="648" ht="14.25" customHeight="1">
      <c r="E648" s="315"/>
      <c r="F648" s="315"/>
      <c r="G648" s="315"/>
      <c r="H648" s="315"/>
      <c r="I648" s="318"/>
      <c r="J648" s="54"/>
      <c r="K648" s="54"/>
    </row>
    <row r="649" ht="14.25" customHeight="1">
      <c r="E649" s="315"/>
      <c r="F649" s="315"/>
      <c r="G649" s="315"/>
      <c r="H649" s="315"/>
      <c r="I649" s="318"/>
      <c r="J649" s="54"/>
      <c r="K649" s="54"/>
    </row>
    <row r="650" ht="14.25" customHeight="1">
      <c r="E650" s="315"/>
      <c r="F650" s="315"/>
      <c r="G650" s="315"/>
      <c r="H650" s="315"/>
      <c r="I650" s="318"/>
      <c r="J650" s="54"/>
      <c r="K650" s="54"/>
    </row>
    <row r="651" ht="14.25" customHeight="1">
      <c r="E651" s="315"/>
      <c r="F651" s="315"/>
      <c r="G651" s="315"/>
      <c r="H651" s="315"/>
      <c r="I651" s="318"/>
      <c r="J651" s="54"/>
      <c r="K651" s="54"/>
    </row>
    <row r="652" ht="14.25" customHeight="1">
      <c r="E652" s="315"/>
      <c r="F652" s="315"/>
      <c r="G652" s="315"/>
      <c r="H652" s="315"/>
      <c r="I652" s="318"/>
      <c r="J652" s="54"/>
      <c r="K652" s="54"/>
    </row>
    <row r="653" ht="14.25" customHeight="1">
      <c r="E653" s="315"/>
      <c r="F653" s="315"/>
      <c r="G653" s="315"/>
      <c r="H653" s="315"/>
      <c r="I653" s="318"/>
      <c r="J653" s="54"/>
      <c r="K653" s="54"/>
    </row>
    <row r="654" ht="14.25" customHeight="1">
      <c r="E654" s="315"/>
      <c r="F654" s="315"/>
      <c r="G654" s="315"/>
      <c r="H654" s="315"/>
      <c r="I654" s="318"/>
      <c r="J654" s="54"/>
      <c r="K654" s="54"/>
    </row>
    <row r="655" ht="14.25" customHeight="1">
      <c r="E655" s="315"/>
      <c r="F655" s="315"/>
      <c r="G655" s="315"/>
      <c r="H655" s="315"/>
      <c r="I655" s="318"/>
      <c r="J655" s="54"/>
      <c r="K655" s="54"/>
    </row>
    <row r="656" ht="14.25" customHeight="1">
      <c r="E656" s="315"/>
      <c r="F656" s="315"/>
      <c r="G656" s="315"/>
      <c r="H656" s="315"/>
      <c r="I656" s="318"/>
      <c r="J656" s="54"/>
      <c r="K656" s="54"/>
    </row>
    <row r="657" ht="14.25" customHeight="1">
      <c r="E657" s="315"/>
      <c r="F657" s="315"/>
      <c r="G657" s="315"/>
      <c r="H657" s="315"/>
      <c r="I657" s="318"/>
      <c r="J657" s="54"/>
      <c r="K657" s="54"/>
    </row>
    <row r="658" ht="14.25" customHeight="1">
      <c r="E658" s="315"/>
      <c r="F658" s="315"/>
      <c r="G658" s="315"/>
      <c r="H658" s="315"/>
      <c r="I658" s="318"/>
      <c r="J658" s="54"/>
      <c r="K658" s="54"/>
    </row>
    <row r="659" ht="14.25" customHeight="1">
      <c r="E659" s="315"/>
      <c r="F659" s="315"/>
      <c r="G659" s="315"/>
      <c r="H659" s="315"/>
      <c r="I659" s="318"/>
      <c r="J659" s="54"/>
      <c r="K659" s="54"/>
    </row>
    <row r="660" ht="14.25" customHeight="1">
      <c r="E660" s="315"/>
      <c r="F660" s="315"/>
      <c r="G660" s="315"/>
      <c r="H660" s="315"/>
      <c r="I660" s="318"/>
      <c r="J660" s="54"/>
      <c r="K660" s="54"/>
    </row>
    <row r="661" ht="14.25" customHeight="1">
      <c r="E661" s="315"/>
      <c r="F661" s="315"/>
      <c r="G661" s="315"/>
      <c r="H661" s="315"/>
      <c r="I661" s="318"/>
      <c r="J661" s="54"/>
      <c r="K661" s="54"/>
    </row>
    <row r="662" ht="14.25" customHeight="1">
      <c r="E662" s="315"/>
      <c r="F662" s="315"/>
      <c r="G662" s="315"/>
      <c r="H662" s="315"/>
      <c r="I662" s="318"/>
      <c r="J662" s="54"/>
      <c r="K662" s="54"/>
    </row>
    <row r="663" ht="14.25" customHeight="1">
      <c r="E663" s="315"/>
      <c r="F663" s="315"/>
      <c r="G663" s="315"/>
      <c r="H663" s="315"/>
      <c r="I663" s="318"/>
      <c r="J663" s="54"/>
      <c r="K663" s="54"/>
    </row>
    <row r="664" ht="14.25" customHeight="1">
      <c r="E664" s="315"/>
      <c r="F664" s="315"/>
      <c r="G664" s="315"/>
      <c r="H664" s="315"/>
      <c r="I664" s="318"/>
      <c r="J664" s="54"/>
      <c r="K664" s="54"/>
    </row>
    <row r="665" ht="14.25" customHeight="1">
      <c r="E665" s="315"/>
      <c r="F665" s="315"/>
      <c r="G665" s="315"/>
      <c r="H665" s="315"/>
      <c r="I665" s="318"/>
      <c r="J665" s="54"/>
      <c r="K665" s="54"/>
    </row>
    <row r="666" ht="14.25" customHeight="1">
      <c r="E666" s="315"/>
      <c r="F666" s="315"/>
      <c r="G666" s="315"/>
      <c r="H666" s="315"/>
      <c r="I666" s="318"/>
      <c r="J666" s="54"/>
      <c r="K666" s="54"/>
    </row>
    <row r="667" ht="14.25" customHeight="1">
      <c r="E667" s="315"/>
      <c r="F667" s="315"/>
      <c r="G667" s="315"/>
      <c r="H667" s="315"/>
      <c r="I667" s="318"/>
      <c r="J667" s="54"/>
      <c r="K667" s="54"/>
    </row>
    <row r="668" ht="14.25" customHeight="1">
      <c r="E668" s="315"/>
      <c r="F668" s="315"/>
      <c r="G668" s="315"/>
      <c r="H668" s="315"/>
      <c r="I668" s="318"/>
      <c r="J668" s="54"/>
      <c r="K668" s="54"/>
    </row>
    <row r="669" ht="14.25" customHeight="1">
      <c r="E669" s="315"/>
      <c r="F669" s="315"/>
      <c r="G669" s="315"/>
      <c r="H669" s="315"/>
      <c r="I669" s="318"/>
      <c r="J669" s="54"/>
      <c r="K669" s="54"/>
    </row>
    <row r="670" ht="14.25" customHeight="1">
      <c r="E670" s="315"/>
      <c r="F670" s="315"/>
      <c r="G670" s="315"/>
      <c r="H670" s="315"/>
      <c r="I670" s="318"/>
      <c r="J670" s="54"/>
      <c r="K670" s="54"/>
    </row>
    <row r="671" ht="14.25" customHeight="1">
      <c r="E671" s="315"/>
      <c r="F671" s="315"/>
      <c r="G671" s="315"/>
      <c r="H671" s="315"/>
      <c r="I671" s="318"/>
      <c r="J671" s="54"/>
      <c r="K671" s="54"/>
    </row>
    <row r="672" ht="14.25" customHeight="1">
      <c r="E672" s="315"/>
      <c r="F672" s="315"/>
      <c r="G672" s="315"/>
      <c r="H672" s="315"/>
      <c r="I672" s="318"/>
      <c r="J672" s="54"/>
      <c r="K672" s="54"/>
    </row>
    <row r="673" ht="14.25" customHeight="1">
      <c r="E673" s="315"/>
      <c r="F673" s="315"/>
      <c r="G673" s="315"/>
      <c r="H673" s="315"/>
      <c r="I673" s="318"/>
      <c r="J673" s="54"/>
      <c r="K673" s="54"/>
    </row>
    <row r="674" ht="14.25" customHeight="1">
      <c r="E674" s="315"/>
      <c r="F674" s="315"/>
      <c r="G674" s="315"/>
      <c r="H674" s="315"/>
      <c r="I674" s="318"/>
      <c r="J674" s="54"/>
      <c r="K674" s="54"/>
    </row>
    <row r="675" ht="14.25" customHeight="1">
      <c r="E675" s="315"/>
      <c r="F675" s="315"/>
      <c r="G675" s="315"/>
      <c r="H675" s="315"/>
      <c r="I675" s="318"/>
      <c r="J675" s="54"/>
      <c r="K675" s="54"/>
    </row>
    <row r="676" ht="14.25" customHeight="1">
      <c r="E676" s="315"/>
      <c r="F676" s="315"/>
      <c r="G676" s="315"/>
      <c r="H676" s="315"/>
      <c r="I676" s="318"/>
      <c r="J676" s="54"/>
      <c r="K676" s="54"/>
    </row>
    <row r="677" ht="14.25" customHeight="1">
      <c r="E677" s="315"/>
      <c r="F677" s="315"/>
      <c r="G677" s="315"/>
      <c r="H677" s="315"/>
      <c r="I677" s="318"/>
      <c r="J677" s="54"/>
      <c r="K677" s="54"/>
    </row>
    <row r="678" ht="14.25" customHeight="1">
      <c r="E678" s="315"/>
      <c r="F678" s="315"/>
      <c r="G678" s="315"/>
      <c r="H678" s="315"/>
      <c r="I678" s="318"/>
      <c r="J678" s="54"/>
      <c r="K678" s="54"/>
    </row>
    <row r="679" ht="14.25" customHeight="1">
      <c r="E679" s="315"/>
      <c r="F679" s="315"/>
      <c r="G679" s="315"/>
      <c r="H679" s="315"/>
      <c r="I679" s="318"/>
      <c r="J679" s="54"/>
      <c r="K679" s="54"/>
    </row>
    <row r="680" ht="14.25" customHeight="1">
      <c r="E680" s="315"/>
      <c r="F680" s="315"/>
      <c r="G680" s="315"/>
      <c r="H680" s="315"/>
      <c r="I680" s="318"/>
      <c r="J680" s="54"/>
      <c r="K680" s="54"/>
    </row>
    <row r="681" ht="14.25" customHeight="1">
      <c r="E681" s="315"/>
      <c r="F681" s="315"/>
      <c r="G681" s="315"/>
      <c r="H681" s="315"/>
      <c r="I681" s="318"/>
      <c r="J681" s="54"/>
      <c r="K681" s="54"/>
    </row>
    <row r="682" ht="14.25" customHeight="1">
      <c r="E682" s="315"/>
      <c r="F682" s="315"/>
      <c r="G682" s="315"/>
      <c r="H682" s="315"/>
      <c r="I682" s="318"/>
      <c r="J682" s="54"/>
      <c r="K682" s="54"/>
    </row>
    <row r="683" ht="14.25" customHeight="1">
      <c r="E683" s="315"/>
      <c r="F683" s="315"/>
      <c r="G683" s="315"/>
      <c r="H683" s="315"/>
      <c r="I683" s="318"/>
      <c r="J683" s="54"/>
      <c r="K683" s="54"/>
    </row>
    <row r="684" ht="14.25" customHeight="1">
      <c r="E684" s="315"/>
      <c r="F684" s="315"/>
      <c r="G684" s="315"/>
      <c r="H684" s="315"/>
      <c r="I684" s="318"/>
      <c r="J684" s="54"/>
      <c r="K684" s="54"/>
    </row>
    <row r="685" ht="14.25" customHeight="1">
      <c r="E685" s="315"/>
      <c r="F685" s="315"/>
      <c r="G685" s="315"/>
      <c r="H685" s="315"/>
      <c r="I685" s="318"/>
      <c r="J685" s="54"/>
      <c r="K685" s="54"/>
    </row>
    <row r="686" ht="14.25" customHeight="1">
      <c r="E686" s="315"/>
      <c r="F686" s="315"/>
      <c r="G686" s="315"/>
      <c r="H686" s="315"/>
      <c r="I686" s="318"/>
      <c r="J686" s="54"/>
      <c r="K686" s="54"/>
    </row>
    <row r="687" ht="14.25" customHeight="1">
      <c r="E687" s="315"/>
      <c r="F687" s="315"/>
      <c r="G687" s="315"/>
      <c r="H687" s="315"/>
      <c r="I687" s="318"/>
      <c r="J687" s="54"/>
      <c r="K687" s="54"/>
    </row>
    <row r="688" ht="14.25" customHeight="1">
      <c r="E688" s="315"/>
      <c r="F688" s="315"/>
      <c r="G688" s="315"/>
      <c r="H688" s="315"/>
      <c r="I688" s="318"/>
      <c r="J688" s="54"/>
      <c r="K688" s="54"/>
    </row>
    <row r="689" ht="14.25" customHeight="1">
      <c r="E689" s="315"/>
      <c r="F689" s="315"/>
      <c r="G689" s="315"/>
      <c r="H689" s="315"/>
      <c r="I689" s="318"/>
      <c r="J689" s="54"/>
      <c r="K689" s="54"/>
    </row>
    <row r="690" ht="14.25" customHeight="1">
      <c r="E690" s="315"/>
      <c r="F690" s="315"/>
      <c r="G690" s="315"/>
      <c r="H690" s="315"/>
      <c r="I690" s="318"/>
      <c r="J690" s="54"/>
      <c r="K690" s="54"/>
    </row>
    <row r="691" ht="14.25" customHeight="1">
      <c r="E691" s="315"/>
      <c r="F691" s="315"/>
      <c r="G691" s="315"/>
      <c r="H691" s="315"/>
      <c r="I691" s="318"/>
      <c r="J691" s="54"/>
      <c r="K691" s="54"/>
    </row>
    <row r="692" ht="14.25" customHeight="1">
      <c r="E692" s="315"/>
      <c r="F692" s="315"/>
      <c r="G692" s="315"/>
      <c r="H692" s="315"/>
      <c r="I692" s="318"/>
      <c r="J692" s="54"/>
      <c r="K692" s="54"/>
    </row>
    <row r="693" ht="14.25" customHeight="1">
      <c r="E693" s="315"/>
      <c r="F693" s="315"/>
      <c r="G693" s="315"/>
      <c r="H693" s="315"/>
      <c r="I693" s="318"/>
      <c r="J693" s="54"/>
      <c r="K693" s="54"/>
    </row>
    <row r="694" ht="14.25" customHeight="1">
      <c r="E694" s="315"/>
      <c r="F694" s="315"/>
      <c r="G694" s="315"/>
      <c r="H694" s="315"/>
      <c r="I694" s="318"/>
      <c r="J694" s="54"/>
      <c r="K694" s="54"/>
    </row>
    <row r="695" ht="14.25" customHeight="1">
      <c r="E695" s="315"/>
      <c r="F695" s="315"/>
      <c r="G695" s="315"/>
      <c r="H695" s="315"/>
      <c r="I695" s="318"/>
      <c r="J695" s="54"/>
      <c r="K695" s="54"/>
    </row>
    <row r="696" ht="14.25" customHeight="1">
      <c r="E696" s="315"/>
      <c r="F696" s="315"/>
      <c r="G696" s="315"/>
      <c r="H696" s="315"/>
      <c r="I696" s="318"/>
      <c r="J696" s="54"/>
      <c r="K696" s="54"/>
    </row>
    <row r="697" ht="14.25" customHeight="1">
      <c r="E697" s="315"/>
      <c r="F697" s="315"/>
      <c r="G697" s="315"/>
      <c r="H697" s="315"/>
      <c r="I697" s="318"/>
      <c r="J697" s="54"/>
      <c r="K697" s="54"/>
    </row>
    <row r="698" ht="14.25" customHeight="1">
      <c r="E698" s="315"/>
      <c r="F698" s="315"/>
      <c r="G698" s="315"/>
      <c r="H698" s="315"/>
      <c r="I698" s="318"/>
      <c r="J698" s="54"/>
      <c r="K698" s="54"/>
    </row>
    <row r="699" ht="14.25" customHeight="1">
      <c r="E699" s="315"/>
      <c r="F699" s="315"/>
      <c r="G699" s="315"/>
      <c r="H699" s="315"/>
      <c r="I699" s="318"/>
      <c r="J699" s="54"/>
      <c r="K699" s="54"/>
    </row>
    <row r="700" ht="14.25" customHeight="1">
      <c r="E700" s="315"/>
      <c r="F700" s="315"/>
      <c r="G700" s="315"/>
      <c r="H700" s="315"/>
      <c r="I700" s="318"/>
      <c r="J700" s="54"/>
      <c r="K700" s="54"/>
    </row>
    <row r="701" ht="14.25" customHeight="1">
      <c r="E701" s="315"/>
      <c r="F701" s="315"/>
      <c r="G701" s="315"/>
      <c r="H701" s="315"/>
      <c r="I701" s="318"/>
      <c r="J701" s="54"/>
      <c r="K701" s="54"/>
    </row>
    <row r="702" ht="14.25" customHeight="1">
      <c r="E702" s="315"/>
      <c r="F702" s="315"/>
      <c r="G702" s="315"/>
      <c r="H702" s="315"/>
      <c r="I702" s="318"/>
      <c r="J702" s="54"/>
      <c r="K702" s="54"/>
    </row>
    <row r="703" ht="14.25" customHeight="1">
      <c r="E703" s="315"/>
      <c r="F703" s="315"/>
      <c r="G703" s="315"/>
      <c r="H703" s="315"/>
      <c r="I703" s="318"/>
      <c r="J703" s="54"/>
      <c r="K703" s="54"/>
    </row>
    <row r="704" ht="14.25" customHeight="1">
      <c r="E704" s="315"/>
      <c r="F704" s="315"/>
      <c r="G704" s="315"/>
      <c r="H704" s="315"/>
      <c r="I704" s="318"/>
      <c r="J704" s="54"/>
      <c r="K704" s="54"/>
    </row>
    <row r="705" ht="14.25" customHeight="1">
      <c r="E705" s="315"/>
      <c r="F705" s="315"/>
      <c r="G705" s="315"/>
      <c r="H705" s="315"/>
      <c r="I705" s="318"/>
      <c r="J705" s="54"/>
      <c r="K705" s="54"/>
    </row>
    <row r="706" ht="14.25" customHeight="1">
      <c r="E706" s="315"/>
      <c r="F706" s="315"/>
      <c r="G706" s="315"/>
      <c r="H706" s="315"/>
      <c r="I706" s="318"/>
      <c r="J706" s="54"/>
      <c r="K706" s="54"/>
    </row>
    <row r="707" ht="14.25" customHeight="1">
      <c r="E707" s="315"/>
      <c r="F707" s="315"/>
      <c r="G707" s="315"/>
      <c r="H707" s="315"/>
      <c r="I707" s="318"/>
      <c r="J707" s="54"/>
      <c r="K707" s="54"/>
    </row>
    <row r="708" ht="14.25" customHeight="1">
      <c r="E708" s="315"/>
      <c r="F708" s="315"/>
      <c r="G708" s="315"/>
      <c r="H708" s="315"/>
      <c r="I708" s="318"/>
      <c r="J708" s="54"/>
      <c r="K708" s="54"/>
    </row>
    <row r="709" ht="14.25" customHeight="1">
      <c r="E709" s="315"/>
      <c r="F709" s="315"/>
      <c r="G709" s="315"/>
      <c r="H709" s="315"/>
      <c r="I709" s="318"/>
      <c r="J709" s="54"/>
      <c r="K709" s="54"/>
    </row>
    <row r="710" ht="14.25" customHeight="1">
      <c r="E710" s="315"/>
      <c r="F710" s="315"/>
      <c r="G710" s="315"/>
      <c r="H710" s="315"/>
      <c r="I710" s="318"/>
      <c r="J710" s="54"/>
      <c r="K710" s="54"/>
    </row>
    <row r="711" ht="14.25" customHeight="1">
      <c r="E711" s="315"/>
      <c r="F711" s="315"/>
      <c r="G711" s="315"/>
      <c r="H711" s="315"/>
      <c r="I711" s="318"/>
      <c r="J711" s="54"/>
      <c r="K711" s="54"/>
    </row>
    <row r="712" ht="14.25" customHeight="1">
      <c r="E712" s="315"/>
      <c r="F712" s="315"/>
      <c r="G712" s="315"/>
      <c r="H712" s="315"/>
      <c r="I712" s="318"/>
      <c r="J712" s="54"/>
      <c r="K712" s="54"/>
    </row>
    <row r="713" ht="14.25" customHeight="1">
      <c r="E713" s="315"/>
      <c r="F713" s="315"/>
      <c r="G713" s="315"/>
      <c r="H713" s="315"/>
      <c r="I713" s="318"/>
      <c r="J713" s="54"/>
      <c r="K713" s="54"/>
    </row>
    <row r="714" ht="14.25" customHeight="1">
      <c r="E714" s="315"/>
      <c r="F714" s="315"/>
      <c r="G714" s="315"/>
      <c r="H714" s="315"/>
      <c r="I714" s="318"/>
      <c r="J714" s="54"/>
      <c r="K714" s="54"/>
    </row>
    <row r="715" ht="14.25" customHeight="1">
      <c r="E715" s="315"/>
      <c r="F715" s="315"/>
      <c r="G715" s="315"/>
      <c r="H715" s="315"/>
      <c r="I715" s="318"/>
      <c r="J715" s="54"/>
      <c r="K715" s="54"/>
    </row>
    <row r="716" ht="14.25" customHeight="1">
      <c r="E716" s="315"/>
      <c r="F716" s="315"/>
      <c r="G716" s="315"/>
      <c r="H716" s="315"/>
      <c r="I716" s="318"/>
      <c r="J716" s="54"/>
      <c r="K716" s="54"/>
    </row>
    <row r="717" ht="14.25" customHeight="1">
      <c r="E717" s="315"/>
      <c r="F717" s="315"/>
      <c r="G717" s="315"/>
      <c r="H717" s="315"/>
      <c r="I717" s="318"/>
      <c r="J717" s="54"/>
      <c r="K717" s="54"/>
    </row>
    <row r="718" ht="14.25" customHeight="1">
      <c r="E718" s="315"/>
      <c r="F718" s="315"/>
      <c r="G718" s="315"/>
      <c r="H718" s="315"/>
      <c r="I718" s="318"/>
      <c r="J718" s="54"/>
      <c r="K718" s="54"/>
    </row>
    <row r="719" ht="14.25" customHeight="1">
      <c r="E719" s="315"/>
      <c r="F719" s="315"/>
      <c r="G719" s="315"/>
      <c r="H719" s="315"/>
      <c r="I719" s="318"/>
      <c r="J719" s="54"/>
      <c r="K719" s="54"/>
    </row>
    <row r="720" ht="14.25" customHeight="1">
      <c r="E720" s="315"/>
      <c r="F720" s="315"/>
      <c r="G720" s="315"/>
      <c r="H720" s="315"/>
      <c r="I720" s="318"/>
      <c r="J720" s="54"/>
      <c r="K720" s="54"/>
    </row>
    <row r="721" ht="14.25" customHeight="1">
      <c r="E721" s="315"/>
      <c r="F721" s="315"/>
      <c r="G721" s="315"/>
      <c r="H721" s="315"/>
      <c r="I721" s="318"/>
      <c r="J721" s="54"/>
      <c r="K721" s="54"/>
    </row>
    <row r="722" ht="14.25" customHeight="1">
      <c r="E722" s="315"/>
      <c r="F722" s="315"/>
      <c r="G722" s="315"/>
      <c r="H722" s="315"/>
      <c r="I722" s="318"/>
      <c r="J722" s="54"/>
      <c r="K722" s="54"/>
    </row>
    <row r="723" ht="14.25" customHeight="1">
      <c r="E723" s="315"/>
      <c r="F723" s="315"/>
      <c r="G723" s="315"/>
      <c r="H723" s="315"/>
      <c r="I723" s="318"/>
      <c r="J723" s="54"/>
      <c r="K723" s="54"/>
    </row>
    <row r="724" ht="14.25" customHeight="1">
      <c r="E724" s="315"/>
      <c r="F724" s="315"/>
      <c r="G724" s="315"/>
      <c r="H724" s="315"/>
      <c r="I724" s="318"/>
      <c r="J724" s="54"/>
      <c r="K724" s="54"/>
    </row>
    <row r="725" ht="14.25" customHeight="1">
      <c r="E725" s="315"/>
      <c r="F725" s="315"/>
      <c r="G725" s="315"/>
      <c r="H725" s="315"/>
      <c r="I725" s="318"/>
      <c r="J725" s="54"/>
      <c r="K725" s="54"/>
    </row>
    <row r="726" ht="14.25" customHeight="1">
      <c r="E726" s="315"/>
      <c r="F726" s="315"/>
      <c r="G726" s="315"/>
      <c r="H726" s="315"/>
      <c r="I726" s="318"/>
      <c r="J726" s="54"/>
      <c r="K726" s="54"/>
    </row>
    <row r="727" ht="14.25" customHeight="1">
      <c r="E727" s="315"/>
      <c r="F727" s="315"/>
      <c r="G727" s="315"/>
      <c r="H727" s="315"/>
      <c r="I727" s="318"/>
      <c r="J727" s="54"/>
      <c r="K727" s="54"/>
    </row>
    <row r="728" ht="14.25" customHeight="1">
      <c r="E728" s="315"/>
      <c r="F728" s="315"/>
      <c r="G728" s="315"/>
      <c r="H728" s="315"/>
      <c r="I728" s="318"/>
      <c r="J728" s="54"/>
      <c r="K728" s="54"/>
    </row>
    <row r="729" ht="14.25" customHeight="1">
      <c r="E729" s="315"/>
      <c r="F729" s="315"/>
      <c r="G729" s="315"/>
      <c r="H729" s="315"/>
      <c r="I729" s="318"/>
      <c r="J729" s="54"/>
      <c r="K729" s="54"/>
    </row>
    <row r="730" ht="14.25" customHeight="1">
      <c r="E730" s="315"/>
      <c r="F730" s="315"/>
      <c r="G730" s="315"/>
      <c r="H730" s="315"/>
      <c r="I730" s="318"/>
      <c r="J730" s="54"/>
      <c r="K730" s="54"/>
    </row>
    <row r="731" ht="14.25" customHeight="1">
      <c r="E731" s="315"/>
      <c r="F731" s="315"/>
      <c r="G731" s="315"/>
      <c r="H731" s="315"/>
      <c r="I731" s="318"/>
      <c r="J731" s="54"/>
      <c r="K731" s="54"/>
    </row>
    <row r="732" ht="14.25" customHeight="1">
      <c r="E732" s="315"/>
      <c r="F732" s="315"/>
      <c r="G732" s="315"/>
      <c r="H732" s="315"/>
      <c r="I732" s="318"/>
      <c r="J732" s="54"/>
      <c r="K732" s="54"/>
    </row>
    <row r="733" ht="14.25" customHeight="1">
      <c r="E733" s="315"/>
      <c r="F733" s="315"/>
      <c r="G733" s="315"/>
      <c r="H733" s="315"/>
      <c r="I733" s="318"/>
      <c r="J733" s="54"/>
      <c r="K733" s="54"/>
    </row>
    <row r="734" ht="14.25" customHeight="1">
      <c r="E734" s="315"/>
      <c r="F734" s="315"/>
      <c r="G734" s="315"/>
      <c r="H734" s="315"/>
      <c r="I734" s="318"/>
      <c r="J734" s="54"/>
      <c r="K734" s="54"/>
    </row>
    <row r="735" ht="14.25" customHeight="1">
      <c r="E735" s="315"/>
      <c r="F735" s="315"/>
      <c r="G735" s="315"/>
      <c r="H735" s="315"/>
      <c r="I735" s="318"/>
      <c r="J735" s="54"/>
      <c r="K735" s="54"/>
    </row>
    <row r="736" ht="14.25" customHeight="1">
      <c r="E736" s="315"/>
      <c r="F736" s="315"/>
      <c r="G736" s="315"/>
      <c r="H736" s="315"/>
      <c r="I736" s="318"/>
      <c r="J736" s="54"/>
      <c r="K736" s="54"/>
    </row>
    <row r="737" ht="14.25" customHeight="1">
      <c r="E737" s="315"/>
      <c r="F737" s="315"/>
      <c r="G737" s="315"/>
      <c r="H737" s="315"/>
      <c r="I737" s="318"/>
      <c r="J737" s="54"/>
      <c r="K737" s="54"/>
    </row>
    <row r="738" ht="14.25" customHeight="1">
      <c r="E738" s="315"/>
      <c r="F738" s="315"/>
      <c r="G738" s="315"/>
      <c r="H738" s="315"/>
      <c r="I738" s="318"/>
      <c r="J738" s="54"/>
      <c r="K738" s="54"/>
    </row>
    <row r="739" ht="14.25" customHeight="1">
      <c r="E739" s="315"/>
      <c r="F739" s="315"/>
      <c r="G739" s="315"/>
      <c r="H739" s="315"/>
      <c r="I739" s="318"/>
      <c r="J739" s="54"/>
      <c r="K739" s="54"/>
    </row>
    <row r="740" ht="14.25" customHeight="1">
      <c r="E740" s="315"/>
      <c r="F740" s="315"/>
      <c r="G740" s="315"/>
      <c r="H740" s="315"/>
      <c r="I740" s="318"/>
      <c r="J740" s="54"/>
      <c r="K740" s="54"/>
    </row>
    <row r="741" ht="14.25" customHeight="1">
      <c r="E741" s="315"/>
      <c r="F741" s="315"/>
      <c r="G741" s="315"/>
      <c r="H741" s="315"/>
      <c r="I741" s="318"/>
      <c r="J741" s="54"/>
      <c r="K741" s="54"/>
    </row>
    <row r="742" ht="14.25" customHeight="1">
      <c r="E742" s="315"/>
      <c r="F742" s="315"/>
      <c r="G742" s="315"/>
      <c r="H742" s="315"/>
      <c r="I742" s="318"/>
      <c r="J742" s="54"/>
      <c r="K742" s="54"/>
    </row>
    <row r="743" ht="14.25" customHeight="1">
      <c r="E743" s="315"/>
      <c r="F743" s="315"/>
      <c r="G743" s="315"/>
      <c r="H743" s="315"/>
      <c r="I743" s="318"/>
      <c r="J743" s="54"/>
      <c r="K743" s="54"/>
    </row>
    <row r="744" ht="14.25" customHeight="1">
      <c r="E744" s="315"/>
      <c r="F744" s="315"/>
      <c r="G744" s="315"/>
      <c r="H744" s="315"/>
      <c r="I744" s="318"/>
      <c r="J744" s="54"/>
      <c r="K744" s="54"/>
    </row>
    <row r="745" ht="14.25" customHeight="1">
      <c r="E745" s="315"/>
      <c r="F745" s="315"/>
      <c r="G745" s="315"/>
      <c r="H745" s="315"/>
      <c r="I745" s="318"/>
      <c r="J745" s="54"/>
      <c r="K745" s="54"/>
    </row>
    <row r="746" ht="14.25" customHeight="1">
      <c r="E746" s="315"/>
      <c r="F746" s="315"/>
      <c r="G746" s="315"/>
      <c r="H746" s="315"/>
      <c r="I746" s="318"/>
      <c r="J746" s="54"/>
      <c r="K746" s="54"/>
    </row>
    <row r="747" ht="14.25" customHeight="1">
      <c r="E747" s="315"/>
      <c r="F747" s="315"/>
      <c r="G747" s="315"/>
      <c r="H747" s="315"/>
      <c r="I747" s="318"/>
      <c r="J747" s="54"/>
      <c r="K747" s="54"/>
    </row>
    <row r="748" ht="14.25" customHeight="1">
      <c r="E748" s="315"/>
      <c r="F748" s="315"/>
      <c r="G748" s="315"/>
      <c r="H748" s="315"/>
      <c r="I748" s="318"/>
      <c r="J748" s="54"/>
      <c r="K748" s="54"/>
    </row>
    <row r="749" ht="14.25" customHeight="1">
      <c r="E749" s="315"/>
      <c r="F749" s="315"/>
      <c r="G749" s="315"/>
      <c r="H749" s="315"/>
      <c r="I749" s="318"/>
      <c r="J749" s="54"/>
      <c r="K749" s="54"/>
    </row>
    <row r="750" ht="14.25" customHeight="1">
      <c r="E750" s="315"/>
      <c r="F750" s="315"/>
      <c r="G750" s="315"/>
      <c r="H750" s="315"/>
      <c r="I750" s="318"/>
      <c r="J750" s="54"/>
      <c r="K750" s="54"/>
    </row>
    <row r="751" ht="14.25" customHeight="1">
      <c r="E751" s="315"/>
      <c r="F751" s="315"/>
      <c r="G751" s="315"/>
      <c r="H751" s="315"/>
      <c r="I751" s="318"/>
      <c r="J751" s="54"/>
      <c r="K751" s="54"/>
    </row>
    <row r="752" ht="14.25" customHeight="1">
      <c r="E752" s="315"/>
      <c r="F752" s="315"/>
      <c r="G752" s="315"/>
      <c r="H752" s="315"/>
      <c r="I752" s="318"/>
      <c r="J752" s="54"/>
      <c r="K752" s="54"/>
    </row>
    <row r="753" ht="14.25" customHeight="1">
      <c r="E753" s="315"/>
      <c r="F753" s="315"/>
      <c r="G753" s="315"/>
      <c r="H753" s="315"/>
      <c r="I753" s="318"/>
      <c r="J753" s="54"/>
      <c r="K753" s="54"/>
    </row>
    <row r="754" ht="14.25" customHeight="1">
      <c r="E754" s="315"/>
      <c r="F754" s="315"/>
      <c r="G754" s="315"/>
      <c r="H754" s="315"/>
      <c r="I754" s="318"/>
      <c r="J754" s="54"/>
      <c r="K754" s="54"/>
    </row>
    <row r="755" ht="14.25" customHeight="1">
      <c r="E755" s="315"/>
      <c r="F755" s="315"/>
      <c r="G755" s="315"/>
      <c r="H755" s="315"/>
      <c r="I755" s="318"/>
      <c r="J755" s="54"/>
      <c r="K755" s="54"/>
    </row>
    <row r="756" ht="14.25" customHeight="1">
      <c r="E756" s="315"/>
      <c r="F756" s="315"/>
      <c r="G756" s="315"/>
      <c r="H756" s="315"/>
      <c r="I756" s="318"/>
      <c r="J756" s="54"/>
      <c r="K756" s="54"/>
    </row>
    <row r="757" ht="14.25" customHeight="1">
      <c r="E757" s="315"/>
      <c r="F757" s="315"/>
      <c r="G757" s="315"/>
      <c r="H757" s="315"/>
      <c r="I757" s="318"/>
      <c r="J757" s="54"/>
      <c r="K757" s="54"/>
    </row>
    <row r="758" ht="14.25" customHeight="1">
      <c r="E758" s="315"/>
      <c r="F758" s="315"/>
      <c r="G758" s="315"/>
      <c r="H758" s="315"/>
      <c r="I758" s="318"/>
      <c r="J758" s="54"/>
      <c r="K758" s="54"/>
    </row>
    <row r="759" ht="14.25" customHeight="1">
      <c r="E759" s="315"/>
      <c r="F759" s="315"/>
      <c r="G759" s="315"/>
      <c r="H759" s="315"/>
      <c r="I759" s="318"/>
      <c r="J759" s="54"/>
      <c r="K759" s="54"/>
    </row>
    <row r="760" ht="14.25" customHeight="1">
      <c r="E760" s="315"/>
      <c r="F760" s="315"/>
      <c r="G760" s="315"/>
      <c r="H760" s="315"/>
      <c r="I760" s="318"/>
      <c r="J760" s="54"/>
      <c r="K760" s="54"/>
    </row>
    <row r="761" ht="14.25" customHeight="1">
      <c r="E761" s="315"/>
      <c r="F761" s="315"/>
      <c r="G761" s="315"/>
      <c r="H761" s="315"/>
      <c r="I761" s="318"/>
      <c r="J761" s="54"/>
      <c r="K761" s="54"/>
    </row>
    <row r="762" ht="14.25" customHeight="1">
      <c r="E762" s="315"/>
      <c r="F762" s="315"/>
      <c r="G762" s="315"/>
      <c r="H762" s="315"/>
      <c r="I762" s="318"/>
      <c r="J762" s="54"/>
      <c r="K762" s="54"/>
    </row>
    <row r="763" ht="14.25" customHeight="1">
      <c r="E763" s="315"/>
      <c r="F763" s="315"/>
      <c r="G763" s="315"/>
      <c r="H763" s="315"/>
      <c r="I763" s="318"/>
      <c r="J763" s="54"/>
      <c r="K763" s="54"/>
    </row>
    <row r="764" ht="14.25" customHeight="1">
      <c r="E764" s="315"/>
      <c r="F764" s="315"/>
      <c r="G764" s="315"/>
      <c r="H764" s="315"/>
      <c r="I764" s="318"/>
      <c r="J764" s="54"/>
      <c r="K764" s="54"/>
    </row>
    <row r="765" ht="14.25" customHeight="1">
      <c r="E765" s="315"/>
      <c r="F765" s="315"/>
      <c r="G765" s="315"/>
      <c r="H765" s="315"/>
      <c r="I765" s="318"/>
      <c r="J765" s="54"/>
      <c r="K765" s="54"/>
    </row>
    <row r="766" ht="14.25" customHeight="1">
      <c r="E766" s="315"/>
      <c r="F766" s="315"/>
      <c r="G766" s="315"/>
      <c r="H766" s="315"/>
      <c r="I766" s="318"/>
      <c r="J766" s="54"/>
      <c r="K766" s="54"/>
    </row>
    <row r="767" ht="14.25" customHeight="1">
      <c r="E767" s="315"/>
      <c r="F767" s="315"/>
      <c r="G767" s="315"/>
      <c r="H767" s="315"/>
      <c r="I767" s="318"/>
      <c r="J767" s="54"/>
      <c r="K767" s="54"/>
    </row>
    <row r="768" ht="14.25" customHeight="1">
      <c r="E768" s="315"/>
      <c r="F768" s="315"/>
      <c r="G768" s="315"/>
      <c r="H768" s="315"/>
      <c r="I768" s="318"/>
      <c r="J768" s="54"/>
      <c r="K768" s="54"/>
    </row>
    <row r="769" ht="14.25" customHeight="1">
      <c r="E769" s="315"/>
      <c r="F769" s="315"/>
      <c r="G769" s="315"/>
      <c r="H769" s="315"/>
      <c r="I769" s="318"/>
      <c r="J769" s="54"/>
      <c r="K769" s="54"/>
    </row>
    <row r="770" ht="14.25" customHeight="1">
      <c r="E770" s="315"/>
      <c r="F770" s="315"/>
      <c r="G770" s="315"/>
      <c r="H770" s="315"/>
      <c r="I770" s="318"/>
      <c r="J770" s="54"/>
      <c r="K770" s="54"/>
    </row>
    <row r="771" ht="14.25" customHeight="1">
      <c r="E771" s="315"/>
      <c r="F771" s="315"/>
      <c r="G771" s="315"/>
      <c r="H771" s="315"/>
      <c r="I771" s="318"/>
      <c r="J771" s="54"/>
      <c r="K771" s="54"/>
    </row>
    <row r="772" ht="14.25" customHeight="1">
      <c r="E772" s="315"/>
      <c r="F772" s="315"/>
      <c r="G772" s="315"/>
      <c r="H772" s="315"/>
      <c r="I772" s="318"/>
      <c r="J772" s="54"/>
      <c r="K772" s="54"/>
    </row>
    <row r="773" ht="14.25" customHeight="1">
      <c r="E773" s="315"/>
      <c r="F773" s="315"/>
      <c r="G773" s="315"/>
      <c r="H773" s="315"/>
      <c r="I773" s="318"/>
      <c r="J773" s="54"/>
      <c r="K773" s="54"/>
    </row>
    <row r="774" ht="14.25" customHeight="1">
      <c r="E774" s="315"/>
      <c r="F774" s="315"/>
      <c r="G774" s="315"/>
      <c r="H774" s="315"/>
      <c r="I774" s="318"/>
      <c r="J774" s="54"/>
      <c r="K774" s="54"/>
    </row>
    <row r="775" ht="14.25" customHeight="1">
      <c r="E775" s="315"/>
      <c r="F775" s="315"/>
      <c r="G775" s="315"/>
      <c r="H775" s="315"/>
      <c r="I775" s="318"/>
      <c r="J775" s="54"/>
      <c r="K775" s="54"/>
    </row>
    <row r="776" ht="14.25" customHeight="1">
      <c r="E776" s="315"/>
      <c r="F776" s="315"/>
      <c r="G776" s="315"/>
      <c r="H776" s="315"/>
      <c r="I776" s="318"/>
      <c r="J776" s="54"/>
      <c r="K776" s="54"/>
    </row>
    <row r="777" ht="14.25" customHeight="1">
      <c r="E777" s="315"/>
      <c r="F777" s="315"/>
      <c r="G777" s="315"/>
      <c r="H777" s="315"/>
      <c r="I777" s="318"/>
      <c r="J777" s="54"/>
      <c r="K777" s="54"/>
    </row>
    <row r="778" ht="14.25" customHeight="1">
      <c r="E778" s="315"/>
      <c r="F778" s="315"/>
      <c r="G778" s="315"/>
      <c r="H778" s="315"/>
      <c r="I778" s="318"/>
      <c r="J778" s="54"/>
      <c r="K778" s="54"/>
    </row>
    <row r="779" ht="14.25" customHeight="1">
      <c r="E779" s="315"/>
      <c r="F779" s="315"/>
      <c r="G779" s="315"/>
      <c r="H779" s="315"/>
      <c r="I779" s="318"/>
      <c r="J779" s="54"/>
      <c r="K779" s="54"/>
    </row>
    <row r="780" ht="14.25" customHeight="1">
      <c r="E780" s="315"/>
      <c r="F780" s="315"/>
      <c r="G780" s="315"/>
      <c r="H780" s="315"/>
      <c r="I780" s="318"/>
      <c r="J780" s="54"/>
      <c r="K780" s="54"/>
    </row>
    <row r="781" ht="14.25" customHeight="1">
      <c r="E781" s="315"/>
      <c r="F781" s="315"/>
      <c r="G781" s="315"/>
      <c r="H781" s="315"/>
      <c r="I781" s="318"/>
      <c r="J781" s="54"/>
      <c r="K781" s="54"/>
    </row>
    <row r="782" ht="14.25" customHeight="1">
      <c r="E782" s="315"/>
      <c r="F782" s="315"/>
      <c r="G782" s="315"/>
      <c r="H782" s="315"/>
      <c r="I782" s="318"/>
      <c r="J782" s="54"/>
      <c r="K782" s="54"/>
    </row>
    <row r="783" ht="14.25" customHeight="1">
      <c r="E783" s="315"/>
      <c r="F783" s="315"/>
      <c r="G783" s="315"/>
      <c r="H783" s="315"/>
      <c r="I783" s="318"/>
      <c r="J783" s="54"/>
      <c r="K783" s="54"/>
    </row>
    <row r="784" ht="14.25" customHeight="1">
      <c r="E784" s="315"/>
      <c r="F784" s="315"/>
      <c r="G784" s="315"/>
      <c r="H784" s="315"/>
      <c r="I784" s="318"/>
      <c r="J784" s="54"/>
      <c r="K784" s="54"/>
    </row>
    <row r="785" ht="14.25" customHeight="1">
      <c r="E785" s="315"/>
      <c r="F785" s="315"/>
      <c r="G785" s="315"/>
      <c r="H785" s="315"/>
      <c r="I785" s="318"/>
      <c r="J785" s="54"/>
      <c r="K785" s="54"/>
    </row>
    <row r="786" ht="14.25" customHeight="1">
      <c r="E786" s="315"/>
      <c r="F786" s="315"/>
      <c r="G786" s="315"/>
      <c r="H786" s="315"/>
      <c r="I786" s="318"/>
      <c r="J786" s="54"/>
      <c r="K786" s="54"/>
    </row>
    <row r="787" ht="14.25" customHeight="1">
      <c r="E787" s="315"/>
      <c r="F787" s="315"/>
      <c r="G787" s="315"/>
      <c r="H787" s="315"/>
      <c r="I787" s="318"/>
      <c r="J787" s="54"/>
      <c r="K787" s="54"/>
    </row>
    <row r="788" ht="14.25" customHeight="1">
      <c r="E788" s="315"/>
      <c r="F788" s="315"/>
      <c r="G788" s="315"/>
      <c r="H788" s="315"/>
      <c r="I788" s="318"/>
      <c r="J788" s="54"/>
      <c r="K788" s="54"/>
    </row>
    <row r="789" ht="14.25" customHeight="1">
      <c r="E789" s="315"/>
      <c r="F789" s="315"/>
      <c r="G789" s="315"/>
      <c r="H789" s="315"/>
      <c r="I789" s="318"/>
      <c r="J789" s="54"/>
      <c r="K789" s="54"/>
    </row>
    <row r="790" ht="14.25" customHeight="1">
      <c r="E790" s="315"/>
      <c r="F790" s="315"/>
      <c r="G790" s="315"/>
      <c r="H790" s="315"/>
      <c r="I790" s="318"/>
      <c r="J790" s="54"/>
      <c r="K790" s="54"/>
    </row>
    <row r="791" ht="14.25" customHeight="1">
      <c r="E791" s="315"/>
      <c r="F791" s="315"/>
      <c r="G791" s="315"/>
      <c r="H791" s="315"/>
      <c r="I791" s="318"/>
      <c r="J791" s="54"/>
      <c r="K791" s="54"/>
    </row>
    <row r="792" ht="14.25" customHeight="1">
      <c r="E792" s="315"/>
      <c r="F792" s="315"/>
      <c r="G792" s="315"/>
      <c r="H792" s="315"/>
      <c r="I792" s="318"/>
      <c r="J792" s="54"/>
      <c r="K792" s="54"/>
    </row>
    <row r="793" ht="14.25" customHeight="1">
      <c r="E793" s="315"/>
      <c r="F793" s="315"/>
      <c r="G793" s="315"/>
      <c r="H793" s="315"/>
      <c r="I793" s="318"/>
      <c r="J793" s="54"/>
      <c r="K793" s="54"/>
    </row>
    <row r="794" ht="14.25" customHeight="1">
      <c r="E794" s="315"/>
      <c r="F794" s="315"/>
      <c r="G794" s="315"/>
      <c r="H794" s="315"/>
      <c r="I794" s="318"/>
      <c r="J794" s="54"/>
      <c r="K794" s="54"/>
    </row>
    <row r="795" ht="14.25" customHeight="1">
      <c r="E795" s="315"/>
      <c r="F795" s="315"/>
      <c r="G795" s="315"/>
      <c r="H795" s="315"/>
      <c r="I795" s="318"/>
      <c r="J795" s="54"/>
      <c r="K795" s="54"/>
    </row>
    <row r="796" ht="14.25" customHeight="1">
      <c r="E796" s="315"/>
      <c r="F796" s="315"/>
      <c r="G796" s="315"/>
      <c r="H796" s="315"/>
      <c r="I796" s="318"/>
      <c r="J796" s="54"/>
      <c r="K796" s="54"/>
    </row>
    <row r="797" ht="14.25" customHeight="1">
      <c r="E797" s="315"/>
      <c r="F797" s="315"/>
      <c r="G797" s="315"/>
      <c r="H797" s="315"/>
      <c r="I797" s="318"/>
      <c r="J797" s="54"/>
      <c r="K797" s="54"/>
    </row>
    <row r="798" ht="14.25" customHeight="1">
      <c r="E798" s="315"/>
      <c r="F798" s="315"/>
      <c r="G798" s="315"/>
      <c r="H798" s="315"/>
      <c r="I798" s="318"/>
      <c r="J798" s="54"/>
      <c r="K798" s="54"/>
    </row>
    <row r="799" ht="14.25" customHeight="1">
      <c r="E799" s="315"/>
      <c r="F799" s="315"/>
      <c r="G799" s="315"/>
      <c r="H799" s="315"/>
      <c r="I799" s="318"/>
      <c r="J799" s="54"/>
      <c r="K799" s="54"/>
    </row>
    <row r="800" ht="14.25" customHeight="1">
      <c r="E800" s="315"/>
      <c r="F800" s="315"/>
      <c r="G800" s="315"/>
      <c r="H800" s="315"/>
      <c r="I800" s="318"/>
      <c r="J800" s="54"/>
      <c r="K800" s="54"/>
    </row>
    <row r="801" ht="14.25" customHeight="1">
      <c r="E801" s="315"/>
      <c r="F801" s="315"/>
      <c r="G801" s="315"/>
      <c r="H801" s="315"/>
      <c r="I801" s="318"/>
      <c r="J801" s="54"/>
      <c r="K801" s="54"/>
    </row>
    <row r="802" ht="14.25" customHeight="1">
      <c r="E802" s="315"/>
      <c r="F802" s="315"/>
      <c r="G802" s="315"/>
      <c r="H802" s="315"/>
      <c r="I802" s="318"/>
      <c r="J802" s="54"/>
      <c r="K802" s="54"/>
    </row>
    <row r="803" ht="14.25" customHeight="1">
      <c r="E803" s="315"/>
      <c r="F803" s="315"/>
      <c r="G803" s="315"/>
      <c r="H803" s="315"/>
      <c r="I803" s="318"/>
      <c r="J803" s="54"/>
      <c r="K803" s="54"/>
    </row>
    <row r="804" ht="14.25" customHeight="1">
      <c r="E804" s="315"/>
      <c r="F804" s="315"/>
      <c r="G804" s="315"/>
      <c r="H804" s="315"/>
      <c r="I804" s="318"/>
      <c r="J804" s="54"/>
      <c r="K804" s="54"/>
    </row>
    <row r="805" ht="14.25" customHeight="1">
      <c r="E805" s="315"/>
      <c r="F805" s="315"/>
      <c r="G805" s="315"/>
      <c r="H805" s="315"/>
      <c r="I805" s="318"/>
      <c r="J805" s="54"/>
      <c r="K805" s="54"/>
    </row>
    <row r="806" ht="14.25" customHeight="1">
      <c r="E806" s="315"/>
      <c r="F806" s="315"/>
      <c r="G806" s="315"/>
      <c r="H806" s="315"/>
      <c r="I806" s="318"/>
      <c r="J806" s="54"/>
      <c r="K806" s="54"/>
    </row>
    <row r="807" ht="14.25" customHeight="1">
      <c r="E807" s="315"/>
      <c r="F807" s="315"/>
      <c r="G807" s="315"/>
      <c r="H807" s="315"/>
      <c r="I807" s="318"/>
      <c r="J807" s="54"/>
      <c r="K807" s="54"/>
    </row>
    <row r="808" ht="14.25" customHeight="1">
      <c r="E808" s="315"/>
      <c r="F808" s="315"/>
      <c r="G808" s="315"/>
      <c r="H808" s="315"/>
      <c r="I808" s="318"/>
      <c r="J808" s="54"/>
      <c r="K808" s="54"/>
    </row>
    <row r="809" ht="14.25" customHeight="1">
      <c r="E809" s="315"/>
      <c r="F809" s="315"/>
      <c r="G809" s="315"/>
      <c r="H809" s="315"/>
      <c r="I809" s="318"/>
      <c r="J809" s="54"/>
      <c r="K809" s="54"/>
    </row>
    <row r="810" ht="14.25" customHeight="1">
      <c r="E810" s="315"/>
      <c r="F810" s="315"/>
      <c r="G810" s="315"/>
      <c r="H810" s="315"/>
      <c r="I810" s="318"/>
      <c r="J810" s="54"/>
      <c r="K810" s="54"/>
    </row>
    <row r="811" ht="14.25" customHeight="1">
      <c r="E811" s="315"/>
      <c r="F811" s="315"/>
      <c r="G811" s="315"/>
      <c r="H811" s="315"/>
      <c r="I811" s="318"/>
      <c r="J811" s="54"/>
      <c r="K811" s="54"/>
    </row>
    <row r="812" ht="14.25" customHeight="1">
      <c r="E812" s="315"/>
      <c r="F812" s="315"/>
      <c r="G812" s="315"/>
      <c r="H812" s="315"/>
      <c r="I812" s="318"/>
      <c r="J812" s="54"/>
      <c r="K812" s="54"/>
    </row>
    <row r="813" ht="14.25" customHeight="1">
      <c r="E813" s="315"/>
      <c r="F813" s="315"/>
      <c r="G813" s="315"/>
      <c r="H813" s="315"/>
      <c r="I813" s="318"/>
      <c r="J813" s="54"/>
      <c r="K813" s="54"/>
    </row>
    <row r="814" ht="14.25" customHeight="1">
      <c r="E814" s="315"/>
      <c r="F814" s="315"/>
      <c r="G814" s="315"/>
      <c r="H814" s="315"/>
      <c r="I814" s="318"/>
      <c r="J814" s="54"/>
      <c r="K814" s="54"/>
    </row>
    <row r="815" ht="14.25" customHeight="1">
      <c r="E815" s="315"/>
      <c r="F815" s="315"/>
      <c r="G815" s="315"/>
      <c r="H815" s="315"/>
      <c r="I815" s="318"/>
      <c r="J815" s="54"/>
      <c r="K815" s="54"/>
    </row>
    <row r="816" ht="14.25" customHeight="1">
      <c r="E816" s="315"/>
      <c r="F816" s="315"/>
      <c r="G816" s="315"/>
      <c r="H816" s="315"/>
      <c r="I816" s="318"/>
      <c r="J816" s="54"/>
      <c r="K816" s="54"/>
    </row>
    <row r="817" ht="14.25" customHeight="1">
      <c r="E817" s="315"/>
      <c r="F817" s="315"/>
      <c r="G817" s="315"/>
      <c r="H817" s="315"/>
      <c r="I817" s="318"/>
      <c r="J817" s="54"/>
      <c r="K817" s="54"/>
    </row>
    <row r="818" ht="14.25" customHeight="1">
      <c r="E818" s="315"/>
      <c r="F818" s="315"/>
      <c r="G818" s="315"/>
      <c r="H818" s="315"/>
      <c r="I818" s="318"/>
      <c r="J818" s="54"/>
      <c r="K818" s="54"/>
    </row>
    <row r="819" ht="14.25" customHeight="1">
      <c r="E819" s="315"/>
      <c r="F819" s="315"/>
      <c r="G819" s="315"/>
      <c r="H819" s="315"/>
      <c r="I819" s="318"/>
      <c r="J819" s="54"/>
      <c r="K819" s="54"/>
    </row>
    <row r="820" ht="14.25" customHeight="1">
      <c r="E820" s="315"/>
      <c r="F820" s="315"/>
      <c r="G820" s="315"/>
      <c r="H820" s="315"/>
      <c r="I820" s="318"/>
      <c r="J820" s="54"/>
      <c r="K820" s="54"/>
    </row>
    <row r="821" ht="14.25" customHeight="1">
      <c r="E821" s="315"/>
      <c r="F821" s="315"/>
      <c r="G821" s="315"/>
      <c r="H821" s="315"/>
      <c r="I821" s="318"/>
      <c r="J821" s="54"/>
      <c r="K821" s="54"/>
    </row>
    <row r="822" ht="14.25" customHeight="1">
      <c r="E822" s="315"/>
      <c r="F822" s="315"/>
      <c r="G822" s="315"/>
      <c r="H822" s="315"/>
      <c r="I822" s="318"/>
      <c r="J822" s="54"/>
      <c r="K822" s="54"/>
    </row>
    <row r="823" ht="14.25" customHeight="1">
      <c r="E823" s="315"/>
      <c r="F823" s="315"/>
      <c r="G823" s="315"/>
      <c r="H823" s="315"/>
      <c r="I823" s="318"/>
      <c r="J823" s="54"/>
      <c r="K823" s="54"/>
    </row>
    <row r="824" ht="14.25" customHeight="1">
      <c r="E824" s="315"/>
      <c r="F824" s="315"/>
      <c r="G824" s="315"/>
      <c r="H824" s="315"/>
      <c r="I824" s="318"/>
      <c r="J824" s="54"/>
      <c r="K824" s="54"/>
    </row>
    <row r="825" ht="14.25" customHeight="1">
      <c r="E825" s="315"/>
      <c r="F825" s="315"/>
      <c r="G825" s="315"/>
      <c r="H825" s="315"/>
      <c r="I825" s="318"/>
      <c r="J825" s="54"/>
      <c r="K825" s="54"/>
    </row>
    <row r="826" ht="14.25" customHeight="1">
      <c r="E826" s="315"/>
      <c r="F826" s="315"/>
      <c r="G826" s="315"/>
      <c r="H826" s="315"/>
      <c r="I826" s="318"/>
      <c r="J826" s="54"/>
      <c r="K826" s="54"/>
    </row>
    <row r="827" ht="14.25" customHeight="1">
      <c r="E827" s="315"/>
      <c r="F827" s="315"/>
      <c r="G827" s="315"/>
      <c r="H827" s="315"/>
      <c r="I827" s="318"/>
      <c r="J827" s="54"/>
      <c r="K827" s="54"/>
    </row>
    <row r="828" ht="14.25" customHeight="1">
      <c r="E828" s="315"/>
      <c r="F828" s="315"/>
      <c r="G828" s="315"/>
      <c r="H828" s="315"/>
      <c r="I828" s="318"/>
      <c r="J828" s="54"/>
      <c r="K828" s="54"/>
    </row>
    <row r="829" ht="14.25" customHeight="1">
      <c r="E829" s="315"/>
      <c r="F829" s="315"/>
      <c r="G829" s="315"/>
      <c r="H829" s="315"/>
      <c r="I829" s="318"/>
      <c r="J829" s="54"/>
      <c r="K829" s="54"/>
    </row>
    <row r="830" ht="14.25" customHeight="1">
      <c r="E830" s="315"/>
      <c r="F830" s="315"/>
      <c r="G830" s="315"/>
      <c r="H830" s="315"/>
      <c r="I830" s="318"/>
      <c r="J830" s="54"/>
      <c r="K830" s="54"/>
    </row>
    <row r="831" ht="14.25" customHeight="1">
      <c r="E831" s="315"/>
      <c r="F831" s="315"/>
      <c r="G831" s="315"/>
      <c r="H831" s="315"/>
      <c r="I831" s="318"/>
      <c r="J831" s="54"/>
      <c r="K831" s="54"/>
    </row>
    <row r="832" ht="14.25" customHeight="1">
      <c r="E832" s="315"/>
      <c r="F832" s="315"/>
      <c r="G832" s="315"/>
      <c r="H832" s="315"/>
      <c r="I832" s="318"/>
      <c r="J832" s="54"/>
      <c r="K832" s="54"/>
    </row>
    <row r="833" ht="14.25" customHeight="1">
      <c r="E833" s="315"/>
      <c r="F833" s="315"/>
      <c r="G833" s="315"/>
      <c r="H833" s="315"/>
      <c r="I833" s="318"/>
      <c r="J833" s="54"/>
      <c r="K833" s="54"/>
    </row>
    <row r="834" ht="14.25" customHeight="1">
      <c r="E834" s="315"/>
      <c r="F834" s="315"/>
      <c r="G834" s="315"/>
      <c r="H834" s="315"/>
      <c r="I834" s="318"/>
      <c r="J834" s="54"/>
      <c r="K834" s="54"/>
    </row>
    <row r="835" ht="14.25" customHeight="1">
      <c r="E835" s="315"/>
      <c r="F835" s="315"/>
      <c r="G835" s="315"/>
      <c r="H835" s="315"/>
      <c r="I835" s="318"/>
      <c r="J835" s="54"/>
      <c r="K835" s="54"/>
    </row>
    <row r="836" ht="14.25" customHeight="1">
      <c r="E836" s="315"/>
      <c r="F836" s="315"/>
      <c r="G836" s="315"/>
      <c r="H836" s="315"/>
      <c r="I836" s="318"/>
      <c r="J836" s="54"/>
      <c r="K836" s="54"/>
    </row>
    <row r="837" ht="14.25" customHeight="1">
      <c r="E837" s="315"/>
      <c r="F837" s="315"/>
      <c r="G837" s="315"/>
      <c r="H837" s="315"/>
      <c r="I837" s="318"/>
      <c r="J837" s="54"/>
      <c r="K837" s="54"/>
    </row>
    <row r="838" ht="14.25" customHeight="1">
      <c r="E838" s="315"/>
      <c r="F838" s="315"/>
      <c r="G838" s="315"/>
      <c r="H838" s="315"/>
      <c r="I838" s="318"/>
      <c r="J838" s="54"/>
      <c r="K838" s="54"/>
    </row>
    <row r="839" ht="14.25" customHeight="1">
      <c r="E839" s="315"/>
      <c r="F839" s="315"/>
      <c r="G839" s="315"/>
      <c r="H839" s="315"/>
      <c r="I839" s="318"/>
      <c r="J839" s="54"/>
      <c r="K839" s="54"/>
    </row>
    <row r="840" ht="14.25" customHeight="1">
      <c r="E840" s="315"/>
      <c r="F840" s="315"/>
      <c r="G840" s="315"/>
      <c r="H840" s="315"/>
      <c r="I840" s="318"/>
      <c r="J840" s="54"/>
      <c r="K840" s="54"/>
    </row>
    <row r="841" ht="14.25" customHeight="1">
      <c r="E841" s="315"/>
      <c r="F841" s="315"/>
      <c r="G841" s="315"/>
      <c r="H841" s="315"/>
      <c r="I841" s="318"/>
      <c r="J841" s="54"/>
      <c r="K841" s="54"/>
    </row>
    <row r="842" ht="14.25" customHeight="1">
      <c r="E842" s="315"/>
      <c r="F842" s="315"/>
      <c r="G842" s="315"/>
      <c r="H842" s="315"/>
      <c r="I842" s="318"/>
      <c r="J842" s="54"/>
      <c r="K842" s="54"/>
    </row>
    <row r="843" ht="14.25" customHeight="1">
      <c r="E843" s="315"/>
      <c r="F843" s="315"/>
      <c r="G843" s="315"/>
      <c r="H843" s="315"/>
      <c r="I843" s="318"/>
      <c r="J843" s="54"/>
      <c r="K843" s="54"/>
    </row>
    <row r="844" ht="14.25" customHeight="1">
      <c r="E844" s="315"/>
      <c r="F844" s="315"/>
      <c r="G844" s="315"/>
      <c r="H844" s="315"/>
      <c r="I844" s="318"/>
      <c r="J844" s="54"/>
      <c r="K844" s="54"/>
    </row>
    <row r="845" ht="14.25" customHeight="1">
      <c r="E845" s="315"/>
      <c r="F845" s="315"/>
      <c r="G845" s="315"/>
      <c r="H845" s="315"/>
      <c r="I845" s="318"/>
      <c r="J845" s="54"/>
      <c r="K845" s="54"/>
    </row>
    <row r="846" ht="14.25" customHeight="1">
      <c r="E846" s="315"/>
      <c r="F846" s="315"/>
      <c r="G846" s="315"/>
      <c r="H846" s="315"/>
      <c r="I846" s="318"/>
      <c r="J846" s="54"/>
      <c r="K846" s="54"/>
    </row>
    <row r="847" ht="14.25" customHeight="1">
      <c r="E847" s="315"/>
      <c r="F847" s="315"/>
      <c r="G847" s="315"/>
      <c r="H847" s="315"/>
      <c r="I847" s="318"/>
      <c r="J847" s="54"/>
      <c r="K847" s="54"/>
    </row>
    <row r="848" ht="14.25" customHeight="1">
      <c r="E848" s="315"/>
      <c r="F848" s="315"/>
      <c r="G848" s="315"/>
      <c r="H848" s="315"/>
      <c r="I848" s="318"/>
      <c r="J848" s="54"/>
      <c r="K848" s="54"/>
    </row>
    <row r="849" ht="14.25" customHeight="1">
      <c r="E849" s="315"/>
      <c r="F849" s="315"/>
      <c r="G849" s="315"/>
      <c r="H849" s="315"/>
      <c r="I849" s="318"/>
      <c r="J849" s="54"/>
      <c r="K849" s="54"/>
    </row>
    <row r="850" ht="14.25" customHeight="1">
      <c r="E850" s="315"/>
      <c r="F850" s="315"/>
      <c r="G850" s="315"/>
      <c r="H850" s="315"/>
      <c r="I850" s="318"/>
      <c r="J850" s="54"/>
      <c r="K850" s="54"/>
    </row>
    <row r="851" ht="14.25" customHeight="1">
      <c r="E851" s="315"/>
      <c r="F851" s="315"/>
      <c r="G851" s="315"/>
      <c r="H851" s="315"/>
      <c r="I851" s="318"/>
      <c r="J851" s="54"/>
      <c r="K851" s="54"/>
    </row>
    <row r="852" ht="14.25" customHeight="1">
      <c r="E852" s="315"/>
      <c r="F852" s="315"/>
      <c r="G852" s="315"/>
      <c r="H852" s="315"/>
      <c r="I852" s="318"/>
      <c r="J852" s="54"/>
      <c r="K852" s="54"/>
    </row>
    <row r="853" ht="14.25" customHeight="1">
      <c r="E853" s="315"/>
      <c r="F853" s="315"/>
      <c r="G853" s="315"/>
      <c r="H853" s="315"/>
      <c r="I853" s="318"/>
      <c r="J853" s="54"/>
      <c r="K853" s="54"/>
    </row>
    <row r="854" ht="14.25" customHeight="1">
      <c r="E854" s="315"/>
      <c r="F854" s="315"/>
      <c r="G854" s="315"/>
      <c r="H854" s="315"/>
      <c r="I854" s="318"/>
      <c r="J854" s="54"/>
      <c r="K854" s="54"/>
    </row>
    <row r="855" ht="14.25" customHeight="1">
      <c r="E855" s="315"/>
      <c r="F855" s="315"/>
      <c r="G855" s="315"/>
      <c r="H855" s="315"/>
      <c r="I855" s="318"/>
      <c r="J855" s="54"/>
      <c r="K855" s="54"/>
    </row>
    <row r="856" ht="14.25" customHeight="1">
      <c r="E856" s="315"/>
      <c r="F856" s="315"/>
      <c r="G856" s="315"/>
      <c r="H856" s="315"/>
      <c r="I856" s="318"/>
      <c r="J856" s="54"/>
      <c r="K856" s="54"/>
    </row>
    <row r="857" ht="14.25" customHeight="1">
      <c r="E857" s="315"/>
      <c r="F857" s="315"/>
      <c r="G857" s="315"/>
      <c r="H857" s="315"/>
      <c r="I857" s="318"/>
      <c r="J857" s="54"/>
      <c r="K857" s="54"/>
    </row>
    <row r="858" ht="14.25" customHeight="1">
      <c r="E858" s="315"/>
      <c r="F858" s="315"/>
      <c r="G858" s="315"/>
      <c r="H858" s="315"/>
      <c r="I858" s="318"/>
      <c r="J858" s="54"/>
      <c r="K858" s="54"/>
    </row>
    <row r="859" ht="14.25" customHeight="1">
      <c r="E859" s="315"/>
      <c r="F859" s="315"/>
      <c r="G859" s="315"/>
      <c r="H859" s="315"/>
      <c r="I859" s="318"/>
      <c r="J859" s="54"/>
      <c r="K859" s="54"/>
    </row>
    <row r="860" ht="14.25" customHeight="1">
      <c r="E860" s="315"/>
      <c r="F860" s="315"/>
      <c r="G860" s="315"/>
      <c r="H860" s="315"/>
      <c r="I860" s="318"/>
      <c r="J860" s="54"/>
      <c r="K860" s="54"/>
    </row>
    <row r="861" ht="14.25" customHeight="1">
      <c r="E861" s="315"/>
      <c r="F861" s="315"/>
      <c r="G861" s="315"/>
      <c r="H861" s="315"/>
      <c r="I861" s="318"/>
      <c r="J861" s="54"/>
      <c r="K861" s="54"/>
    </row>
    <row r="862" ht="14.25" customHeight="1">
      <c r="E862" s="315"/>
      <c r="F862" s="315"/>
      <c r="G862" s="315"/>
      <c r="H862" s="315"/>
      <c r="I862" s="318"/>
      <c r="J862" s="54"/>
      <c r="K862" s="54"/>
    </row>
    <row r="863" ht="14.25" customHeight="1">
      <c r="E863" s="315"/>
      <c r="F863" s="315"/>
      <c r="G863" s="315"/>
      <c r="H863" s="315"/>
      <c r="I863" s="318"/>
      <c r="J863" s="54"/>
      <c r="K863" s="54"/>
    </row>
    <row r="864" ht="14.25" customHeight="1">
      <c r="E864" s="315"/>
      <c r="F864" s="315"/>
      <c r="G864" s="315"/>
      <c r="H864" s="315"/>
      <c r="I864" s="318"/>
      <c r="J864" s="54"/>
      <c r="K864" s="54"/>
    </row>
    <row r="865" ht="14.25" customHeight="1">
      <c r="E865" s="315"/>
      <c r="F865" s="315"/>
      <c r="G865" s="315"/>
      <c r="H865" s="315"/>
      <c r="I865" s="318"/>
      <c r="J865" s="54"/>
      <c r="K865" s="54"/>
    </row>
    <row r="866" ht="14.25" customHeight="1">
      <c r="E866" s="315"/>
      <c r="F866" s="315"/>
      <c r="G866" s="315"/>
      <c r="H866" s="315"/>
      <c r="I866" s="318"/>
      <c r="J866" s="54"/>
      <c r="K866" s="54"/>
    </row>
    <row r="867" ht="14.25" customHeight="1">
      <c r="E867" s="315"/>
      <c r="F867" s="315"/>
      <c r="G867" s="315"/>
      <c r="H867" s="315"/>
      <c r="I867" s="318"/>
      <c r="J867" s="54"/>
      <c r="K867" s="54"/>
    </row>
    <row r="868" ht="14.25" customHeight="1">
      <c r="E868" s="315"/>
      <c r="F868" s="315"/>
      <c r="G868" s="315"/>
      <c r="H868" s="315"/>
      <c r="I868" s="318"/>
      <c r="J868" s="54"/>
      <c r="K868" s="54"/>
    </row>
    <row r="869" ht="14.25" customHeight="1">
      <c r="E869" s="315"/>
      <c r="F869" s="315"/>
      <c r="G869" s="315"/>
      <c r="H869" s="315"/>
      <c r="I869" s="318"/>
      <c r="J869" s="54"/>
      <c r="K869" s="54"/>
    </row>
    <row r="870" ht="14.25" customHeight="1">
      <c r="E870" s="315"/>
      <c r="F870" s="315"/>
      <c r="G870" s="315"/>
      <c r="H870" s="315"/>
      <c r="I870" s="318"/>
      <c r="J870" s="54"/>
      <c r="K870" s="54"/>
    </row>
    <row r="871" ht="14.25" customHeight="1">
      <c r="E871" s="315"/>
      <c r="F871" s="315"/>
      <c r="G871" s="315"/>
      <c r="H871" s="315"/>
      <c r="I871" s="318"/>
      <c r="J871" s="54"/>
      <c r="K871" s="54"/>
    </row>
    <row r="872" ht="14.25" customHeight="1">
      <c r="E872" s="315"/>
      <c r="F872" s="315"/>
      <c r="G872" s="315"/>
      <c r="H872" s="315"/>
      <c r="I872" s="318"/>
      <c r="J872" s="54"/>
      <c r="K872" s="54"/>
    </row>
    <row r="873" ht="14.25" customHeight="1">
      <c r="E873" s="315"/>
      <c r="F873" s="315"/>
      <c r="G873" s="315"/>
      <c r="H873" s="315"/>
      <c r="I873" s="318"/>
      <c r="J873" s="54"/>
      <c r="K873" s="54"/>
    </row>
    <row r="874" ht="14.25" customHeight="1">
      <c r="E874" s="315"/>
      <c r="F874" s="315"/>
      <c r="G874" s="315"/>
      <c r="H874" s="315"/>
      <c r="I874" s="318"/>
      <c r="J874" s="54"/>
      <c r="K874" s="54"/>
    </row>
    <row r="875" ht="14.25" customHeight="1">
      <c r="E875" s="315"/>
      <c r="F875" s="315"/>
      <c r="G875" s="315"/>
      <c r="H875" s="315"/>
      <c r="I875" s="318"/>
      <c r="J875" s="54"/>
      <c r="K875" s="54"/>
    </row>
    <row r="876" ht="14.25" customHeight="1">
      <c r="E876" s="315"/>
      <c r="F876" s="315"/>
      <c r="G876" s="315"/>
      <c r="H876" s="315"/>
      <c r="I876" s="318"/>
      <c r="J876" s="54"/>
      <c r="K876" s="54"/>
    </row>
    <row r="877" ht="14.25" customHeight="1">
      <c r="E877" s="315"/>
      <c r="F877" s="315"/>
      <c r="G877" s="315"/>
      <c r="H877" s="315"/>
      <c r="I877" s="318"/>
      <c r="J877" s="54"/>
      <c r="K877" s="54"/>
    </row>
    <row r="878" ht="14.25" customHeight="1">
      <c r="E878" s="315"/>
      <c r="F878" s="315"/>
      <c r="G878" s="315"/>
      <c r="H878" s="315"/>
      <c r="I878" s="318"/>
      <c r="J878" s="54"/>
      <c r="K878" s="54"/>
    </row>
    <row r="879" ht="14.25" customHeight="1">
      <c r="E879" s="315"/>
      <c r="F879" s="315"/>
      <c r="G879" s="315"/>
      <c r="H879" s="315"/>
      <c r="I879" s="318"/>
      <c r="J879" s="54"/>
      <c r="K879" s="54"/>
    </row>
    <row r="880" ht="14.25" customHeight="1">
      <c r="E880" s="315"/>
      <c r="F880" s="315"/>
      <c r="G880" s="315"/>
      <c r="H880" s="315"/>
      <c r="I880" s="318"/>
      <c r="J880" s="54"/>
      <c r="K880" s="54"/>
    </row>
    <row r="881" ht="14.25" customHeight="1">
      <c r="E881" s="315"/>
      <c r="F881" s="315"/>
      <c r="G881" s="315"/>
      <c r="H881" s="315"/>
      <c r="I881" s="318"/>
      <c r="J881" s="54"/>
      <c r="K881" s="54"/>
    </row>
    <row r="882" ht="14.25" customHeight="1">
      <c r="E882" s="315"/>
      <c r="F882" s="315"/>
      <c r="G882" s="315"/>
      <c r="H882" s="315"/>
      <c r="I882" s="318"/>
      <c r="J882" s="54"/>
      <c r="K882" s="54"/>
    </row>
    <row r="883" ht="14.25" customHeight="1">
      <c r="E883" s="315"/>
      <c r="F883" s="315"/>
      <c r="G883" s="315"/>
      <c r="H883" s="315"/>
      <c r="I883" s="318"/>
      <c r="J883" s="54"/>
      <c r="K883" s="54"/>
    </row>
    <row r="884" ht="14.25" customHeight="1">
      <c r="E884" s="315"/>
      <c r="F884" s="315"/>
      <c r="G884" s="315"/>
      <c r="H884" s="315"/>
      <c r="I884" s="318"/>
      <c r="J884" s="54"/>
      <c r="K884" s="54"/>
    </row>
    <row r="885" ht="14.25" customHeight="1">
      <c r="E885" s="315"/>
      <c r="F885" s="315"/>
      <c r="G885" s="315"/>
      <c r="H885" s="315"/>
      <c r="I885" s="318"/>
      <c r="J885" s="54"/>
      <c r="K885" s="54"/>
    </row>
    <row r="886" ht="14.25" customHeight="1">
      <c r="E886" s="315"/>
      <c r="F886" s="315"/>
      <c r="G886" s="315"/>
      <c r="H886" s="315"/>
      <c r="I886" s="318"/>
      <c r="J886" s="54"/>
      <c r="K886" s="54"/>
    </row>
    <row r="887" ht="14.25" customHeight="1">
      <c r="E887" s="315"/>
      <c r="F887" s="315"/>
      <c r="G887" s="315"/>
      <c r="H887" s="315"/>
      <c r="I887" s="318"/>
      <c r="J887" s="54"/>
      <c r="K887" s="54"/>
    </row>
    <row r="888" ht="14.25" customHeight="1">
      <c r="E888" s="315"/>
      <c r="F888" s="315"/>
      <c r="G888" s="315"/>
      <c r="H888" s="315"/>
      <c r="I888" s="318"/>
      <c r="J888" s="54"/>
      <c r="K888" s="54"/>
    </row>
    <row r="889" ht="14.25" customHeight="1">
      <c r="E889" s="315"/>
      <c r="F889" s="315"/>
      <c r="G889" s="315"/>
      <c r="H889" s="315"/>
      <c r="I889" s="318"/>
      <c r="J889" s="54"/>
      <c r="K889" s="54"/>
    </row>
    <row r="890" ht="14.25" customHeight="1">
      <c r="E890" s="315"/>
      <c r="F890" s="315"/>
      <c r="G890" s="315"/>
      <c r="H890" s="315"/>
      <c r="I890" s="318"/>
      <c r="J890" s="54"/>
      <c r="K890" s="54"/>
    </row>
    <row r="891" ht="14.25" customHeight="1">
      <c r="E891" s="315"/>
      <c r="F891" s="315"/>
      <c r="G891" s="315"/>
      <c r="H891" s="315"/>
      <c r="I891" s="318"/>
      <c r="J891" s="54"/>
      <c r="K891" s="54"/>
    </row>
    <row r="892" ht="14.25" customHeight="1">
      <c r="E892" s="315"/>
      <c r="F892" s="315"/>
      <c r="G892" s="315"/>
      <c r="H892" s="315"/>
      <c r="I892" s="318"/>
      <c r="J892" s="54"/>
      <c r="K892" s="54"/>
    </row>
    <row r="893" ht="14.25" customHeight="1">
      <c r="E893" s="315"/>
      <c r="F893" s="315"/>
      <c r="G893" s="315"/>
      <c r="H893" s="315"/>
      <c r="I893" s="318"/>
      <c r="J893" s="54"/>
      <c r="K893" s="54"/>
    </row>
    <row r="894" ht="14.25" customHeight="1">
      <c r="E894" s="315"/>
      <c r="F894" s="315"/>
      <c r="G894" s="315"/>
      <c r="H894" s="315"/>
      <c r="I894" s="318"/>
      <c r="J894" s="54"/>
      <c r="K894" s="54"/>
    </row>
    <row r="895" ht="14.25" customHeight="1">
      <c r="E895" s="315"/>
      <c r="F895" s="315"/>
      <c r="G895" s="315"/>
      <c r="H895" s="315"/>
      <c r="I895" s="318"/>
      <c r="J895" s="54"/>
      <c r="K895" s="54"/>
    </row>
    <row r="896" ht="14.25" customHeight="1">
      <c r="E896" s="315"/>
      <c r="F896" s="315"/>
      <c r="G896" s="315"/>
      <c r="H896" s="315"/>
      <c r="I896" s="318"/>
      <c r="J896" s="54"/>
      <c r="K896" s="54"/>
    </row>
    <row r="897" ht="14.25" customHeight="1">
      <c r="E897" s="315"/>
      <c r="F897" s="315"/>
      <c r="G897" s="315"/>
      <c r="H897" s="315"/>
      <c r="I897" s="318"/>
      <c r="J897" s="54"/>
      <c r="K897" s="54"/>
    </row>
    <row r="898" ht="14.25" customHeight="1">
      <c r="E898" s="315"/>
      <c r="F898" s="315"/>
      <c r="G898" s="315"/>
      <c r="H898" s="315"/>
      <c r="I898" s="318"/>
      <c r="J898" s="54"/>
      <c r="K898" s="54"/>
    </row>
    <row r="899" ht="14.25" customHeight="1">
      <c r="E899" s="315"/>
      <c r="F899" s="315"/>
      <c r="G899" s="315"/>
      <c r="H899" s="315"/>
      <c r="I899" s="318"/>
      <c r="J899" s="54"/>
      <c r="K899" s="54"/>
    </row>
    <row r="900" ht="14.25" customHeight="1">
      <c r="E900" s="315"/>
      <c r="F900" s="315"/>
      <c r="G900" s="315"/>
      <c r="H900" s="315"/>
      <c r="I900" s="318"/>
      <c r="J900" s="54"/>
      <c r="K900" s="54"/>
    </row>
    <row r="901" ht="14.25" customHeight="1">
      <c r="E901" s="315"/>
      <c r="F901" s="315"/>
      <c r="G901" s="315"/>
      <c r="H901" s="315"/>
      <c r="I901" s="318"/>
      <c r="J901" s="54"/>
      <c r="K901" s="54"/>
    </row>
    <row r="902" ht="14.25" customHeight="1">
      <c r="E902" s="315"/>
      <c r="F902" s="315"/>
      <c r="G902" s="315"/>
      <c r="H902" s="315"/>
      <c r="I902" s="318"/>
      <c r="J902" s="54"/>
      <c r="K902" s="54"/>
    </row>
    <row r="903" ht="14.25" customHeight="1">
      <c r="E903" s="315"/>
      <c r="F903" s="315"/>
      <c r="G903" s="315"/>
      <c r="H903" s="315"/>
      <c r="I903" s="318"/>
      <c r="J903" s="54"/>
      <c r="K903" s="54"/>
    </row>
    <row r="904" ht="14.25" customHeight="1">
      <c r="E904" s="315"/>
      <c r="F904" s="315"/>
      <c r="G904" s="315"/>
      <c r="H904" s="315"/>
      <c r="I904" s="318"/>
      <c r="J904" s="54"/>
      <c r="K904" s="54"/>
    </row>
    <row r="905" ht="14.25" customHeight="1">
      <c r="E905" s="315"/>
      <c r="F905" s="315"/>
      <c r="G905" s="315"/>
      <c r="H905" s="315"/>
      <c r="I905" s="318"/>
      <c r="J905" s="54"/>
      <c r="K905" s="54"/>
    </row>
    <row r="906" ht="14.25" customHeight="1">
      <c r="E906" s="315"/>
      <c r="F906" s="315"/>
      <c r="G906" s="315"/>
      <c r="H906" s="315"/>
      <c r="I906" s="318"/>
      <c r="J906" s="54"/>
      <c r="K906" s="54"/>
    </row>
    <row r="907" ht="14.25" customHeight="1">
      <c r="E907" s="315"/>
      <c r="F907" s="315"/>
      <c r="G907" s="315"/>
      <c r="H907" s="315"/>
      <c r="I907" s="318"/>
      <c r="J907" s="54"/>
      <c r="K907" s="54"/>
    </row>
    <row r="908" ht="14.25" customHeight="1">
      <c r="E908" s="315"/>
      <c r="F908" s="315"/>
      <c r="G908" s="315"/>
      <c r="H908" s="315"/>
      <c r="I908" s="318"/>
      <c r="J908" s="54"/>
      <c r="K908" s="54"/>
    </row>
    <row r="909" ht="14.25" customHeight="1">
      <c r="E909" s="315"/>
      <c r="F909" s="315"/>
      <c r="G909" s="315"/>
      <c r="H909" s="315"/>
      <c r="I909" s="318"/>
      <c r="J909" s="54"/>
      <c r="K909" s="54"/>
    </row>
    <row r="910" ht="14.25" customHeight="1">
      <c r="E910" s="315"/>
      <c r="F910" s="315"/>
      <c r="G910" s="315"/>
      <c r="H910" s="315"/>
      <c r="I910" s="318"/>
      <c r="J910" s="54"/>
      <c r="K910" s="54"/>
    </row>
    <row r="911" ht="14.25" customHeight="1">
      <c r="E911" s="315"/>
      <c r="F911" s="315"/>
      <c r="G911" s="315"/>
      <c r="H911" s="315"/>
      <c r="I911" s="318"/>
      <c r="J911" s="54"/>
      <c r="K911" s="54"/>
    </row>
    <row r="912" ht="14.25" customHeight="1">
      <c r="E912" s="315"/>
      <c r="F912" s="315"/>
      <c r="G912" s="315"/>
      <c r="H912" s="315"/>
      <c r="I912" s="318"/>
      <c r="J912" s="54"/>
      <c r="K912" s="54"/>
    </row>
    <row r="913" ht="14.25" customHeight="1">
      <c r="E913" s="315"/>
      <c r="F913" s="315"/>
      <c r="G913" s="315"/>
      <c r="H913" s="315"/>
      <c r="I913" s="318"/>
      <c r="J913" s="54"/>
      <c r="K913" s="54"/>
    </row>
    <row r="914" ht="14.25" customHeight="1">
      <c r="E914" s="315"/>
      <c r="F914" s="315"/>
      <c r="G914" s="315"/>
      <c r="H914" s="315"/>
      <c r="I914" s="318"/>
      <c r="J914" s="54"/>
      <c r="K914" s="54"/>
    </row>
    <row r="915" ht="14.25" customHeight="1">
      <c r="E915" s="315"/>
      <c r="F915" s="315"/>
      <c r="G915" s="315"/>
      <c r="H915" s="315"/>
      <c r="I915" s="318"/>
      <c r="J915" s="54"/>
      <c r="K915" s="54"/>
    </row>
    <row r="916" ht="14.25" customHeight="1">
      <c r="E916" s="315"/>
      <c r="F916" s="315"/>
      <c r="G916" s="315"/>
      <c r="H916" s="315"/>
      <c r="I916" s="318"/>
      <c r="J916" s="54"/>
      <c r="K916" s="54"/>
    </row>
    <row r="917" ht="14.25" customHeight="1">
      <c r="E917" s="315"/>
      <c r="F917" s="315"/>
      <c r="G917" s="315"/>
      <c r="H917" s="315"/>
      <c r="I917" s="318"/>
      <c r="J917" s="54"/>
      <c r="K917" s="54"/>
    </row>
    <row r="918" ht="14.25" customHeight="1">
      <c r="E918" s="315"/>
      <c r="F918" s="315"/>
      <c r="G918" s="315"/>
      <c r="H918" s="315"/>
      <c r="I918" s="318"/>
      <c r="J918" s="54"/>
      <c r="K918" s="54"/>
    </row>
    <row r="919" ht="14.25" customHeight="1">
      <c r="E919" s="315"/>
      <c r="F919" s="315"/>
      <c r="G919" s="315"/>
      <c r="H919" s="315"/>
      <c r="I919" s="318"/>
      <c r="J919" s="54"/>
      <c r="K919" s="54"/>
    </row>
    <row r="920" ht="14.25" customHeight="1">
      <c r="E920" s="315"/>
      <c r="F920" s="315"/>
      <c r="G920" s="315"/>
      <c r="H920" s="315"/>
      <c r="I920" s="318"/>
      <c r="J920" s="54"/>
      <c r="K920" s="54"/>
    </row>
    <row r="921" ht="14.25" customHeight="1">
      <c r="E921" s="315"/>
      <c r="F921" s="315"/>
      <c r="G921" s="315"/>
      <c r="H921" s="315"/>
      <c r="I921" s="318"/>
      <c r="J921" s="54"/>
      <c r="K921" s="54"/>
    </row>
    <row r="922" ht="14.25" customHeight="1">
      <c r="E922" s="315"/>
      <c r="F922" s="315"/>
      <c r="G922" s="315"/>
      <c r="H922" s="315"/>
      <c r="I922" s="318"/>
      <c r="J922" s="54"/>
      <c r="K922" s="54"/>
    </row>
    <row r="923" ht="14.25" customHeight="1">
      <c r="E923" s="315"/>
      <c r="F923" s="315"/>
      <c r="G923" s="315"/>
      <c r="H923" s="315"/>
      <c r="I923" s="318"/>
      <c r="J923" s="54"/>
      <c r="K923" s="54"/>
    </row>
    <row r="924" ht="14.25" customHeight="1">
      <c r="E924" s="315"/>
      <c r="F924" s="315"/>
      <c r="G924" s="315"/>
      <c r="H924" s="315"/>
      <c r="I924" s="318"/>
      <c r="J924" s="54"/>
      <c r="K924" s="54"/>
    </row>
    <row r="925" ht="14.25" customHeight="1">
      <c r="E925" s="315"/>
      <c r="F925" s="315"/>
      <c r="G925" s="315"/>
      <c r="H925" s="315"/>
      <c r="I925" s="318"/>
      <c r="J925" s="54"/>
      <c r="K925" s="54"/>
    </row>
    <row r="926" ht="14.25" customHeight="1">
      <c r="E926" s="315"/>
      <c r="F926" s="315"/>
      <c r="G926" s="315"/>
      <c r="H926" s="315"/>
      <c r="I926" s="318"/>
      <c r="J926" s="54"/>
      <c r="K926" s="54"/>
    </row>
    <row r="927" ht="14.25" customHeight="1">
      <c r="E927" s="315"/>
      <c r="F927" s="315"/>
      <c r="G927" s="315"/>
      <c r="H927" s="315"/>
      <c r="I927" s="318"/>
      <c r="J927" s="54"/>
      <c r="K927" s="54"/>
    </row>
    <row r="928" ht="14.25" customHeight="1">
      <c r="E928" s="315"/>
      <c r="F928" s="315"/>
      <c r="G928" s="315"/>
      <c r="H928" s="315"/>
      <c r="I928" s="318"/>
      <c r="J928" s="54"/>
      <c r="K928" s="54"/>
    </row>
    <row r="929" ht="14.25" customHeight="1">
      <c r="E929" s="315"/>
      <c r="F929" s="315"/>
      <c r="G929" s="315"/>
      <c r="H929" s="315"/>
      <c r="I929" s="318"/>
      <c r="J929" s="54"/>
      <c r="K929" s="54"/>
    </row>
    <row r="930" ht="14.25" customHeight="1">
      <c r="E930" s="315"/>
      <c r="F930" s="315"/>
      <c r="G930" s="315"/>
      <c r="H930" s="315"/>
      <c r="I930" s="318"/>
      <c r="J930" s="54"/>
      <c r="K930" s="54"/>
    </row>
    <row r="931" ht="14.25" customHeight="1">
      <c r="E931" s="315"/>
      <c r="F931" s="315"/>
      <c r="G931" s="315"/>
      <c r="H931" s="315"/>
      <c r="I931" s="318"/>
      <c r="J931" s="54"/>
      <c r="K931" s="54"/>
    </row>
    <row r="932" ht="14.25" customHeight="1">
      <c r="E932" s="315"/>
      <c r="F932" s="315"/>
      <c r="G932" s="315"/>
      <c r="H932" s="315"/>
      <c r="I932" s="318"/>
      <c r="J932" s="54"/>
      <c r="K932" s="54"/>
    </row>
    <row r="933" ht="14.25" customHeight="1">
      <c r="E933" s="315"/>
      <c r="F933" s="315"/>
      <c r="G933" s="315"/>
      <c r="H933" s="315"/>
      <c r="I933" s="318"/>
      <c r="J933" s="54"/>
      <c r="K933" s="54"/>
    </row>
    <row r="934" ht="14.25" customHeight="1">
      <c r="E934" s="315"/>
      <c r="F934" s="315"/>
      <c r="G934" s="315"/>
      <c r="H934" s="315"/>
      <c r="I934" s="318"/>
      <c r="J934" s="54"/>
      <c r="K934" s="54"/>
    </row>
    <row r="935" ht="14.25" customHeight="1">
      <c r="E935" s="315"/>
      <c r="F935" s="315"/>
      <c r="G935" s="315"/>
      <c r="H935" s="315"/>
      <c r="I935" s="318"/>
      <c r="J935" s="54"/>
      <c r="K935" s="54"/>
    </row>
    <row r="936" ht="14.25" customHeight="1">
      <c r="E936" s="315"/>
      <c r="F936" s="315"/>
      <c r="G936" s="315"/>
      <c r="H936" s="315"/>
      <c r="I936" s="318"/>
      <c r="J936" s="54"/>
      <c r="K936" s="54"/>
    </row>
    <row r="937" ht="14.25" customHeight="1">
      <c r="E937" s="315"/>
      <c r="F937" s="315"/>
      <c r="G937" s="315"/>
      <c r="H937" s="315"/>
      <c r="I937" s="318"/>
      <c r="J937" s="54"/>
      <c r="K937" s="54"/>
    </row>
    <row r="938" ht="14.25" customHeight="1">
      <c r="E938" s="315"/>
      <c r="F938" s="315"/>
      <c r="G938" s="315"/>
      <c r="H938" s="315"/>
      <c r="I938" s="318"/>
      <c r="J938" s="54"/>
      <c r="K938" s="54"/>
    </row>
    <row r="939" ht="14.25" customHeight="1">
      <c r="E939" s="315"/>
      <c r="F939" s="315"/>
      <c r="G939" s="315"/>
      <c r="H939" s="315"/>
      <c r="I939" s="318"/>
      <c r="J939" s="54"/>
      <c r="K939" s="54"/>
    </row>
    <row r="940" ht="14.25" customHeight="1">
      <c r="E940" s="315"/>
      <c r="F940" s="315"/>
      <c r="G940" s="315"/>
      <c r="H940" s="315"/>
      <c r="I940" s="318"/>
      <c r="J940" s="54"/>
      <c r="K940" s="54"/>
    </row>
    <row r="941" ht="14.25" customHeight="1">
      <c r="E941" s="315"/>
      <c r="F941" s="315"/>
      <c r="G941" s="315"/>
      <c r="H941" s="315"/>
      <c r="I941" s="318"/>
      <c r="J941" s="54"/>
      <c r="K941" s="54"/>
    </row>
    <row r="942" ht="14.25" customHeight="1">
      <c r="E942" s="315"/>
      <c r="F942" s="315"/>
      <c r="G942" s="315"/>
      <c r="H942" s="315"/>
      <c r="I942" s="318"/>
      <c r="J942" s="54"/>
      <c r="K942" s="54"/>
    </row>
    <row r="943" ht="14.25" customHeight="1">
      <c r="E943" s="315"/>
      <c r="F943" s="315"/>
      <c r="G943" s="315"/>
      <c r="H943" s="315"/>
      <c r="I943" s="318"/>
      <c r="J943" s="54"/>
      <c r="K943" s="54"/>
    </row>
    <row r="944" ht="14.25" customHeight="1">
      <c r="E944" s="315"/>
      <c r="F944" s="315"/>
      <c r="G944" s="315"/>
      <c r="H944" s="315"/>
      <c r="I944" s="318"/>
      <c r="J944" s="54"/>
      <c r="K944" s="54"/>
    </row>
    <row r="945" ht="14.25" customHeight="1">
      <c r="E945" s="315"/>
      <c r="F945" s="315"/>
      <c r="G945" s="315"/>
      <c r="H945" s="315"/>
      <c r="I945" s="318"/>
      <c r="J945" s="54"/>
      <c r="K945" s="54"/>
    </row>
    <row r="946" ht="14.25" customHeight="1">
      <c r="E946" s="315"/>
      <c r="F946" s="315"/>
      <c r="G946" s="315"/>
      <c r="H946" s="315"/>
      <c r="I946" s="318"/>
      <c r="J946" s="54"/>
      <c r="K946" s="54"/>
    </row>
    <row r="947" ht="14.25" customHeight="1">
      <c r="E947" s="315"/>
      <c r="F947" s="315"/>
      <c r="G947" s="315"/>
      <c r="H947" s="315"/>
      <c r="I947" s="318"/>
      <c r="J947" s="54"/>
      <c r="K947" s="54"/>
    </row>
    <row r="948" ht="14.25" customHeight="1">
      <c r="E948" s="315"/>
      <c r="F948" s="315"/>
      <c r="G948" s="315"/>
      <c r="H948" s="315"/>
      <c r="I948" s="318"/>
      <c r="J948" s="54"/>
      <c r="K948" s="54"/>
    </row>
    <row r="949" ht="14.25" customHeight="1">
      <c r="E949" s="315"/>
      <c r="F949" s="315"/>
      <c r="G949" s="315"/>
      <c r="H949" s="315"/>
      <c r="I949" s="318"/>
      <c r="J949" s="54"/>
      <c r="K949" s="54"/>
    </row>
    <row r="950" ht="14.25" customHeight="1">
      <c r="E950" s="315"/>
      <c r="F950" s="315"/>
      <c r="G950" s="315"/>
      <c r="H950" s="315"/>
      <c r="I950" s="318"/>
      <c r="J950" s="54"/>
      <c r="K950" s="54"/>
    </row>
    <row r="951" ht="14.25" customHeight="1">
      <c r="E951" s="315"/>
      <c r="F951" s="315"/>
      <c r="G951" s="315"/>
      <c r="H951" s="315"/>
      <c r="I951" s="318"/>
      <c r="J951" s="54"/>
      <c r="K951" s="54"/>
    </row>
    <row r="952" ht="14.25" customHeight="1">
      <c r="E952" s="315"/>
      <c r="F952" s="315"/>
      <c r="G952" s="315"/>
      <c r="H952" s="315"/>
      <c r="I952" s="318"/>
      <c r="J952" s="54"/>
      <c r="K952" s="54"/>
    </row>
    <row r="953" ht="14.25" customHeight="1">
      <c r="E953" s="315"/>
      <c r="F953" s="315"/>
      <c r="G953" s="315"/>
      <c r="H953" s="315"/>
      <c r="I953" s="318"/>
      <c r="J953" s="54"/>
      <c r="K953" s="54"/>
    </row>
    <row r="954" ht="14.25" customHeight="1">
      <c r="E954" s="315"/>
      <c r="F954" s="315"/>
      <c r="G954" s="315"/>
      <c r="H954" s="315"/>
      <c r="I954" s="318"/>
      <c r="J954" s="54"/>
      <c r="K954" s="54"/>
    </row>
    <row r="955" ht="14.25" customHeight="1">
      <c r="E955" s="315"/>
      <c r="F955" s="315"/>
      <c r="G955" s="315"/>
      <c r="H955" s="315"/>
      <c r="I955" s="318"/>
      <c r="J955" s="54"/>
      <c r="K955" s="54"/>
    </row>
    <row r="956" ht="14.25" customHeight="1">
      <c r="E956" s="315"/>
      <c r="F956" s="315"/>
      <c r="G956" s="315"/>
      <c r="H956" s="315"/>
      <c r="I956" s="318"/>
      <c r="J956" s="54"/>
      <c r="K956" s="54"/>
    </row>
    <row r="957" ht="14.25" customHeight="1">
      <c r="E957" s="315"/>
      <c r="F957" s="315"/>
      <c r="G957" s="315"/>
      <c r="H957" s="315"/>
      <c r="I957" s="318"/>
      <c r="J957" s="54"/>
      <c r="K957" s="54"/>
    </row>
    <row r="958" ht="14.25" customHeight="1">
      <c r="E958" s="315"/>
      <c r="F958" s="315"/>
      <c r="G958" s="315"/>
      <c r="H958" s="315"/>
      <c r="I958" s="318"/>
      <c r="J958" s="54"/>
      <c r="K958" s="54"/>
    </row>
    <row r="959" ht="14.25" customHeight="1">
      <c r="E959" s="315"/>
      <c r="F959" s="315"/>
      <c r="G959" s="315"/>
      <c r="H959" s="315"/>
      <c r="I959" s="318"/>
      <c r="J959" s="54"/>
      <c r="K959" s="54"/>
    </row>
    <row r="960" ht="14.25" customHeight="1">
      <c r="E960" s="315"/>
      <c r="F960" s="315"/>
      <c r="G960" s="315"/>
      <c r="H960" s="315"/>
      <c r="I960" s="318"/>
      <c r="J960" s="54"/>
      <c r="K960" s="54"/>
    </row>
    <row r="961" ht="14.25" customHeight="1">
      <c r="E961" s="315"/>
      <c r="F961" s="315"/>
      <c r="G961" s="315"/>
      <c r="H961" s="315"/>
      <c r="I961" s="318"/>
      <c r="J961" s="54"/>
      <c r="K961" s="54"/>
    </row>
    <row r="962" ht="14.25" customHeight="1">
      <c r="E962" s="315"/>
      <c r="F962" s="315"/>
      <c r="G962" s="315"/>
      <c r="H962" s="315"/>
      <c r="I962" s="318"/>
      <c r="J962" s="54"/>
      <c r="K962" s="54"/>
    </row>
    <row r="963" ht="14.25" customHeight="1">
      <c r="E963" s="315"/>
      <c r="F963" s="315"/>
      <c r="G963" s="315"/>
      <c r="H963" s="315"/>
      <c r="I963" s="318"/>
      <c r="J963" s="54"/>
      <c r="K963" s="54"/>
    </row>
    <row r="964" ht="14.25" customHeight="1">
      <c r="E964" s="315"/>
      <c r="F964" s="315"/>
      <c r="G964" s="315"/>
      <c r="H964" s="315"/>
      <c r="I964" s="318"/>
      <c r="J964" s="54"/>
      <c r="K964" s="54"/>
    </row>
    <row r="965" ht="14.25" customHeight="1">
      <c r="E965" s="315"/>
      <c r="F965" s="315"/>
      <c r="G965" s="315"/>
      <c r="H965" s="315"/>
      <c r="I965" s="318"/>
      <c r="J965" s="54"/>
      <c r="K965" s="54"/>
    </row>
    <row r="966" ht="14.25" customHeight="1">
      <c r="E966" s="315"/>
      <c r="F966" s="315"/>
      <c r="G966" s="315"/>
      <c r="H966" s="315"/>
      <c r="I966" s="318"/>
      <c r="J966" s="54"/>
      <c r="K966" s="54"/>
    </row>
    <row r="967" ht="14.25" customHeight="1">
      <c r="E967" s="315"/>
      <c r="F967" s="315"/>
      <c r="G967" s="315"/>
      <c r="H967" s="315"/>
      <c r="I967" s="318"/>
      <c r="J967" s="54"/>
      <c r="K967" s="54"/>
    </row>
    <row r="968" ht="14.25" customHeight="1">
      <c r="E968" s="315"/>
      <c r="F968" s="315"/>
      <c r="G968" s="315"/>
      <c r="H968" s="315"/>
      <c r="I968" s="318"/>
      <c r="J968" s="54"/>
      <c r="K968" s="54"/>
    </row>
    <row r="969" ht="14.25" customHeight="1">
      <c r="E969" s="315"/>
      <c r="F969" s="315"/>
      <c r="G969" s="315"/>
      <c r="H969" s="315"/>
      <c r="I969" s="318"/>
      <c r="J969" s="54"/>
      <c r="K969" s="54"/>
    </row>
    <row r="970" ht="14.25" customHeight="1">
      <c r="E970" s="315"/>
      <c r="F970" s="315"/>
      <c r="G970" s="315"/>
      <c r="H970" s="315"/>
      <c r="I970" s="318"/>
      <c r="J970" s="54"/>
      <c r="K970" s="54"/>
    </row>
    <row r="971" ht="14.25" customHeight="1">
      <c r="E971" s="315"/>
      <c r="F971" s="315"/>
      <c r="G971" s="315"/>
      <c r="H971" s="315"/>
      <c r="I971" s="318"/>
      <c r="J971" s="54"/>
      <c r="K971" s="54"/>
    </row>
    <row r="972" ht="14.25" customHeight="1">
      <c r="E972" s="315"/>
      <c r="F972" s="315"/>
      <c r="G972" s="315"/>
      <c r="H972" s="315"/>
      <c r="I972" s="318"/>
      <c r="J972" s="54"/>
      <c r="K972" s="54"/>
    </row>
    <row r="973" ht="14.25" customHeight="1">
      <c r="E973" s="315"/>
      <c r="F973" s="315"/>
      <c r="G973" s="315"/>
      <c r="H973" s="315"/>
      <c r="I973" s="318"/>
      <c r="J973" s="54"/>
      <c r="K973" s="54"/>
    </row>
    <row r="974" ht="14.25" customHeight="1">
      <c r="E974" s="315"/>
      <c r="F974" s="315"/>
      <c r="G974" s="315"/>
      <c r="H974" s="315"/>
      <c r="I974" s="318"/>
      <c r="J974" s="54"/>
      <c r="K974" s="54"/>
    </row>
    <row r="975" ht="14.25" customHeight="1">
      <c r="E975" s="315"/>
      <c r="F975" s="315"/>
      <c r="G975" s="315"/>
      <c r="H975" s="315"/>
      <c r="I975" s="318"/>
      <c r="J975" s="54"/>
      <c r="K975" s="54"/>
    </row>
    <row r="976" ht="14.25" customHeight="1">
      <c r="E976" s="315"/>
      <c r="F976" s="315"/>
      <c r="G976" s="315"/>
      <c r="H976" s="315"/>
      <c r="I976" s="318"/>
      <c r="J976" s="54"/>
      <c r="K976" s="54"/>
    </row>
    <row r="977" ht="14.25" customHeight="1">
      <c r="E977" s="315"/>
      <c r="F977" s="315"/>
      <c r="G977" s="315"/>
      <c r="H977" s="315"/>
      <c r="I977" s="318"/>
      <c r="J977" s="54"/>
      <c r="K977" s="54"/>
    </row>
    <row r="978" ht="14.25" customHeight="1">
      <c r="E978" s="315"/>
      <c r="F978" s="315"/>
      <c r="G978" s="315"/>
      <c r="H978" s="315"/>
      <c r="I978" s="318"/>
      <c r="J978" s="54"/>
      <c r="K978" s="54"/>
    </row>
    <row r="979" ht="14.25" customHeight="1">
      <c r="E979" s="315"/>
      <c r="F979" s="315"/>
      <c r="G979" s="315"/>
      <c r="H979" s="315"/>
      <c r="I979" s="318"/>
      <c r="J979" s="54"/>
      <c r="K979" s="54"/>
    </row>
    <row r="980" ht="14.25" customHeight="1">
      <c r="E980" s="315"/>
      <c r="F980" s="315"/>
      <c r="G980" s="315"/>
      <c r="H980" s="315"/>
      <c r="I980" s="318"/>
      <c r="J980" s="54"/>
      <c r="K980" s="54"/>
    </row>
    <row r="981" ht="14.25" customHeight="1">
      <c r="E981" s="315"/>
      <c r="F981" s="315"/>
      <c r="G981" s="315"/>
      <c r="H981" s="315"/>
      <c r="I981" s="318"/>
      <c r="J981" s="54"/>
      <c r="K981" s="54"/>
    </row>
    <row r="982" ht="14.25" customHeight="1">
      <c r="E982" s="315"/>
      <c r="F982" s="315"/>
      <c r="G982" s="315"/>
      <c r="H982" s="315"/>
      <c r="I982" s="318"/>
      <c r="J982" s="54"/>
      <c r="K982" s="54"/>
    </row>
    <row r="983" ht="14.25" customHeight="1">
      <c r="E983" s="315"/>
      <c r="F983" s="315"/>
      <c r="G983" s="315"/>
      <c r="H983" s="315"/>
      <c r="I983" s="318"/>
      <c r="J983" s="54"/>
      <c r="K983" s="54"/>
    </row>
    <row r="984" ht="14.25" customHeight="1">
      <c r="E984" s="315"/>
      <c r="F984" s="315"/>
      <c r="G984" s="315"/>
      <c r="H984" s="315"/>
      <c r="I984" s="318"/>
      <c r="J984" s="54"/>
      <c r="K984" s="54"/>
    </row>
    <row r="985" ht="14.25" customHeight="1">
      <c r="E985" s="315"/>
      <c r="F985" s="315"/>
      <c r="G985" s="315"/>
      <c r="H985" s="315"/>
      <c r="I985" s="318"/>
      <c r="J985" s="54"/>
      <c r="K985" s="54"/>
    </row>
    <row r="986" ht="14.25" customHeight="1">
      <c r="E986" s="315"/>
      <c r="F986" s="315"/>
      <c r="G986" s="315"/>
      <c r="H986" s="315"/>
      <c r="I986" s="318"/>
      <c r="J986" s="54"/>
      <c r="K986" s="54"/>
    </row>
    <row r="987" ht="14.25" customHeight="1">
      <c r="E987" s="315"/>
      <c r="F987" s="315"/>
      <c r="G987" s="315"/>
      <c r="H987" s="315"/>
      <c r="I987" s="318"/>
      <c r="J987" s="54"/>
      <c r="K987" s="54"/>
    </row>
    <row r="988" ht="14.25" customHeight="1">
      <c r="E988" s="315"/>
      <c r="F988" s="315"/>
      <c r="G988" s="315"/>
      <c r="H988" s="315"/>
      <c r="I988" s="318"/>
      <c r="J988" s="54"/>
      <c r="K988" s="54"/>
    </row>
    <row r="989" ht="14.25" customHeight="1">
      <c r="E989" s="315"/>
      <c r="F989" s="315"/>
      <c r="G989" s="315"/>
      <c r="H989" s="315"/>
      <c r="I989" s="318"/>
      <c r="J989" s="54"/>
      <c r="K989" s="54"/>
    </row>
    <row r="990" ht="14.25" customHeight="1">
      <c r="E990" s="315"/>
      <c r="F990" s="315"/>
      <c r="G990" s="315"/>
      <c r="H990" s="315"/>
      <c r="I990" s="318"/>
      <c r="J990" s="54"/>
      <c r="K990" s="54"/>
    </row>
    <row r="991" ht="14.25" customHeight="1">
      <c r="E991" s="315"/>
      <c r="F991" s="315"/>
      <c r="G991" s="315"/>
      <c r="H991" s="315"/>
      <c r="I991" s="318"/>
      <c r="J991" s="54"/>
      <c r="K991" s="54"/>
    </row>
    <row r="992" ht="14.25" customHeight="1">
      <c r="E992" s="315"/>
      <c r="F992" s="315"/>
      <c r="G992" s="315"/>
      <c r="H992" s="315"/>
      <c r="I992" s="318"/>
      <c r="J992" s="54"/>
      <c r="K992" s="54"/>
    </row>
    <row r="993" ht="14.25" customHeight="1">
      <c r="E993" s="315"/>
      <c r="F993" s="315"/>
      <c r="G993" s="315"/>
      <c r="H993" s="315"/>
      <c r="I993" s="318"/>
      <c r="J993" s="54"/>
      <c r="K993" s="54"/>
    </row>
    <row r="994" ht="14.25" customHeight="1">
      <c r="E994" s="315"/>
      <c r="F994" s="315"/>
      <c r="G994" s="315"/>
      <c r="H994" s="315"/>
      <c r="I994" s="318"/>
      <c r="J994" s="54"/>
      <c r="K994" s="54"/>
    </row>
    <row r="995" ht="14.25" customHeight="1">
      <c r="E995" s="315"/>
      <c r="F995" s="315"/>
      <c r="G995" s="315"/>
      <c r="H995" s="315"/>
      <c r="I995" s="318"/>
      <c r="J995" s="54"/>
      <c r="K995" s="54"/>
    </row>
    <row r="996" ht="14.25" customHeight="1">
      <c r="E996" s="315"/>
      <c r="F996" s="315"/>
      <c r="G996" s="315"/>
      <c r="H996" s="315"/>
      <c r="I996" s="318"/>
      <c r="J996" s="54"/>
      <c r="K996" s="54"/>
    </row>
    <row r="997" ht="14.25" customHeight="1">
      <c r="E997" s="315"/>
      <c r="F997" s="315"/>
      <c r="G997" s="315"/>
      <c r="H997" s="315"/>
      <c r="I997" s="318"/>
      <c r="J997" s="54"/>
      <c r="K997" s="54"/>
    </row>
    <row r="998" ht="14.25" customHeight="1">
      <c r="E998" s="315"/>
      <c r="F998" s="315"/>
      <c r="G998" s="315"/>
      <c r="H998" s="315"/>
      <c r="I998" s="318"/>
      <c r="J998" s="54"/>
      <c r="K998" s="54"/>
    </row>
    <row r="999" ht="14.25" customHeight="1">
      <c r="E999" s="315"/>
      <c r="F999" s="315"/>
      <c r="G999" s="315"/>
      <c r="H999" s="315"/>
      <c r="I999" s="318"/>
      <c r="J999" s="54"/>
      <c r="K999" s="54"/>
    </row>
    <row r="1000" ht="14.25" customHeight="1">
      <c r="E1000" s="315"/>
      <c r="F1000" s="315"/>
      <c r="G1000" s="315"/>
      <c r="H1000" s="315"/>
      <c r="I1000" s="318"/>
      <c r="J1000" s="54"/>
      <c r="K1000" s="54"/>
    </row>
  </sheetData>
  <mergeCells count="26">
    <mergeCell ref="H2:H3"/>
    <mergeCell ref="I2:I3"/>
    <mergeCell ref="J2:J3"/>
    <mergeCell ref="K2:K3"/>
    <mergeCell ref="L2:M2"/>
    <mergeCell ref="N2:N3"/>
    <mergeCell ref="O2:O3"/>
    <mergeCell ref="A2:A3"/>
    <mergeCell ref="B2:B3"/>
    <mergeCell ref="C2:C3"/>
    <mergeCell ref="D2:D3"/>
    <mergeCell ref="E2:E3"/>
    <mergeCell ref="F2:F3"/>
    <mergeCell ref="G2:G3"/>
    <mergeCell ref="K35:K36"/>
    <mergeCell ref="L35:L36"/>
    <mergeCell ref="M35:M36"/>
    <mergeCell ref="N35:N36"/>
    <mergeCell ref="O35:O36"/>
    <mergeCell ref="B4:F4"/>
    <mergeCell ref="B7:F7"/>
    <mergeCell ref="B9:F9"/>
    <mergeCell ref="B11:F11"/>
    <mergeCell ref="B19:F19"/>
    <mergeCell ref="G35:I36"/>
    <mergeCell ref="J35:J36"/>
  </mergeCells>
  <printOptions/>
  <pageMargins bottom="0.22" footer="0.0" header="0.0" left="0.7" right="0.7" top="0.17"/>
  <pageSetup paperSize="14" scale="90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10.29"/>
    <col customWidth="1" min="3" max="3" width="11.86"/>
    <col customWidth="1" min="4" max="4" width="8.29"/>
    <col customWidth="1" min="5" max="5" width="6.29"/>
    <col customWidth="1" min="6" max="6" width="29.0"/>
    <col customWidth="1" min="7" max="7" width="9.43"/>
    <col customWidth="1" min="8" max="8" width="8.57"/>
    <col customWidth="1" min="9" max="9" width="9.71"/>
    <col customWidth="1" min="10" max="10" width="15.86"/>
    <col customWidth="1" min="11" max="11" width="8.0"/>
    <col customWidth="1" min="12" max="12" width="14.29"/>
    <col customWidth="1" min="13" max="13" width="12.0"/>
    <col customWidth="1" min="14" max="14" width="15.86"/>
    <col customWidth="1" min="15" max="15" width="8.71"/>
    <col customWidth="1" min="16" max="16" width="9.14"/>
    <col customWidth="1" min="17" max="35" width="9.0"/>
  </cols>
  <sheetData>
    <row r="1" ht="48.75" customHeight="1">
      <c r="A1" s="57"/>
      <c r="B1" s="57"/>
      <c r="C1" s="58"/>
      <c r="D1" s="58" t="s">
        <v>6173</v>
      </c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</row>
    <row r="2" ht="24.0" customHeight="1">
      <c r="A2" s="296" t="s">
        <v>1</v>
      </c>
      <c r="B2" s="296" t="s">
        <v>2</v>
      </c>
      <c r="C2" s="296" t="s">
        <v>3</v>
      </c>
      <c r="D2" s="296" t="s">
        <v>4</v>
      </c>
      <c r="E2" s="297" t="s">
        <v>5</v>
      </c>
      <c r="F2" s="298" t="s">
        <v>8</v>
      </c>
      <c r="G2" s="298" t="s">
        <v>11</v>
      </c>
      <c r="H2" s="298" t="s">
        <v>14</v>
      </c>
      <c r="I2" s="298" t="s">
        <v>30</v>
      </c>
      <c r="J2" s="296" t="s">
        <v>28</v>
      </c>
      <c r="K2" s="296" t="s">
        <v>6112</v>
      </c>
      <c r="L2" s="299" t="s">
        <v>6113</v>
      </c>
      <c r="M2" s="9"/>
      <c r="N2" s="296" t="s">
        <v>28</v>
      </c>
      <c r="O2" s="300" t="s">
        <v>6112</v>
      </c>
    </row>
    <row r="3" ht="15.0" customHeight="1">
      <c r="A3" s="183"/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302" t="s">
        <v>59</v>
      </c>
      <c r="M3" s="303" t="s">
        <v>178</v>
      </c>
      <c r="N3" s="183"/>
      <c r="O3" s="183"/>
    </row>
    <row r="4" ht="15.0" customHeight="1">
      <c r="A4" s="304"/>
      <c r="B4" s="305" t="s">
        <v>6176</v>
      </c>
      <c r="C4" s="178"/>
      <c r="D4" s="178"/>
      <c r="E4" s="178"/>
      <c r="F4" s="9"/>
      <c r="G4" s="306"/>
      <c r="H4" s="306"/>
      <c r="I4" s="307"/>
      <c r="J4" s="304"/>
      <c r="K4" s="304"/>
      <c r="L4" s="302"/>
      <c r="M4" s="303"/>
      <c r="N4" s="304"/>
      <c r="O4" s="304"/>
    </row>
    <row r="5" ht="14.25" customHeight="1">
      <c r="A5" s="19">
        <v>1.0</v>
      </c>
      <c r="B5" s="15" t="s">
        <v>99</v>
      </c>
      <c r="C5" s="16" t="s">
        <v>100</v>
      </c>
      <c r="D5" s="16" t="s">
        <v>101</v>
      </c>
      <c r="E5" s="324" t="s">
        <v>102</v>
      </c>
      <c r="F5" s="324" t="s">
        <v>103</v>
      </c>
      <c r="G5" s="324" t="s">
        <v>57</v>
      </c>
      <c r="H5" s="324">
        <v>44685.0</v>
      </c>
      <c r="I5" s="324" t="s">
        <v>59</v>
      </c>
      <c r="J5" s="22">
        <v>22867.5</v>
      </c>
      <c r="K5" s="62">
        <f t="shared" ref="K5:K6" si="1">J5*12/365</f>
        <v>751.8082192</v>
      </c>
      <c r="L5" s="312">
        <f t="shared" ref="L5:L6" si="2">50*365/12+0.01</f>
        <v>1520.843333</v>
      </c>
      <c r="M5" s="312"/>
      <c r="N5" s="312">
        <f t="shared" ref="N5:N6" si="3">SUM(J5+L5+M5)</f>
        <v>24388.34333</v>
      </c>
      <c r="O5" s="312">
        <f t="shared" ref="O5:O6" si="4">N5*12/365</f>
        <v>801.8085479</v>
      </c>
    </row>
    <row r="6" ht="14.25" customHeight="1">
      <c r="A6" s="19">
        <f>+A5+1</f>
        <v>2</v>
      </c>
      <c r="B6" s="65" t="s">
        <v>118</v>
      </c>
      <c r="C6" s="26" t="s">
        <v>119</v>
      </c>
      <c r="D6" s="26" t="s">
        <v>120</v>
      </c>
      <c r="E6" s="324" t="s">
        <v>54</v>
      </c>
      <c r="F6" s="324" t="s">
        <v>103</v>
      </c>
      <c r="G6" s="324" t="s">
        <v>57</v>
      </c>
      <c r="H6" s="324">
        <v>44685.0</v>
      </c>
      <c r="I6" s="324" t="s">
        <v>59</v>
      </c>
      <c r="J6" s="22">
        <v>22185.0</v>
      </c>
      <c r="K6" s="62">
        <f t="shared" si="1"/>
        <v>729.369863</v>
      </c>
      <c r="L6" s="312">
        <f t="shared" si="2"/>
        <v>1520.843333</v>
      </c>
      <c r="M6" s="312"/>
      <c r="N6" s="312">
        <f t="shared" si="3"/>
        <v>23705.84333</v>
      </c>
      <c r="O6" s="312">
        <f t="shared" si="4"/>
        <v>779.3701918</v>
      </c>
    </row>
    <row r="7" ht="25.5" customHeight="1">
      <c r="A7" s="19"/>
      <c r="B7" s="305" t="s">
        <v>6145</v>
      </c>
      <c r="C7" s="178"/>
      <c r="D7" s="178"/>
      <c r="E7" s="178"/>
      <c r="F7" s="9"/>
      <c r="G7" s="324"/>
      <c r="H7" s="324"/>
      <c r="I7" s="324"/>
      <c r="J7" s="22"/>
      <c r="K7" s="62"/>
      <c r="L7" s="312"/>
      <c r="M7" s="312"/>
      <c r="N7" s="312"/>
      <c r="O7" s="312"/>
    </row>
    <row r="8" ht="15.0" customHeight="1">
      <c r="A8" s="19">
        <f>+A6+1</f>
        <v>3</v>
      </c>
      <c r="B8" s="15" t="s">
        <v>187</v>
      </c>
      <c r="C8" s="16" t="s">
        <v>188</v>
      </c>
      <c r="D8" s="16" t="s">
        <v>189</v>
      </c>
      <c r="E8" s="324" t="s">
        <v>87</v>
      </c>
      <c r="F8" s="324" t="s">
        <v>190</v>
      </c>
      <c r="G8" s="324" t="s">
        <v>57</v>
      </c>
      <c r="H8" s="324">
        <v>44685.0</v>
      </c>
      <c r="I8" s="324" t="s">
        <v>59</v>
      </c>
      <c r="J8" s="22">
        <v>20785.0</v>
      </c>
      <c r="K8" s="62">
        <f t="shared" ref="K8:K9" si="5">J8*12/365</f>
        <v>683.3424658</v>
      </c>
      <c r="L8" s="312">
        <f t="shared" ref="L8:L9" si="6">50*365/12+0.01</f>
        <v>1520.843333</v>
      </c>
      <c r="M8" s="312"/>
      <c r="N8" s="312">
        <f t="shared" ref="N8:N9" si="7">SUM(J8+L8+M8)</f>
        <v>22305.84333</v>
      </c>
      <c r="O8" s="312">
        <f t="shared" ref="O8:O9" si="8">N8*12/365</f>
        <v>733.3427945</v>
      </c>
    </row>
    <row r="9" ht="15.0" customHeight="1">
      <c r="A9" s="19">
        <f>+A8+1</f>
        <v>4</v>
      </c>
      <c r="B9" s="15" t="s">
        <v>74</v>
      </c>
      <c r="C9" s="16" t="s">
        <v>1712</v>
      </c>
      <c r="D9" s="16" t="s">
        <v>847</v>
      </c>
      <c r="E9" s="324" t="s">
        <v>295</v>
      </c>
      <c r="F9" s="324" t="s">
        <v>561</v>
      </c>
      <c r="G9" s="324" t="s">
        <v>57</v>
      </c>
      <c r="H9" s="324">
        <v>44685.0</v>
      </c>
      <c r="I9" s="324" t="s">
        <v>59</v>
      </c>
      <c r="J9" s="22">
        <v>20000.0</v>
      </c>
      <c r="K9" s="62">
        <f t="shared" si="5"/>
        <v>657.5342466</v>
      </c>
      <c r="L9" s="312">
        <f t="shared" si="6"/>
        <v>1520.843333</v>
      </c>
      <c r="M9" s="312"/>
      <c r="N9" s="312">
        <f t="shared" si="7"/>
        <v>21520.84333</v>
      </c>
      <c r="O9" s="312">
        <f t="shared" si="8"/>
        <v>707.5345753</v>
      </c>
    </row>
    <row r="10" ht="27.75" customHeight="1">
      <c r="A10" s="19"/>
      <c r="B10" s="305" t="s">
        <v>6146</v>
      </c>
      <c r="C10" s="178"/>
      <c r="D10" s="178"/>
      <c r="E10" s="178"/>
      <c r="F10" s="9"/>
      <c r="G10" s="324"/>
      <c r="H10" s="324"/>
      <c r="I10" s="324"/>
      <c r="J10" s="22"/>
      <c r="K10" s="62"/>
      <c r="L10" s="312"/>
      <c r="M10" s="312"/>
      <c r="N10" s="312"/>
      <c r="O10" s="312"/>
    </row>
    <row r="11" ht="14.25" customHeight="1">
      <c r="A11" s="19">
        <f>+A9+1</f>
        <v>5</v>
      </c>
      <c r="B11" s="15" t="s">
        <v>157</v>
      </c>
      <c r="C11" s="16" t="s">
        <v>158</v>
      </c>
      <c r="D11" s="16" t="s">
        <v>159</v>
      </c>
      <c r="E11" s="324" t="s">
        <v>102</v>
      </c>
      <c r="F11" s="324" t="s">
        <v>160</v>
      </c>
      <c r="G11" s="324" t="s">
        <v>57</v>
      </c>
      <c r="H11" s="324">
        <v>44685.0</v>
      </c>
      <c r="I11" s="324" t="s">
        <v>59</v>
      </c>
      <c r="J11" s="22">
        <v>20685.0</v>
      </c>
      <c r="K11" s="62">
        <f t="shared" ref="K11:K17" si="9">J11*12/365</f>
        <v>680.0547945</v>
      </c>
      <c r="L11" s="312">
        <f t="shared" ref="L11:L17" si="10">50*365/12+0.01</f>
        <v>1520.843333</v>
      </c>
      <c r="M11" s="312"/>
      <c r="N11" s="312">
        <f t="shared" ref="N11:N17" si="11">SUM(J11+L11+M11)</f>
        <v>22205.84333</v>
      </c>
      <c r="O11" s="312">
        <f t="shared" ref="O11:O17" si="12">N11*12/365</f>
        <v>730.0551233</v>
      </c>
    </row>
    <row r="12" ht="14.25" customHeight="1">
      <c r="A12" s="19">
        <f t="shared" ref="A12:A17" si="13">+A11+1</f>
        <v>6</v>
      </c>
      <c r="B12" s="16" t="s">
        <v>5840</v>
      </c>
      <c r="C12" s="16" t="s">
        <v>5841</v>
      </c>
      <c r="D12" s="16" t="s">
        <v>6175</v>
      </c>
      <c r="E12" s="324" t="s">
        <v>102</v>
      </c>
      <c r="F12" s="324" t="s">
        <v>561</v>
      </c>
      <c r="G12" s="324" t="s">
        <v>57</v>
      </c>
      <c r="H12" s="324">
        <v>44685.0</v>
      </c>
      <c r="I12" s="324" t="s">
        <v>59</v>
      </c>
      <c r="J12" s="139">
        <v>19618.75</v>
      </c>
      <c r="K12" s="22">
        <f t="shared" si="9"/>
        <v>645</v>
      </c>
      <c r="L12" s="312">
        <f t="shared" si="10"/>
        <v>1520.843333</v>
      </c>
      <c r="M12" s="312"/>
      <c r="N12" s="312">
        <f t="shared" si="11"/>
        <v>21139.59333</v>
      </c>
      <c r="O12" s="312">
        <f t="shared" si="12"/>
        <v>695.0003288</v>
      </c>
    </row>
    <row r="13" ht="14.25" customHeight="1">
      <c r="A13" s="19">
        <f t="shared" si="13"/>
        <v>7</v>
      </c>
      <c r="B13" s="16" t="s">
        <v>1590</v>
      </c>
      <c r="C13" s="16" t="s">
        <v>1591</v>
      </c>
      <c r="D13" s="16" t="s">
        <v>532</v>
      </c>
      <c r="E13" s="324" t="s">
        <v>379</v>
      </c>
      <c r="F13" s="324" t="s">
        <v>561</v>
      </c>
      <c r="G13" s="324" t="s">
        <v>57</v>
      </c>
      <c r="H13" s="324">
        <v>44744.0</v>
      </c>
      <c r="I13" s="324" t="s">
        <v>59</v>
      </c>
      <c r="J13" s="139">
        <v>19618.75</v>
      </c>
      <c r="K13" s="22">
        <f t="shared" si="9"/>
        <v>645</v>
      </c>
      <c r="L13" s="312">
        <f t="shared" si="10"/>
        <v>1520.843333</v>
      </c>
      <c r="M13" s="312"/>
      <c r="N13" s="312">
        <f t="shared" si="11"/>
        <v>21139.59333</v>
      </c>
      <c r="O13" s="312">
        <f t="shared" si="12"/>
        <v>695.0003288</v>
      </c>
    </row>
    <row r="14" ht="14.25" customHeight="1">
      <c r="A14" s="19">
        <f t="shared" si="13"/>
        <v>8</v>
      </c>
      <c r="B14" s="16" t="s">
        <v>1573</v>
      </c>
      <c r="C14" s="16" t="s">
        <v>1574</v>
      </c>
      <c r="D14" s="16" t="s">
        <v>1575</v>
      </c>
      <c r="E14" s="324" t="s">
        <v>379</v>
      </c>
      <c r="F14" s="324" t="s">
        <v>561</v>
      </c>
      <c r="G14" s="324" t="s">
        <v>57</v>
      </c>
      <c r="H14" s="324">
        <v>44744.0</v>
      </c>
      <c r="I14" s="324" t="s">
        <v>59</v>
      </c>
      <c r="J14" s="139">
        <v>19618.75</v>
      </c>
      <c r="K14" s="22">
        <f t="shared" si="9"/>
        <v>645</v>
      </c>
      <c r="L14" s="312">
        <f t="shared" si="10"/>
        <v>1520.843333</v>
      </c>
      <c r="M14" s="312"/>
      <c r="N14" s="312">
        <f t="shared" si="11"/>
        <v>21139.59333</v>
      </c>
      <c r="O14" s="312">
        <f t="shared" si="12"/>
        <v>695.0003288</v>
      </c>
    </row>
    <row r="15" ht="14.25" customHeight="1">
      <c r="A15" s="19">
        <f t="shared" si="13"/>
        <v>9</v>
      </c>
      <c r="B15" s="16" t="s">
        <v>129</v>
      </c>
      <c r="C15" s="26" t="s">
        <v>130</v>
      </c>
      <c r="D15" s="16" t="s">
        <v>131</v>
      </c>
      <c r="E15" s="324" t="s">
        <v>132</v>
      </c>
      <c r="F15" s="324" t="s">
        <v>133</v>
      </c>
      <c r="G15" s="324" t="s">
        <v>57</v>
      </c>
      <c r="H15" s="324">
        <v>44685.0</v>
      </c>
      <c r="I15" s="324" t="s">
        <v>59</v>
      </c>
      <c r="J15" s="139">
        <v>19618.75</v>
      </c>
      <c r="K15" s="139">
        <f t="shared" si="9"/>
        <v>645</v>
      </c>
      <c r="L15" s="312">
        <f t="shared" si="10"/>
        <v>1520.843333</v>
      </c>
      <c r="M15" s="312"/>
      <c r="N15" s="312">
        <f t="shared" si="11"/>
        <v>21139.59333</v>
      </c>
      <c r="O15" s="312">
        <f t="shared" si="12"/>
        <v>695.0003288</v>
      </c>
    </row>
    <row r="16" ht="14.25" customHeight="1">
      <c r="A16" s="19">
        <f t="shared" si="13"/>
        <v>10</v>
      </c>
      <c r="B16" s="16" t="s">
        <v>145</v>
      </c>
      <c r="C16" s="16" t="s">
        <v>146</v>
      </c>
      <c r="D16" s="16" t="s">
        <v>147</v>
      </c>
      <c r="E16" s="324" t="s">
        <v>77</v>
      </c>
      <c r="F16" s="324" t="s">
        <v>133</v>
      </c>
      <c r="G16" s="324" t="s">
        <v>57</v>
      </c>
      <c r="H16" s="324">
        <v>44685.0</v>
      </c>
      <c r="I16" s="324" t="s">
        <v>59</v>
      </c>
      <c r="J16" s="139">
        <v>19618.75</v>
      </c>
      <c r="K16" s="62">
        <f t="shared" si="9"/>
        <v>645</v>
      </c>
      <c r="L16" s="312">
        <f t="shared" si="10"/>
        <v>1520.843333</v>
      </c>
      <c r="M16" s="312"/>
      <c r="N16" s="312">
        <f t="shared" si="11"/>
        <v>21139.59333</v>
      </c>
      <c r="O16" s="312">
        <f t="shared" si="12"/>
        <v>695.0003288</v>
      </c>
    </row>
    <row r="17" ht="14.25" customHeight="1">
      <c r="A17" s="19">
        <f t="shared" si="13"/>
        <v>11</v>
      </c>
      <c r="B17" s="16" t="s">
        <v>1746</v>
      </c>
      <c r="C17" s="16" t="s">
        <v>1747</v>
      </c>
      <c r="D17" s="16" t="s">
        <v>1748</v>
      </c>
      <c r="E17" s="328" t="s">
        <v>1426</v>
      </c>
      <c r="F17" s="324" t="s">
        <v>133</v>
      </c>
      <c r="G17" s="324" t="s">
        <v>57</v>
      </c>
      <c r="H17" s="314">
        <v>44723.0</v>
      </c>
      <c r="I17" s="324" t="s">
        <v>59</v>
      </c>
      <c r="J17" s="139">
        <v>19618.75</v>
      </c>
      <c r="K17" s="62">
        <f t="shared" si="9"/>
        <v>645</v>
      </c>
      <c r="L17" s="312">
        <f t="shared" si="10"/>
        <v>1520.843333</v>
      </c>
      <c r="M17" s="312"/>
      <c r="N17" s="312">
        <f t="shared" si="11"/>
        <v>21139.59333</v>
      </c>
      <c r="O17" s="312">
        <f t="shared" si="12"/>
        <v>695.0003288</v>
      </c>
    </row>
    <row r="18" ht="14.25" customHeight="1">
      <c r="A18" s="19"/>
      <c r="B18" s="305" t="s">
        <v>6177</v>
      </c>
      <c r="C18" s="178"/>
      <c r="D18" s="178"/>
      <c r="E18" s="178"/>
      <c r="F18" s="9"/>
      <c r="G18" s="306"/>
      <c r="H18" s="306"/>
      <c r="I18" s="307"/>
      <c r="J18" s="304"/>
      <c r="K18" s="304"/>
      <c r="L18" s="302"/>
      <c r="M18" s="303"/>
      <c r="N18" s="304"/>
      <c r="O18" s="304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</row>
    <row r="19" ht="14.25" customHeight="1">
      <c r="A19" s="19">
        <f>+A17+1</f>
        <v>12</v>
      </c>
      <c r="B19" s="16" t="s">
        <v>1648</v>
      </c>
      <c r="C19" s="16" t="s">
        <v>1649</v>
      </c>
      <c r="D19" s="16" t="s">
        <v>1650</v>
      </c>
      <c r="E19" s="324" t="s">
        <v>394</v>
      </c>
      <c r="F19" s="324" t="s">
        <v>133</v>
      </c>
      <c r="G19" s="324" t="s">
        <v>57</v>
      </c>
      <c r="H19" s="324">
        <v>45359.0</v>
      </c>
      <c r="I19" s="324" t="s">
        <v>178</v>
      </c>
      <c r="J19" s="139">
        <v>16823.75</v>
      </c>
      <c r="K19" s="139">
        <f>J19*12/313</f>
        <v>645</v>
      </c>
      <c r="L19" s="312">
        <f>50*313/12+0.01</f>
        <v>1304.176667</v>
      </c>
      <c r="M19" s="312"/>
      <c r="N19" s="312">
        <f>SUM(J19+L19+M19)</f>
        <v>18127.92667</v>
      </c>
      <c r="O19" s="312">
        <f>N19*12/313</f>
        <v>695.0003834</v>
      </c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</row>
    <row r="20" ht="18.0" customHeight="1">
      <c r="A20" s="19"/>
      <c r="B20" s="305" t="s">
        <v>6161</v>
      </c>
      <c r="C20" s="178"/>
      <c r="D20" s="178"/>
      <c r="E20" s="178"/>
      <c r="F20" s="9"/>
      <c r="G20" s="324"/>
      <c r="H20" s="324"/>
      <c r="I20" s="324"/>
      <c r="J20" s="22"/>
      <c r="K20" s="62"/>
      <c r="L20" s="312"/>
      <c r="M20" s="312"/>
      <c r="N20" s="312"/>
      <c r="O20" s="312"/>
    </row>
    <row r="21" ht="14.25" customHeight="1">
      <c r="A21" s="19">
        <f>+A19+1</f>
        <v>13</v>
      </c>
      <c r="B21" s="16" t="s">
        <v>202</v>
      </c>
      <c r="C21" s="16" t="s">
        <v>203</v>
      </c>
      <c r="D21" s="16" t="s">
        <v>204</v>
      </c>
      <c r="E21" s="324" t="s">
        <v>87</v>
      </c>
      <c r="F21" s="324" t="s">
        <v>82</v>
      </c>
      <c r="G21" s="324" t="s">
        <v>57</v>
      </c>
      <c r="H21" s="324">
        <v>44694.0</v>
      </c>
      <c r="I21" s="324" t="s">
        <v>178</v>
      </c>
      <c r="J21" s="139">
        <v>16823.75</v>
      </c>
      <c r="K21" s="139">
        <f t="shared" ref="K21:K32" si="14">J21*12/313</f>
        <v>645</v>
      </c>
      <c r="L21" s="312">
        <f t="shared" ref="L21:L32" si="15">50*313/12+0.01</f>
        <v>1304.176667</v>
      </c>
      <c r="M21" s="312"/>
      <c r="N21" s="312">
        <f t="shared" ref="N21:N32" si="16">SUM(J21+L21+M21)</f>
        <v>18127.92667</v>
      </c>
      <c r="O21" s="312">
        <f t="shared" ref="O21:O32" si="17">N21*12/313</f>
        <v>695.0003834</v>
      </c>
    </row>
    <row r="22" ht="14.25" customHeight="1">
      <c r="A22" s="19">
        <f t="shared" ref="A22:A32" si="18">+A21+1</f>
        <v>14</v>
      </c>
      <c r="B22" s="16" t="s">
        <v>228</v>
      </c>
      <c r="C22" s="16" t="s">
        <v>229</v>
      </c>
      <c r="D22" s="16" t="s">
        <v>230</v>
      </c>
      <c r="E22" s="324" t="s">
        <v>132</v>
      </c>
      <c r="F22" s="324" t="s">
        <v>82</v>
      </c>
      <c r="G22" s="324" t="s">
        <v>57</v>
      </c>
      <c r="H22" s="324">
        <v>45380.0</v>
      </c>
      <c r="I22" s="324" t="s">
        <v>178</v>
      </c>
      <c r="J22" s="139">
        <v>16823.75</v>
      </c>
      <c r="K22" s="139">
        <f t="shared" si="14"/>
        <v>645</v>
      </c>
      <c r="L22" s="312">
        <f t="shared" si="15"/>
        <v>1304.176667</v>
      </c>
      <c r="M22" s="312"/>
      <c r="N22" s="312">
        <f t="shared" si="16"/>
        <v>18127.92667</v>
      </c>
      <c r="O22" s="312">
        <f t="shared" si="17"/>
        <v>695.0003834</v>
      </c>
    </row>
    <row r="23" ht="14.25" customHeight="1">
      <c r="A23" s="19">
        <f t="shared" si="18"/>
        <v>15</v>
      </c>
      <c r="B23" s="16" t="s">
        <v>1636</v>
      </c>
      <c r="C23" s="16" t="s">
        <v>1637</v>
      </c>
      <c r="D23" s="16" t="s">
        <v>1638</v>
      </c>
      <c r="E23" s="324" t="s">
        <v>1426</v>
      </c>
      <c r="F23" s="324" t="s">
        <v>82</v>
      </c>
      <c r="G23" s="324" t="s">
        <v>57</v>
      </c>
      <c r="H23" s="324">
        <v>45441.0</v>
      </c>
      <c r="I23" s="324" t="s">
        <v>178</v>
      </c>
      <c r="J23" s="139">
        <v>16823.75</v>
      </c>
      <c r="K23" s="139">
        <f t="shared" si="14"/>
        <v>645</v>
      </c>
      <c r="L23" s="312">
        <f t="shared" si="15"/>
        <v>1304.176667</v>
      </c>
      <c r="M23" s="312"/>
      <c r="N23" s="312">
        <f t="shared" si="16"/>
        <v>18127.92667</v>
      </c>
      <c r="O23" s="312">
        <f t="shared" si="17"/>
        <v>695.0003834</v>
      </c>
    </row>
    <row r="24" ht="14.25" customHeight="1">
      <c r="A24" s="19">
        <f t="shared" si="18"/>
        <v>16</v>
      </c>
      <c r="B24" s="16" t="s">
        <v>242</v>
      </c>
      <c r="C24" s="16" t="s">
        <v>243</v>
      </c>
      <c r="D24" s="16" t="s">
        <v>244</v>
      </c>
      <c r="E24" s="324" t="s">
        <v>54</v>
      </c>
      <c r="F24" s="324" t="s">
        <v>82</v>
      </c>
      <c r="G24" s="324" t="s">
        <v>57</v>
      </c>
      <c r="H24" s="324">
        <v>45452.0</v>
      </c>
      <c r="I24" s="324" t="s">
        <v>178</v>
      </c>
      <c r="J24" s="139">
        <v>16823.75</v>
      </c>
      <c r="K24" s="139">
        <f t="shared" si="14"/>
        <v>645</v>
      </c>
      <c r="L24" s="312">
        <f t="shared" si="15"/>
        <v>1304.176667</v>
      </c>
      <c r="M24" s="312"/>
      <c r="N24" s="312">
        <f t="shared" si="16"/>
        <v>18127.92667</v>
      </c>
      <c r="O24" s="312">
        <f t="shared" si="17"/>
        <v>695.0003834</v>
      </c>
    </row>
    <row r="25" ht="14.25" customHeight="1">
      <c r="A25" s="19">
        <f t="shared" si="18"/>
        <v>17</v>
      </c>
      <c r="B25" s="16" t="s">
        <v>359</v>
      </c>
      <c r="C25" s="16" t="s">
        <v>360</v>
      </c>
      <c r="D25" s="16" t="s">
        <v>361</v>
      </c>
      <c r="E25" s="19" t="s">
        <v>102</v>
      </c>
      <c r="F25" s="324" t="s">
        <v>82</v>
      </c>
      <c r="G25" s="324" t="s">
        <v>57</v>
      </c>
      <c r="H25" s="324" t="s">
        <v>6178</v>
      </c>
      <c r="I25" s="324" t="s">
        <v>178</v>
      </c>
      <c r="J25" s="139">
        <v>16823.75</v>
      </c>
      <c r="K25" s="139">
        <f t="shared" si="14"/>
        <v>645</v>
      </c>
      <c r="L25" s="312">
        <f t="shared" si="15"/>
        <v>1304.176667</v>
      </c>
      <c r="M25" s="312"/>
      <c r="N25" s="312">
        <f t="shared" si="16"/>
        <v>18127.92667</v>
      </c>
      <c r="O25" s="312">
        <f t="shared" si="17"/>
        <v>695.0003834</v>
      </c>
    </row>
    <row r="26" ht="14.25" customHeight="1">
      <c r="A26" s="19">
        <f t="shared" si="18"/>
        <v>18</v>
      </c>
      <c r="B26" s="16" t="s">
        <v>254</v>
      </c>
      <c r="C26" s="16" t="s">
        <v>255</v>
      </c>
      <c r="D26" s="16" t="s">
        <v>256</v>
      </c>
      <c r="E26" s="324" t="s">
        <v>257</v>
      </c>
      <c r="F26" s="324" t="s">
        <v>82</v>
      </c>
      <c r="G26" s="324" t="s">
        <v>57</v>
      </c>
      <c r="H26" s="324" t="s">
        <v>6179</v>
      </c>
      <c r="I26" s="324" t="s">
        <v>178</v>
      </c>
      <c r="J26" s="139">
        <v>16823.75</v>
      </c>
      <c r="K26" s="139">
        <f t="shared" si="14"/>
        <v>645</v>
      </c>
      <c r="L26" s="312">
        <f t="shared" si="15"/>
        <v>1304.176667</v>
      </c>
      <c r="M26" s="312"/>
      <c r="N26" s="312">
        <f t="shared" si="16"/>
        <v>18127.92667</v>
      </c>
      <c r="O26" s="312">
        <f t="shared" si="17"/>
        <v>695.0003834</v>
      </c>
    </row>
    <row r="27" ht="14.25" customHeight="1">
      <c r="A27" s="19">
        <f t="shared" si="18"/>
        <v>19</v>
      </c>
      <c r="B27" s="16" t="s">
        <v>267</v>
      </c>
      <c r="C27" s="16" t="s">
        <v>268</v>
      </c>
      <c r="D27" s="16" t="s">
        <v>76</v>
      </c>
      <c r="E27" s="19" t="s">
        <v>77</v>
      </c>
      <c r="F27" s="324" t="s">
        <v>82</v>
      </c>
      <c r="G27" s="324" t="s">
        <v>57</v>
      </c>
      <c r="H27" s="324">
        <v>45689.0</v>
      </c>
      <c r="I27" s="324" t="s">
        <v>178</v>
      </c>
      <c r="J27" s="139">
        <v>16823.75</v>
      </c>
      <c r="K27" s="139">
        <f t="shared" si="14"/>
        <v>645</v>
      </c>
      <c r="L27" s="312">
        <f t="shared" si="15"/>
        <v>1304.176667</v>
      </c>
      <c r="M27" s="312"/>
      <c r="N27" s="312">
        <f t="shared" si="16"/>
        <v>18127.92667</v>
      </c>
      <c r="O27" s="312">
        <f t="shared" si="17"/>
        <v>695.0003834</v>
      </c>
    </row>
    <row r="28" ht="14.25" customHeight="1">
      <c r="A28" s="19">
        <f t="shared" si="18"/>
        <v>20</v>
      </c>
      <c r="B28" s="16" t="s">
        <v>1622</v>
      </c>
      <c r="C28" s="16" t="s">
        <v>1623</v>
      </c>
      <c r="D28" s="16" t="s">
        <v>1624</v>
      </c>
      <c r="E28" s="19" t="s">
        <v>418</v>
      </c>
      <c r="F28" s="324" t="s">
        <v>82</v>
      </c>
      <c r="G28" s="324" t="s">
        <v>6144</v>
      </c>
      <c r="H28" s="324" t="s">
        <v>6180</v>
      </c>
      <c r="I28" s="324" t="s">
        <v>178</v>
      </c>
      <c r="J28" s="139">
        <v>16823.75</v>
      </c>
      <c r="K28" s="139">
        <f t="shared" si="14"/>
        <v>645</v>
      </c>
      <c r="L28" s="312">
        <f t="shared" si="15"/>
        <v>1304.176667</v>
      </c>
      <c r="M28" s="312"/>
      <c r="N28" s="312">
        <f t="shared" si="16"/>
        <v>18127.92667</v>
      </c>
      <c r="O28" s="312">
        <f t="shared" si="17"/>
        <v>695.0003834</v>
      </c>
    </row>
    <row r="29" ht="14.25" customHeight="1">
      <c r="A29" s="19">
        <f t="shared" si="18"/>
        <v>21</v>
      </c>
      <c r="B29" s="16" t="s">
        <v>1662</v>
      </c>
      <c r="C29" s="16" t="s">
        <v>1663</v>
      </c>
      <c r="D29" s="16" t="s">
        <v>807</v>
      </c>
      <c r="E29" s="19" t="s">
        <v>379</v>
      </c>
      <c r="F29" s="324" t="s">
        <v>82</v>
      </c>
      <c r="G29" s="324" t="s">
        <v>6144</v>
      </c>
      <c r="H29" s="324">
        <v>45843.0</v>
      </c>
      <c r="I29" s="324" t="s">
        <v>178</v>
      </c>
      <c r="J29" s="139">
        <v>16823.75</v>
      </c>
      <c r="K29" s="139">
        <f t="shared" si="14"/>
        <v>645</v>
      </c>
      <c r="L29" s="312">
        <f t="shared" si="15"/>
        <v>1304.176667</v>
      </c>
      <c r="M29" s="312"/>
      <c r="N29" s="312">
        <f t="shared" si="16"/>
        <v>18127.92667</v>
      </c>
      <c r="O29" s="312">
        <f t="shared" si="17"/>
        <v>695.0003834</v>
      </c>
    </row>
    <row r="30" ht="14.25" customHeight="1">
      <c r="A30" s="19">
        <f t="shared" si="18"/>
        <v>22</v>
      </c>
      <c r="B30" s="16" t="s">
        <v>280</v>
      </c>
      <c r="C30" s="16" t="s">
        <v>281</v>
      </c>
      <c r="D30" s="16"/>
      <c r="E30" s="19"/>
      <c r="F30" s="324" t="s">
        <v>82</v>
      </c>
      <c r="G30" s="324" t="s">
        <v>6144</v>
      </c>
      <c r="H30" s="324">
        <v>45753.0</v>
      </c>
      <c r="I30" s="324" t="s">
        <v>178</v>
      </c>
      <c r="J30" s="139">
        <v>16823.75</v>
      </c>
      <c r="K30" s="139">
        <f t="shared" si="14"/>
        <v>645</v>
      </c>
      <c r="L30" s="312">
        <f t="shared" si="15"/>
        <v>1304.176667</v>
      </c>
      <c r="M30" s="312"/>
      <c r="N30" s="312">
        <f t="shared" si="16"/>
        <v>18127.92667</v>
      </c>
      <c r="O30" s="312">
        <f t="shared" si="17"/>
        <v>695.0003834</v>
      </c>
    </row>
    <row r="31" ht="14.25" customHeight="1">
      <c r="A31" s="19">
        <f t="shared" si="18"/>
        <v>23</v>
      </c>
      <c r="B31" s="16" t="s">
        <v>6181</v>
      </c>
      <c r="C31" s="16" t="s">
        <v>6182</v>
      </c>
      <c r="D31" s="16" t="s">
        <v>6183</v>
      </c>
      <c r="E31" s="19" t="s">
        <v>6160</v>
      </c>
      <c r="F31" s="324" t="s">
        <v>82</v>
      </c>
      <c r="G31" s="324" t="s">
        <v>6144</v>
      </c>
      <c r="H31" s="324" t="s">
        <v>6184</v>
      </c>
      <c r="I31" s="324" t="s">
        <v>178</v>
      </c>
      <c r="J31" s="139">
        <v>16823.75</v>
      </c>
      <c r="K31" s="139">
        <f t="shared" si="14"/>
        <v>645</v>
      </c>
      <c r="L31" s="312">
        <f t="shared" si="15"/>
        <v>1304.176667</v>
      </c>
      <c r="M31" s="312"/>
      <c r="N31" s="312">
        <f t="shared" si="16"/>
        <v>18127.92667</v>
      </c>
      <c r="O31" s="312">
        <f t="shared" si="17"/>
        <v>695.0003834</v>
      </c>
    </row>
    <row r="32" ht="14.25" customHeight="1">
      <c r="A32" s="19">
        <f t="shared" si="18"/>
        <v>24</v>
      </c>
      <c r="B32" s="16" t="s">
        <v>1702</v>
      </c>
      <c r="C32" s="16" t="s">
        <v>1703</v>
      </c>
      <c r="D32" s="16" t="s">
        <v>1622</v>
      </c>
      <c r="E32" s="19" t="s">
        <v>102</v>
      </c>
      <c r="F32" s="324" t="s">
        <v>82</v>
      </c>
      <c r="G32" s="324" t="s">
        <v>6144</v>
      </c>
      <c r="H32" s="324">
        <v>45754.0</v>
      </c>
      <c r="I32" s="324" t="s">
        <v>178</v>
      </c>
      <c r="J32" s="139">
        <v>16823.75</v>
      </c>
      <c r="K32" s="139">
        <f t="shared" si="14"/>
        <v>645</v>
      </c>
      <c r="L32" s="312">
        <f t="shared" si="15"/>
        <v>1304.176667</v>
      </c>
      <c r="M32" s="312"/>
      <c r="N32" s="312">
        <f t="shared" si="16"/>
        <v>18127.92667</v>
      </c>
      <c r="O32" s="312">
        <f t="shared" si="17"/>
        <v>695.0003834</v>
      </c>
    </row>
    <row r="33" ht="14.25" customHeight="1">
      <c r="A33" s="19"/>
      <c r="B33" s="305" t="s">
        <v>6171</v>
      </c>
      <c r="C33" s="178"/>
      <c r="D33" s="178"/>
      <c r="E33" s="178"/>
      <c r="F33" s="9"/>
      <c r="G33" s="324"/>
      <c r="H33" s="324"/>
      <c r="I33" s="324"/>
      <c r="J33" s="22"/>
      <c r="K33" s="62"/>
      <c r="L33" s="312"/>
      <c r="M33" s="312"/>
      <c r="N33" s="312"/>
      <c r="O33" s="312"/>
    </row>
    <row r="34" ht="14.25" customHeight="1">
      <c r="A34" s="19">
        <f>+A32+1</f>
        <v>25</v>
      </c>
      <c r="B34" s="16" t="s">
        <v>1673</v>
      </c>
      <c r="C34" s="16" t="s">
        <v>1674</v>
      </c>
      <c r="D34" s="16" t="s">
        <v>1675</v>
      </c>
      <c r="E34" s="324" t="s">
        <v>394</v>
      </c>
      <c r="F34" s="324" t="s">
        <v>1676</v>
      </c>
      <c r="G34" s="324" t="s">
        <v>57</v>
      </c>
      <c r="H34" s="324">
        <v>44685.0</v>
      </c>
      <c r="I34" s="324" t="s">
        <v>59</v>
      </c>
      <c r="J34" s="139">
        <v>19618.75</v>
      </c>
      <c r="K34" s="62">
        <f>J34*12/365</f>
        <v>645</v>
      </c>
      <c r="L34" s="312">
        <f>50*365/12+0.01</f>
        <v>1520.843333</v>
      </c>
      <c r="M34" s="312"/>
      <c r="N34" s="312">
        <f>SUM(J34+L34+M34)</f>
        <v>21139.59333</v>
      </c>
      <c r="O34" s="312">
        <f>N34*12/365</f>
        <v>695.0003288</v>
      </c>
    </row>
    <row r="35" ht="14.25" customHeight="1">
      <c r="A35" s="308"/>
      <c r="B35" s="305" t="s">
        <v>6172</v>
      </c>
      <c r="C35" s="178"/>
      <c r="D35" s="178"/>
      <c r="E35" s="178"/>
      <c r="F35" s="9"/>
      <c r="G35" s="310"/>
      <c r="H35" s="311"/>
      <c r="I35" s="310"/>
      <c r="J35" s="139"/>
      <c r="K35" s="139"/>
      <c r="L35" s="312"/>
      <c r="M35" s="312"/>
      <c r="N35" s="312"/>
      <c r="O35" s="312"/>
    </row>
    <row r="36" ht="14.25" customHeight="1">
      <c r="A36" s="19">
        <f>+A34+1</f>
        <v>26</v>
      </c>
      <c r="B36" s="16" t="s">
        <v>173</v>
      </c>
      <c r="C36" s="16" t="s">
        <v>174</v>
      </c>
      <c r="D36" s="16" t="s">
        <v>175</v>
      </c>
      <c r="E36" s="324" t="s">
        <v>77</v>
      </c>
      <c r="F36" s="324" t="s">
        <v>176</v>
      </c>
      <c r="G36" s="324" t="s">
        <v>57</v>
      </c>
      <c r="H36" s="324">
        <v>44685.0</v>
      </c>
      <c r="I36" s="324" t="s">
        <v>178</v>
      </c>
      <c r="J36" s="139">
        <v>16823.75</v>
      </c>
      <c r="K36" s="139">
        <f t="shared" ref="K36:K38" si="19">J36*12/313</f>
        <v>645</v>
      </c>
      <c r="L36" s="312">
        <f t="shared" ref="L36:L38" si="20">50*313/12+0.01</f>
        <v>1304.176667</v>
      </c>
      <c r="M36" s="312"/>
      <c r="N36" s="312">
        <f t="shared" ref="N36:N38" si="21">SUM(J36+L36+M36)</f>
        <v>18127.92667</v>
      </c>
      <c r="O36" s="312">
        <f t="shared" ref="O36:O38" si="22">N36*12/313</f>
        <v>695.0003834</v>
      </c>
    </row>
    <row r="37" ht="14.25" customHeight="1">
      <c r="A37" s="19">
        <f t="shared" ref="A37:A38" si="23">+A36+1</f>
        <v>27</v>
      </c>
      <c r="B37" s="16" t="s">
        <v>214</v>
      </c>
      <c r="C37" s="16" t="s">
        <v>215</v>
      </c>
      <c r="D37" s="16" t="s">
        <v>216</v>
      </c>
      <c r="E37" s="324" t="s">
        <v>217</v>
      </c>
      <c r="F37" s="324" t="s">
        <v>218</v>
      </c>
      <c r="G37" s="324" t="s">
        <v>57</v>
      </c>
      <c r="H37" s="324">
        <v>45360.0</v>
      </c>
      <c r="I37" s="324" t="s">
        <v>178</v>
      </c>
      <c r="J37" s="139">
        <v>16823.75</v>
      </c>
      <c r="K37" s="139">
        <f t="shared" si="19"/>
        <v>645</v>
      </c>
      <c r="L37" s="312">
        <f t="shared" si="20"/>
        <v>1304.176667</v>
      </c>
      <c r="M37" s="312"/>
      <c r="N37" s="312">
        <f t="shared" si="21"/>
        <v>18127.92667</v>
      </c>
      <c r="O37" s="312">
        <f t="shared" si="22"/>
        <v>695.0003834</v>
      </c>
    </row>
    <row r="38" ht="14.25" customHeight="1">
      <c r="A38" s="19">
        <f t="shared" si="23"/>
        <v>28</v>
      </c>
      <c r="B38" s="16" t="s">
        <v>292</v>
      </c>
      <c r="C38" s="16" t="s">
        <v>293</v>
      </c>
      <c r="D38" s="16" t="s">
        <v>294</v>
      </c>
      <c r="E38" s="324" t="s">
        <v>295</v>
      </c>
      <c r="F38" s="324" t="s">
        <v>218</v>
      </c>
      <c r="G38" s="324" t="s">
        <v>6144</v>
      </c>
      <c r="H38" s="324">
        <v>45784.0</v>
      </c>
      <c r="I38" s="324" t="s">
        <v>178</v>
      </c>
      <c r="J38" s="139">
        <v>16823.75</v>
      </c>
      <c r="K38" s="139">
        <f t="shared" si="19"/>
        <v>645</v>
      </c>
      <c r="L38" s="312">
        <f t="shared" si="20"/>
        <v>1304.176667</v>
      </c>
      <c r="M38" s="312"/>
      <c r="N38" s="312">
        <f t="shared" si="21"/>
        <v>18127.92667</v>
      </c>
      <c r="O38" s="312">
        <f t="shared" si="22"/>
        <v>695.0003834</v>
      </c>
    </row>
    <row r="39" ht="14.25" customHeight="1">
      <c r="E39" s="315"/>
      <c r="F39" s="315"/>
      <c r="G39" s="316" t="s">
        <v>6127</v>
      </c>
      <c r="H39" s="174"/>
      <c r="I39" s="175"/>
      <c r="J39" s="329">
        <f>SUM(J5:J38)</f>
        <v>513033.75</v>
      </c>
      <c r="K39" s="329"/>
      <c r="L39" s="329">
        <f t="shared" ref="L39:N39" si="24">SUM(L5:L38)</f>
        <v>39116.94667</v>
      </c>
      <c r="M39" s="329">
        <f t="shared" si="24"/>
        <v>0</v>
      </c>
      <c r="N39" s="329">
        <f t="shared" si="24"/>
        <v>552150.6967</v>
      </c>
      <c r="O39" s="329"/>
    </row>
    <row r="40" ht="14.25" customHeight="1">
      <c r="E40" s="315"/>
      <c r="F40" s="315"/>
      <c r="G40" s="184"/>
      <c r="H40" s="185"/>
      <c r="I40" s="186"/>
      <c r="J40" s="183"/>
      <c r="K40" s="183"/>
      <c r="L40" s="183"/>
      <c r="M40" s="183"/>
      <c r="N40" s="183"/>
      <c r="O40" s="183"/>
    </row>
    <row r="41" ht="14.25" customHeight="1">
      <c r="E41" s="315"/>
      <c r="F41" s="330"/>
      <c r="G41" s="315"/>
      <c r="H41" s="315"/>
      <c r="I41" s="315"/>
      <c r="J41" s="54"/>
      <c r="K41" s="54"/>
    </row>
    <row r="42" ht="14.25" customHeight="1">
      <c r="A42" s="85" t="s">
        <v>6128</v>
      </c>
      <c r="G42" s="85" t="s">
        <v>6129</v>
      </c>
      <c r="H42" s="29"/>
      <c r="I42" s="54"/>
      <c r="J42" s="54"/>
      <c r="L42" s="54"/>
      <c r="M42" s="313"/>
    </row>
    <row r="43" ht="14.25" customHeight="1">
      <c r="H43" s="29"/>
      <c r="I43" s="54"/>
      <c r="J43" s="54"/>
      <c r="L43" s="54"/>
      <c r="M43" s="313"/>
    </row>
    <row r="44" ht="14.25" customHeight="1">
      <c r="A44" s="319" t="s">
        <v>6185</v>
      </c>
      <c r="B44" s="319"/>
      <c r="C44" s="319"/>
      <c r="D44" s="319"/>
      <c r="E44" s="319"/>
      <c r="F44" s="319"/>
      <c r="G44" s="319" t="s">
        <v>6131</v>
      </c>
      <c r="H44" s="319"/>
      <c r="I44" s="320"/>
      <c r="J44" s="320"/>
      <c r="K44" s="319"/>
      <c r="L44" s="320"/>
      <c r="M44" s="321"/>
      <c r="N44" s="319"/>
      <c r="O44" s="319"/>
      <c r="P44" s="319"/>
      <c r="Q44" s="319"/>
      <c r="R44" s="319"/>
      <c r="S44" s="319"/>
      <c r="T44" s="319"/>
      <c r="U44" s="319"/>
      <c r="V44" s="319"/>
      <c r="W44" s="319"/>
      <c r="X44" s="319"/>
      <c r="Y44" s="319"/>
      <c r="Z44" s="319"/>
      <c r="AA44" s="319"/>
      <c r="AB44" s="319"/>
      <c r="AC44" s="319"/>
      <c r="AD44" s="319"/>
      <c r="AE44" s="319"/>
      <c r="AF44" s="319"/>
      <c r="AG44" s="319"/>
      <c r="AH44" s="319"/>
      <c r="AI44" s="319"/>
    </row>
    <row r="45" ht="14.25" customHeight="1">
      <c r="A45" s="319" t="s">
        <v>6186</v>
      </c>
      <c r="B45" s="319"/>
      <c r="C45" s="319"/>
      <c r="D45" s="319"/>
      <c r="E45" s="319"/>
      <c r="F45" s="319"/>
      <c r="G45" s="319" t="s">
        <v>6133</v>
      </c>
      <c r="H45" s="319"/>
      <c r="I45" s="320"/>
      <c r="J45" s="320"/>
      <c r="K45" s="319"/>
      <c r="L45" s="320"/>
      <c r="M45" s="321"/>
      <c r="N45" s="319"/>
      <c r="O45" s="319"/>
      <c r="P45" s="319"/>
      <c r="Q45" s="319"/>
      <c r="R45" s="319"/>
      <c r="S45" s="319"/>
      <c r="T45" s="319"/>
      <c r="U45" s="319"/>
      <c r="V45" s="319"/>
      <c r="W45" s="319"/>
      <c r="X45" s="319"/>
      <c r="Y45" s="319"/>
      <c r="Z45" s="319"/>
      <c r="AA45" s="319"/>
      <c r="AB45" s="319"/>
      <c r="AC45" s="319"/>
      <c r="AD45" s="319"/>
      <c r="AE45" s="319"/>
      <c r="AF45" s="319"/>
      <c r="AG45" s="319"/>
      <c r="AH45" s="319"/>
      <c r="AI45" s="319"/>
    </row>
    <row r="46" ht="14.25" customHeight="1">
      <c r="C46" s="84"/>
      <c r="E46" s="315"/>
      <c r="F46" s="315"/>
      <c r="G46" s="315"/>
      <c r="H46" s="315"/>
      <c r="I46" s="318"/>
      <c r="J46" s="54"/>
      <c r="K46" s="54"/>
    </row>
    <row r="47" ht="14.25" customHeight="1">
      <c r="C47" s="84"/>
      <c r="E47" s="315"/>
      <c r="F47" s="315"/>
      <c r="G47" s="315"/>
      <c r="H47" s="315"/>
      <c r="I47" s="318"/>
      <c r="J47" s="54"/>
      <c r="K47" s="54"/>
    </row>
    <row r="48" ht="14.25" customHeight="1">
      <c r="C48" s="84"/>
      <c r="E48" s="315"/>
      <c r="F48" s="315"/>
      <c r="G48" s="315"/>
      <c r="H48" s="315"/>
      <c r="I48" s="318"/>
      <c r="J48" s="54"/>
      <c r="K48" s="54"/>
    </row>
    <row r="49" ht="14.25" customHeight="1">
      <c r="C49" s="84"/>
      <c r="E49" s="315"/>
      <c r="F49" s="315"/>
      <c r="G49" s="315"/>
      <c r="H49" s="315"/>
      <c r="I49" s="318"/>
      <c r="J49" s="54"/>
      <c r="K49" s="54"/>
    </row>
    <row r="50" ht="14.25" customHeight="1">
      <c r="A50" s="84"/>
      <c r="C50" s="84"/>
      <c r="E50" s="315"/>
      <c r="F50" s="315"/>
      <c r="G50" s="315"/>
      <c r="H50" s="315"/>
      <c r="I50" s="318"/>
      <c r="J50" s="54"/>
      <c r="K50" s="54"/>
    </row>
    <row r="51" ht="14.25" customHeight="1">
      <c r="C51" s="84"/>
      <c r="E51" s="315"/>
      <c r="F51" s="315"/>
      <c r="G51" s="315"/>
      <c r="H51" s="315"/>
      <c r="I51" s="318"/>
      <c r="J51" s="54"/>
      <c r="K51" s="54"/>
    </row>
    <row r="52" ht="14.25" customHeight="1">
      <c r="C52" s="84"/>
      <c r="E52" s="315"/>
      <c r="F52" s="315"/>
      <c r="G52" s="315"/>
      <c r="H52" s="315"/>
      <c r="I52" s="318"/>
      <c r="J52" s="54"/>
      <c r="K52" s="54"/>
    </row>
    <row r="53" ht="14.25" customHeight="1">
      <c r="C53" s="84"/>
      <c r="E53" s="315"/>
      <c r="F53" s="315"/>
      <c r="G53" s="315"/>
      <c r="H53" s="315"/>
      <c r="I53" s="318"/>
      <c r="J53" s="54"/>
      <c r="K53" s="54"/>
    </row>
    <row r="54" ht="14.25" customHeight="1">
      <c r="A54" s="84"/>
      <c r="C54" s="84"/>
      <c r="E54" s="315"/>
      <c r="F54" s="315"/>
      <c r="G54" s="315"/>
      <c r="H54" s="315"/>
      <c r="I54" s="318"/>
      <c r="J54" s="54"/>
      <c r="K54" s="54"/>
    </row>
    <row r="55" ht="14.25" customHeight="1">
      <c r="C55" s="84"/>
      <c r="E55" s="315"/>
      <c r="F55" s="315"/>
      <c r="G55" s="315"/>
      <c r="H55" s="315"/>
      <c r="I55" s="318"/>
      <c r="J55" s="54"/>
      <c r="K55" s="54"/>
    </row>
    <row r="56" ht="14.25" customHeight="1">
      <c r="C56" s="84"/>
      <c r="E56" s="315"/>
      <c r="F56" s="315"/>
      <c r="G56" s="315"/>
      <c r="H56" s="315"/>
      <c r="I56" s="318"/>
      <c r="J56" s="54"/>
      <c r="K56" s="54"/>
    </row>
    <row r="57" ht="14.25" customHeight="1">
      <c r="E57" s="315"/>
      <c r="F57" s="315"/>
      <c r="G57" s="315"/>
      <c r="H57" s="315"/>
      <c r="I57" s="318"/>
      <c r="J57" s="54"/>
      <c r="K57" s="54"/>
    </row>
    <row r="58" ht="14.25" customHeight="1">
      <c r="E58" s="315"/>
      <c r="F58" s="315"/>
      <c r="G58" s="315"/>
      <c r="H58" s="315"/>
      <c r="I58" s="318"/>
      <c r="J58" s="54"/>
      <c r="K58" s="54"/>
    </row>
    <row r="59" ht="14.25" customHeight="1">
      <c r="E59" s="315"/>
      <c r="F59" s="315"/>
      <c r="G59" s="315"/>
      <c r="H59" s="315"/>
      <c r="I59" s="318"/>
      <c r="J59" s="54"/>
      <c r="K59" s="54"/>
    </row>
    <row r="60" ht="14.25" customHeight="1">
      <c r="E60" s="315"/>
      <c r="F60" s="315"/>
      <c r="G60" s="315"/>
      <c r="H60" s="315"/>
      <c r="I60" s="318"/>
      <c r="J60" s="54"/>
      <c r="K60" s="54"/>
    </row>
    <row r="61" ht="14.25" customHeight="1">
      <c r="E61" s="315"/>
      <c r="F61" s="315"/>
      <c r="G61" s="315"/>
      <c r="H61" s="315"/>
      <c r="I61" s="318"/>
      <c r="J61" s="54"/>
      <c r="K61" s="54"/>
    </row>
    <row r="62" ht="14.25" customHeight="1">
      <c r="E62" s="315"/>
      <c r="F62" s="315"/>
      <c r="G62" s="315"/>
      <c r="H62" s="315"/>
      <c r="I62" s="318"/>
      <c r="J62" s="54"/>
      <c r="K62" s="54"/>
    </row>
    <row r="63" ht="14.25" customHeight="1">
      <c r="E63" s="315"/>
      <c r="F63" s="315"/>
      <c r="G63" s="315"/>
      <c r="H63" s="315"/>
      <c r="I63" s="318"/>
      <c r="J63" s="54"/>
      <c r="K63" s="54"/>
    </row>
    <row r="64" ht="14.25" customHeight="1">
      <c r="E64" s="315"/>
      <c r="F64" s="315"/>
      <c r="G64" s="315"/>
      <c r="H64" s="315"/>
      <c r="I64" s="318"/>
      <c r="J64" s="54"/>
      <c r="K64" s="54"/>
    </row>
    <row r="65" ht="14.25" customHeight="1">
      <c r="E65" s="315"/>
      <c r="F65" s="315"/>
      <c r="G65" s="315"/>
      <c r="H65" s="315"/>
      <c r="I65" s="318"/>
      <c r="J65" s="54"/>
      <c r="K65" s="54"/>
    </row>
    <row r="66" ht="14.25" customHeight="1">
      <c r="E66" s="315"/>
      <c r="F66" s="315"/>
      <c r="G66" s="315"/>
      <c r="H66" s="315"/>
      <c r="I66" s="318"/>
      <c r="J66" s="54"/>
      <c r="K66" s="54"/>
    </row>
    <row r="67" ht="14.25" customHeight="1">
      <c r="E67" s="315"/>
      <c r="F67" s="315"/>
      <c r="G67" s="315"/>
      <c r="H67" s="315"/>
      <c r="I67" s="318"/>
      <c r="J67" s="54"/>
      <c r="K67" s="54"/>
    </row>
    <row r="68" ht="14.25" customHeight="1">
      <c r="E68" s="315"/>
      <c r="F68" s="315"/>
      <c r="G68" s="315"/>
      <c r="H68" s="315"/>
      <c r="I68" s="318"/>
      <c r="J68" s="54"/>
      <c r="K68" s="54"/>
    </row>
    <row r="69" ht="14.25" customHeight="1">
      <c r="E69" s="315"/>
      <c r="F69" s="315"/>
      <c r="G69" s="315"/>
      <c r="H69" s="315"/>
      <c r="I69" s="318"/>
      <c r="J69" s="54"/>
      <c r="K69" s="54"/>
    </row>
    <row r="70" ht="14.25" customHeight="1">
      <c r="E70" s="315"/>
      <c r="F70" s="315"/>
      <c r="G70" s="315"/>
      <c r="H70" s="315"/>
      <c r="I70" s="318"/>
      <c r="J70" s="54"/>
      <c r="K70" s="54"/>
    </row>
    <row r="71" ht="14.25" customHeight="1">
      <c r="E71" s="315"/>
      <c r="F71" s="315"/>
      <c r="G71" s="315"/>
      <c r="H71" s="315"/>
      <c r="I71" s="318"/>
      <c r="J71" s="54"/>
      <c r="K71" s="54"/>
    </row>
    <row r="72" ht="14.25" customHeight="1">
      <c r="E72" s="315"/>
      <c r="F72" s="315"/>
      <c r="G72" s="315"/>
      <c r="H72" s="315"/>
      <c r="I72" s="318"/>
      <c r="J72" s="54"/>
      <c r="K72" s="54"/>
    </row>
    <row r="73" ht="14.25" customHeight="1">
      <c r="E73" s="315"/>
      <c r="F73" s="315"/>
      <c r="G73" s="315"/>
      <c r="H73" s="315"/>
      <c r="I73" s="318"/>
      <c r="J73" s="54"/>
      <c r="K73" s="54"/>
    </row>
    <row r="74" ht="14.25" customHeight="1">
      <c r="E74" s="315"/>
      <c r="F74" s="315"/>
      <c r="G74" s="315"/>
      <c r="H74" s="315"/>
      <c r="I74" s="318"/>
      <c r="J74" s="54"/>
      <c r="K74" s="54"/>
    </row>
    <row r="75" ht="14.25" customHeight="1">
      <c r="E75" s="315"/>
      <c r="F75" s="315"/>
      <c r="G75" s="315"/>
      <c r="H75" s="315"/>
      <c r="I75" s="318"/>
      <c r="J75" s="54"/>
      <c r="K75" s="54"/>
    </row>
    <row r="76" ht="14.25" customHeight="1">
      <c r="E76" s="315"/>
      <c r="F76" s="315"/>
      <c r="G76" s="315"/>
      <c r="H76" s="315"/>
      <c r="I76" s="318"/>
      <c r="J76" s="54"/>
      <c r="K76" s="54"/>
    </row>
    <row r="77" ht="14.25" customHeight="1">
      <c r="E77" s="315"/>
      <c r="F77" s="315"/>
      <c r="G77" s="315"/>
      <c r="H77" s="315"/>
      <c r="I77" s="318"/>
      <c r="J77" s="54"/>
      <c r="K77" s="54"/>
    </row>
    <row r="78" ht="14.25" customHeight="1">
      <c r="E78" s="315"/>
      <c r="F78" s="315"/>
      <c r="G78" s="315"/>
      <c r="H78" s="315"/>
      <c r="I78" s="318"/>
      <c r="J78" s="54"/>
      <c r="K78" s="54"/>
    </row>
    <row r="79" ht="14.25" customHeight="1">
      <c r="E79" s="315"/>
      <c r="F79" s="315"/>
      <c r="G79" s="315"/>
      <c r="H79" s="315"/>
      <c r="I79" s="318"/>
      <c r="J79" s="54"/>
      <c r="K79" s="54"/>
    </row>
    <row r="80" ht="14.25" customHeight="1">
      <c r="E80" s="315"/>
      <c r="F80" s="315"/>
      <c r="G80" s="315"/>
      <c r="H80" s="315"/>
      <c r="I80" s="318"/>
      <c r="J80" s="54"/>
      <c r="K80" s="54"/>
    </row>
    <row r="81" ht="14.25" customHeight="1">
      <c r="E81" s="315"/>
      <c r="F81" s="315"/>
      <c r="G81" s="315"/>
      <c r="H81" s="315"/>
      <c r="I81" s="318"/>
      <c r="J81" s="54"/>
      <c r="K81" s="54"/>
    </row>
    <row r="82" ht="14.25" customHeight="1">
      <c r="E82" s="315"/>
      <c r="F82" s="315"/>
      <c r="G82" s="315"/>
      <c r="H82" s="315"/>
      <c r="I82" s="318"/>
      <c r="J82" s="54"/>
      <c r="K82" s="54"/>
    </row>
    <row r="83" ht="14.25" customHeight="1">
      <c r="E83" s="315"/>
      <c r="F83" s="315"/>
      <c r="G83" s="315"/>
      <c r="H83" s="315"/>
      <c r="I83" s="318"/>
      <c r="J83" s="54"/>
      <c r="K83" s="54"/>
    </row>
    <row r="84" ht="14.25" customHeight="1">
      <c r="E84" s="315"/>
      <c r="F84" s="315"/>
      <c r="G84" s="315"/>
      <c r="H84" s="315"/>
      <c r="I84" s="318"/>
      <c r="J84" s="54"/>
      <c r="K84" s="54"/>
    </row>
    <row r="85" ht="14.25" customHeight="1">
      <c r="E85" s="315"/>
      <c r="F85" s="315"/>
      <c r="G85" s="315"/>
      <c r="H85" s="315"/>
      <c r="I85" s="318"/>
      <c r="J85" s="54"/>
      <c r="K85" s="54"/>
    </row>
    <row r="86" ht="14.25" customHeight="1">
      <c r="E86" s="315"/>
      <c r="F86" s="315"/>
      <c r="G86" s="315"/>
      <c r="H86" s="315"/>
      <c r="I86" s="318"/>
      <c r="J86" s="54"/>
      <c r="K86" s="54"/>
    </row>
    <row r="87" ht="14.25" customHeight="1">
      <c r="E87" s="315"/>
      <c r="F87" s="315"/>
      <c r="G87" s="315"/>
      <c r="H87" s="315"/>
      <c r="I87" s="318"/>
      <c r="J87" s="54"/>
      <c r="K87" s="54"/>
    </row>
    <row r="88" ht="14.25" customHeight="1">
      <c r="E88" s="315"/>
      <c r="F88" s="315"/>
      <c r="G88" s="315"/>
      <c r="H88" s="315"/>
      <c r="I88" s="318"/>
      <c r="J88" s="54"/>
      <c r="K88" s="54"/>
    </row>
    <row r="89" ht="14.25" customHeight="1">
      <c r="E89" s="315"/>
      <c r="F89" s="315"/>
      <c r="G89" s="315"/>
      <c r="H89" s="315"/>
      <c r="I89" s="318"/>
      <c r="J89" s="54"/>
      <c r="K89" s="54"/>
    </row>
    <row r="90" ht="14.25" customHeight="1">
      <c r="E90" s="315"/>
      <c r="F90" s="315"/>
      <c r="G90" s="315"/>
      <c r="H90" s="315"/>
      <c r="I90" s="318"/>
      <c r="J90" s="54"/>
      <c r="K90" s="54"/>
    </row>
    <row r="91" ht="14.25" customHeight="1">
      <c r="E91" s="315"/>
      <c r="F91" s="315"/>
      <c r="G91" s="315"/>
      <c r="H91" s="315"/>
      <c r="I91" s="318"/>
      <c r="J91" s="54"/>
      <c r="K91" s="54"/>
    </row>
    <row r="92" ht="14.25" customHeight="1">
      <c r="E92" s="315"/>
      <c r="F92" s="315"/>
      <c r="G92" s="315"/>
      <c r="H92" s="315"/>
      <c r="I92" s="318"/>
      <c r="J92" s="54"/>
      <c r="K92" s="54"/>
    </row>
    <row r="93" ht="14.25" customHeight="1">
      <c r="E93" s="315"/>
      <c r="F93" s="315"/>
      <c r="G93" s="315"/>
      <c r="H93" s="315"/>
      <c r="I93" s="318"/>
      <c r="J93" s="54"/>
      <c r="K93" s="54"/>
    </row>
    <row r="94" ht="14.25" customHeight="1">
      <c r="E94" s="315"/>
      <c r="F94" s="315"/>
      <c r="G94" s="315"/>
      <c r="H94" s="315"/>
      <c r="I94" s="318"/>
      <c r="J94" s="54"/>
      <c r="K94" s="54"/>
    </row>
    <row r="95" ht="14.25" customHeight="1">
      <c r="E95" s="315"/>
      <c r="F95" s="315"/>
      <c r="G95" s="315"/>
      <c r="H95" s="315"/>
      <c r="I95" s="318"/>
      <c r="J95" s="54"/>
      <c r="K95" s="54"/>
    </row>
    <row r="96" ht="14.25" customHeight="1">
      <c r="E96" s="315"/>
      <c r="F96" s="315"/>
      <c r="G96" s="315"/>
      <c r="H96" s="315"/>
      <c r="I96" s="318"/>
      <c r="J96" s="54"/>
      <c r="K96" s="54"/>
    </row>
    <row r="97" ht="14.25" customHeight="1">
      <c r="E97" s="315"/>
      <c r="F97" s="315"/>
      <c r="G97" s="315"/>
      <c r="H97" s="315"/>
      <c r="I97" s="318"/>
      <c r="J97" s="54"/>
      <c r="K97" s="54"/>
    </row>
    <row r="98" ht="14.25" customHeight="1">
      <c r="E98" s="315"/>
      <c r="F98" s="315"/>
      <c r="G98" s="315"/>
      <c r="H98" s="315"/>
      <c r="I98" s="318"/>
      <c r="J98" s="54"/>
      <c r="K98" s="54"/>
    </row>
    <row r="99" ht="14.25" customHeight="1">
      <c r="E99" s="315"/>
      <c r="F99" s="315"/>
      <c r="G99" s="315"/>
      <c r="H99" s="315"/>
      <c r="I99" s="318"/>
      <c r="J99" s="54"/>
      <c r="K99" s="54"/>
    </row>
    <row r="100" ht="14.25" customHeight="1">
      <c r="E100" s="315"/>
      <c r="F100" s="315"/>
      <c r="G100" s="315"/>
      <c r="H100" s="315"/>
      <c r="I100" s="318"/>
      <c r="J100" s="54"/>
      <c r="K100" s="54"/>
    </row>
    <row r="101" ht="14.25" customHeight="1">
      <c r="E101" s="315"/>
      <c r="F101" s="315"/>
      <c r="G101" s="315"/>
      <c r="H101" s="315"/>
      <c r="I101" s="318"/>
      <c r="J101" s="54"/>
      <c r="K101" s="54"/>
    </row>
    <row r="102" ht="14.25" customHeight="1">
      <c r="E102" s="315"/>
      <c r="F102" s="315"/>
      <c r="G102" s="315"/>
      <c r="H102" s="315"/>
      <c r="I102" s="318"/>
      <c r="J102" s="54"/>
      <c r="K102" s="54"/>
    </row>
    <row r="103" ht="14.25" customHeight="1">
      <c r="E103" s="315"/>
      <c r="F103" s="315"/>
      <c r="G103" s="315"/>
      <c r="H103" s="315"/>
      <c r="I103" s="318"/>
      <c r="J103" s="54"/>
      <c r="K103" s="54"/>
    </row>
    <row r="104" ht="14.25" customHeight="1">
      <c r="E104" s="315"/>
      <c r="F104" s="315"/>
      <c r="G104" s="315"/>
      <c r="H104" s="315"/>
      <c r="I104" s="318"/>
      <c r="J104" s="54"/>
      <c r="K104" s="54"/>
    </row>
    <row r="105" ht="14.25" customHeight="1">
      <c r="E105" s="315"/>
      <c r="F105" s="315"/>
      <c r="G105" s="315"/>
      <c r="H105" s="315"/>
      <c r="I105" s="318"/>
      <c r="J105" s="54"/>
      <c r="K105" s="54"/>
    </row>
    <row r="106" ht="14.25" customHeight="1">
      <c r="E106" s="315"/>
      <c r="F106" s="315"/>
      <c r="G106" s="315"/>
      <c r="H106" s="315"/>
      <c r="I106" s="318"/>
      <c r="J106" s="54"/>
      <c r="K106" s="54"/>
    </row>
    <row r="107" ht="14.25" customHeight="1">
      <c r="E107" s="315"/>
      <c r="F107" s="315"/>
      <c r="G107" s="315"/>
      <c r="H107" s="315"/>
      <c r="I107" s="318"/>
      <c r="J107" s="54"/>
      <c r="K107" s="54"/>
    </row>
    <row r="108" ht="14.25" customHeight="1">
      <c r="E108" s="315"/>
      <c r="F108" s="315"/>
      <c r="G108" s="315"/>
      <c r="H108" s="315"/>
      <c r="I108" s="318"/>
      <c r="J108" s="54"/>
      <c r="K108" s="54"/>
    </row>
    <row r="109" ht="14.25" customHeight="1">
      <c r="E109" s="315"/>
      <c r="F109" s="315"/>
      <c r="G109" s="315"/>
      <c r="H109" s="315"/>
      <c r="I109" s="318"/>
      <c r="J109" s="54"/>
      <c r="K109" s="54"/>
    </row>
    <row r="110" ht="14.25" customHeight="1">
      <c r="E110" s="315"/>
      <c r="F110" s="315"/>
      <c r="G110" s="315"/>
      <c r="H110" s="315"/>
      <c r="I110" s="318"/>
      <c r="J110" s="54"/>
      <c r="K110" s="54"/>
    </row>
    <row r="111" ht="14.25" customHeight="1">
      <c r="E111" s="315"/>
      <c r="F111" s="315"/>
      <c r="G111" s="315"/>
      <c r="H111" s="315"/>
      <c r="I111" s="318"/>
      <c r="J111" s="54"/>
      <c r="K111" s="54"/>
    </row>
    <row r="112" ht="14.25" customHeight="1">
      <c r="E112" s="315"/>
      <c r="F112" s="315"/>
      <c r="G112" s="315"/>
      <c r="H112" s="315"/>
      <c r="I112" s="318"/>
      <c r="J112" s="54"/>
      <c r="K112" s="54"/>
    </row>
    <row r="113" ht="14.25" customHeight="1">
      <c r="E113" s="315"/>
      <c r="F113" s="315"/>
      <c r="G113" s="315"/>
      <c r="H113" s="315"/>
      <c r="I113" s="318"/>
      <c r="J113" s="54"/>
      <c r="K113" s="54"/>
    </row>
    <row r="114" ht="14.25" customHeight="1">
      <c r="E114" s="315"/>
      <c r="F114" s="315"/>
      <c r="G114" s="315"/>
      <c r="H114" s="315"/>
      <c r="I114" s="318"/>
      <c r="J114" s="54"/>
      <c r="K114" s="54"/>
    </row>
    <row r="115" ht="14.25" customHeight="1">
      <c r="E115" s="315"/>
      <c r="F115" s="315"/>
      <c r="G115" s="315"/>
      <c r="H115" s="315"/>
      <c r="I115" s="318"/>
      <c r="J115" s="54"/>
      <c r="K115" s="54"/>
    </row>
    <row r="116" ht="14.25" customHeight="1">
      <c r="E116" s="315"/>
      <c r="F116" s="315"/>
      <c r="G116" s="315"/>
      <c r="H116" s="315"/>
      <c r="I116" s="318"/>
      <c r="J116" s="54"/>
      <c r="K116" s="54"/>
    </row>
    <row r="117" ht="14.25" customHeight="1">
      <c r="E117" s="315"/>
      <c r="F117" s="315"/>
      <c r="G117" s="315"/>
      <c r="H117" s="315"/>
      <c r="I117" s="318"/>
      <c r="J117" s="54"/>
      <c r="K117" s="54"/>
    </row>
    <row r="118" ht="14.25" customHeight="1">
      <c r="E118" s="315"/>
      <c r="F118" s="315"/>
      <c r="G118" s="315"/>
      <c r="H118" s="315"/>
      <c r="I118" s="318"/>
      <c r="J118" s="54"/>
      <c r="K118" s="54"/>
    </row>
    <row r="119" ht="14.25" customHeight="1">
      <c r="E119" s="315"/>
      <c r="F119" s="315"/>
      <c r="G119" s="315"/>
      <c r="H119" s="315"/>
      <c r="I119" s="318"/>
      <c r="J119" s="54"/>
      <c r="K119" s="54"/>
    </row>
    <row r="120" ht="14.25" customHeight="1">
      <c r="E120" s="315"/>
      <c r="F120" s="315"/>
      <c r="G120" s="315"/>
      <c r="H120" s="315"/>
      <c r="I120" s="318"/>
      <c r="J120" s="54"/>
      <c r="K120" s="54"/>
    </row>
    <row r="121" ht="14.25" customHeight="1">
      <c r="E121" s="315"/>
      <c r="F121" s="315"/>
      <c r="G121" s="315"/>
      <c r="H121" s="315"/>
      <c r="I121" s="318"/>
      <c r="J121" s="54"/>
      <c r="K121" s="54"/>
    </row>
    <row r="122" ht="14.25" customHeight="1">
      <c r="E122" s="315"/>
      <c r="F122" s="315"/>
      <c r="G122" s="315"/>
      <c r="H122" s="315"/>
      <c r="I122" s="318"/>
      <c r="J122" s="54"/>
      <c r="K122" s="54"/>
    </row>
    <row r="123" ht="14.25" customHeight="1">
      <c r="E123" s="315"/>
      <c r="F123" s="315"/>
      <c r="G123" s="315"/>
      <c r="H123" s="315"/>
      <c r="I123" s="318"/>
      <c r="J123" s="54"/>
      <c r="K123" s="54"/>
    </row>
    <row r="124" ht="14.25" customHeight="1">
      <c r="E124" s="315"/>
      <c r="F124" s="315"/>
      <c r="G124" s="315"/>
      <c r="H124" s="315"/>
      <c r="I124" s="318"/>
      <c r="J124" s="54"/>
      <c r="K124" s="54"/>
    </row>
    <row r="125" ht="14.25" customHeight="1">
      <c r="E125" s="315"/>
      <c r="F125" s="315"/>
      <c r="G125" s="315"/>
      <c r="H125" s="315"/>
      <c r="I125" s="318"/>
      <c r="J125" s="54"/>
      <c r="K125" s="54"/>
    </row>
    <row r="126" ht="14.25" customHeight="1">
      <c r="E126" s="315"/>
      <c r="F126" s="315"/>
      <c r="G126" s="315"/>
      <c r="H126" s="315"/>
      <c r="I126" s="318"/>
      <c r="J126" s="54"/>
      <c r="K126" s="54"/>
    </row>
    <row r="127" ht="14.25" customHeight="1">
      <c r="E127" s="315"/>
      <c r="F127" s="315"/>
      <c r="G127" s="315"/>
      <c r="H127" s="315"/>
      <c r="I127" s="318"/>
      <c r="J127" s="54"/>
      <c r="K127" s="54"/>
    </row>
    <row r="128" ht="14.25" customHeight="1">
      <c r="E128" s="315"/>
      <c r="F128" s="315"/>
      <c r="G128" s="315"/>
      <c r="H128" s="315"/>
      <c r="I128" s="318"/>
      <c r="J128" s="54"/>
      <c r="K128" s="54"/>
    </row>
    <row r="129" ht="14.25" customHeight="1">
      <c r="E129" s="315"/>
      <c r="F129" s="315"/>
      <c r="G129" s="315"/>
      <c r="H129" s="315"/>
      <c r="I129" s="318"/>
      <c r="J129" s="54"/>
      <c r="K129" s="54"/>
    </row>
    <row r="130" ht="14.25" customHeight="1">
      <c r="E130" s="315"/>
      <c r="F130" s="315"/>
      <c r="G130" s="315"/>
      <c r="H130" s="315"/>
      <c r="I130" s="318"/>
      <c r="J130" s="54"/>
      <c r="K130" s="54"/>
    </row>
    <row r="131" ht="14.25" customHeight="1">
      <c r="E131" s="315"/>
      <c r="F131" s="315"/>
      <c r="G131" s="315"/>
      <c r="H131" s="315"/>
      <c r="I131" s="318"/>
      <c r="J131" s="54"/>
      <c r="K131" s="54"/>
    </row>
    <row r="132" ht="14.25" customHeight="1">
      <c r="E132" s="315"/>
      <c r="F132" s="315"/>
      <c r="G132" s="315"/>
      <c r="H132" s="315"/>
      <c r="I132" s="318"/>
      <c r="J132" s="54"/>
      <c r="K132" s="54"/>
    </row>
    <row r="133" ht="14.25" customHeight="1">
      <c r="E133" s="315"/>
      <c r="F133" s="315"/>
      <c r="G133" s="315"/>
      <c r="H133" s="315"/>
      <c r="I133" s="318"/>
      <c r="J133" s="54"/>
      <c r="K133" s="54"/>
    </row>
    <row r="134" ht="14.25" customHeight="1">
      <c r="E134" s="315"/>
      <c r="F134" s="315"/>
      <c r="G134" s="315"/>
      <c r="H134" s="315"/>
      <c r="I134" s="318"/>
      <c r="J134" s="54"/>
      <c r="K134" s="54"/>
    </row>
    <row r="135" ht="14.25" customHeight="1">
      <c r="E135" s="315"/>
      <c r="F135" s="315"/>
      <c r="G135" s="315"/>
      <c r="H135" s="315"/>
      <c r="I135" s="318"/>
      <c r="J135" s="54"/>
      <c r="K135" s="54"/>
    </row>
    <row r="136" ht="14.25" customHeight="1">
      <c r="E136" s="315"/>
      <c r="F136" s="315"/>
      <c r="G136" s="315"/>
      <c r="H136" s="315"/>
      <c r="I136" s="318"/>
      <c r="J136" s="54"/>
      <c r="K136" s="54"/>
    </row>
    <row r="137" ht="14.25" customHeight="1">
      <c r="E137" s="315"/>
      <c r="F137" s="315"/>
      <c r="G137" s="315"/>
      <c r="H137" s="315"/>
      <c r="I137" s="318"/>
      <c r="J137" s="54"/>
      <c r="K137" s="54"/>
    </row>
    <row r="138" ht="14.25" customHeight="1">
      <c r="E138" s="315"/>
      <c r="F138" s="315"/>
      <c r="G138" s="315"/>
      <c r="H138" s="315"/>
      <c r="I138" s="318"/>
      <c r="J138" s="54"/>
      <c r="K138" s="54"/>
    </row>
    <row r="139" ht="14.25" customHeight="1">
      <c r="E139" s="315"/>
      <c r="F139" s="315"/>
      <c r="G139" s="315"/>
      <c r="H139" s="315"/>
      <c r="I139" s="318"/>
      <c r="J139" s="54"/>
      <c r="K139" s="54"/>
    </row>
    <row r="140" ht="14.25" customHeight="1">
      <c r="E140" s="315"/>
      <c r="F140" s="315"/>
      <c r="G140" s="315"/>
      <c r="H140" s="315"/>
      <c r="I140" s="318"/>
      <c r="J140" s="54"/>
      <c r="K140" s="54"/>
    </row>
    <row r="141" ht="14.25" customHeight="1">
      <c r="E141" s="315"/>
      <c r="F141" s="315"/>
      <c r="G141" s="315"/>
      <c r="H141" s="315"/>
      <c r="I141" s="318"/>
      <c r="J141" s="54"/>
      <c r="K141" s="54"/>
    </row>
    <row r="142" ht="14.25" customHeight="1">
      <c r="E142" s="315"/>
      <c r="F142" s="315"/>
      <c r="G142" s="315"/>
      <c r="H142" s="315"/>
      <c r="I142" s="318"/>
      <c r="J142" s="54"/>
      <c r="K142" s="54"/>
    </row>
    <row r="143" ht="14.25" customHeight="1">
      <c r="E143" s="315"/>
      <c r="F143" s="315"/>
      <c r="G143" s="315"/>
      <c r="H143" s="315"/>
      <c r="I143" s="318"/>
      <c r="J143" s="54"/>
      <c r="K143" s="54"/>
    </row>
    <row r="144" ht="14.25" customHeight="1">
      <c r="E144" s="315"/>
      <c r="F144" s="315"/>
      <c r="G144" s="315"/>
      <c r="H144" s="315"/>
      <c r="I144" s="318"/>
      <c r="J144" s="54"/>
      <c r="K144" s="54"/>
    </row>
    <row r="145" ht="14.25" customHeight="1">
      <c r="E145" s="315"/>
      <c r="F145" s="315"/>
      <c r="G145" s="315"/>
      <c r="H145" s="315"/>
      <c r="I145" s="318"/>
      <c r="J145" s="54"/>
      <c r="K145" s="54"/>
    </row>
    <row r="146" ht="14.25" customHeight="1">
      <c r="E146" s="315"/>
      <c r="F146" s="315"/>
      <c r="G146" s="315"/>
      <c r="H146" s="315"/>
      <c r="I146" s="318"/>
      <c r="J146" s="54"/>
      <c r="K146" s="54"/>
    </row>
    <row r="147" ht="14.25" customHeight="1">
      <c r="E147" s="315"/>
      <c r="F147" s="315"/>
      <c r="G147" s="315"/>
      <c r="H147" s="315"/>
      <c r="I147" s="318"/>
      <c r="J147" s="54"/>
      <c r="K147" s="54"/>
    </row>
    <row r="148" ht="14.25" customHeight="1">
      <c r="E148" s="315"/>
      <c r="F148" s="315"/>
      <c r="G148" s="315"/>
      <c r="H148" s="315"/>
      <c r="I148" s="318"/>
      <c r="J148" s="54"/>
      <c r="K148" s="54"/>
    </row>
    <row r="149" ht="14.25" customHeight="1">
      <c r="E149" s="315"/>
      <c r="F149" s="315"/>
      <c r="G149" s="315"/>
      <c r="H149" s="315"/>
      <c r="I149" s="318"/>
      <c r="J149" s="54"/>
      <c r="K149" s="54"/>
    </row>
    <row r="150" ht="14.25" customHeight="1">
      <c r="E150" s="315"/>
      <c r="F150" s="315"/>
      <c r="G150" s="315"/>
      <c r="H150" s="315"/>
      <c r="I150" s="318"/>
      <c r="J150" s="54"/>
      <c r="K150" s="54"/>
    </row>
    <row r="151" ht="14.25" customHeight="1">
      <c r="E151" s="315"/>
      <c r="F151" s="315"/>
      <c r="G151" s="315"/>
      <c r="H151" s="315"/>
      <c r="I151" s="318"/>
      <c r="J151" s="54"/>
      <c r="K151" s="54"/>
    </row>
    <row r="152" ht="14.25" customHeight="1">
      <c r="E152" s="315"/>
      <c r="F152" s="315"/>
      <c r="G152" s="315"/>
      <c r="H152" s="315"/>
      <c r="I152" s="318"/>
      <c r="J152" s="54"/>
      <c r="K152" s="54"/>
    </row>
    <row r="153" ht="14.25" customHeight="1">
      <c r="E153" s="315"/>
      <c r="F153" s="315"/>
      <c r="G153" s="315"/>
      <c r="H153" s="315"/>
      <c r="I153" s="318"/>
      <c r="J153" s="54"/>
      <c r="K153" s="54"/>
    </row>
    <row r="154" ht="14.25" customHeight="1">
      <c r="E154" s="315"/>
      <c r="F154" s="315"/>
      <c r="G154" s="315"/>
      <c r="H154" s="315"/>
      <c r="I154" s="318"/>
      <c r="J154" s="54"/>
      <c r="K154" s="54"/>
    </row>
    <row r="155" ht="14.25" customHeight="1">
      <c r="E155" s="315"/>
      <c r="F155" s="315"/>
      <c r="G155" s="315"/>
      <c r="H155" s="315"/>
      <c r="I155" s="318"/>
      <c r="J155" s="54"/>
      <c r="K155" s="54"/>
    </row>
    <row r="156" ht="14.25" customHeight="1">
      <c r="E156" s="315"/>
      <c r="F156" s="315"/>
      <c r="G156" s="315"/>
      <c r="H156" s="315"/>
      <c r="I156" s="318"/>
      <c r="J156" s="54"/>
      <c r="K156" s="54"/>
    </row>
    <row r="157" ht="14.25" customHeight="1">
      <c r="E157" s="315"/>
      <c r="F157" s="315"/>
      <c r="G157" s="315"/>
      <c r="H157" s="315"/>
      <c r="I157" s="318"/>
      <c r="J157" s="54"/>
      <c r="K157" s="54"/>
    </row>
    <row r="158" ht="14.25" customHeight="1">
      <c r="E158" s="315"/>
      <c r="F158" s="315"/>
      <c r="G158" s="315"/>
      <c r="H158" s="315"/>
      <c r="I158" s="318"/>
      <c r="J158" s="54"/>
      <c r="K158" s="54"/>
    </row>
    <row r="159" ht="14.25" customHeight="1">
      <c r="E159" s="315"/>
      <c r="F159" s="315"/>
      <c r="G159" s="315"/>
      <c r="H159" s="315"/>
      <c r="I159" s="318"/>
      <c r="J159" s="54"/>
      <c r="K159" s="54"/>
    </row>
    <row r="160" ht="14.25" customHeight="1">
      <c r="E160" s="315"/>
      <c r="F160" s="315"/>
      <c r="G160" s="315"/>
      <c r="H160" s="315"/>
      <c r="I160" s="318"/>
      <c r="J160" s="54"/>
      <c r="K160" s="54"/>
    </row>
    <row r="161" ht="14.25" customHeight="1">
      <c r="E161" s="315"/>
      <c r="F161" s="315"/>
      <c r="G161" s="315"/>
      <c r="H161" s="315"/>
      <c r="I161" s="318"/>
      <c r="J161" s="54"/>
      <c r="K161" s="54"/>
    </row>
    <row r="162" ht="14.25" customHeight="1">
      <c r="E162" s="315"/>
      <c r="F162" s="315"/>
      <c r="G162" s="315"/>
      <c r="H162" s="315"/>
      <c r="I162" s="318"/>
      <c r="J162" s="54"/>
      <c r="K162" s="54"/>
    </row>
    <row r="163" ht="14.25" customHeight="1">
      <c r="E163" s="315"/>
      <c r="F163" s="315"/>
      <c r="G163" s="315"/>
      <c r="H163" s="315"/>
      <c r="I163" s="318"/>
      <c r="J163" s="54"/>
      <c r="K163" s="54"/>
    </row>
    <row r="164" ht="14.25" customHeight="1">
      <c r="E164" s="315"/>
      <c r="F164" s="315"/>
      <c r="G164" s="315"/>
      <c r="H164" s="315"/>
      <c r="I164" s="318"/>
      <c r="J164" s="54"/>
      <c r="K164" s="54"/>
    </row>
    <row r="165" ht="14.25" customHeight="1">
      <c r="E165" s="315"/>
      <c r="F165" s="315"/>
      <c r="G165" s="315"/>
      <c r="H165" s="315"/>
      <c r="I165" s="318"/>
      <c r="J165" s="54"/>
      <c r="K165" s="54"/>
    </row>
    <row r="166" ht="14.25" customHeight="1">
      <c r="E166" s="315"/>
      <c r="F166" s="315"/>
      <c r="G166" s="315"/>
      <c r="H166" s="315"/>
      <c r="I166" s="318"/>
      <c r="J166" s="54"/>
      <c r="K166" s="54"/>
    </row>
    <row r="167" ht="14.25" customHeight="1">
      <c r="E167" s="315"/>
      <c r="F167" s="315"/>
      <c r="G167" s="315"/>
      <c r="H167" s="315"/>
      <c r="I167" s="318"/>
      <c r="J167" s="54"/>
      <c r="K167" s="54"/>
    </row>
    <row r="168" ht="14.25" customHeight="1">
      <c r="E168" s="315"/>
      <c r="F168" s="315"/>
      <c r="G168" s="315"/>
      <c r="H168" s="315"/>
      <c r="I168" s="318"/>
      <c r="J168" s="54"/>
      <c r="K168" s="54"/>
    </row>
    <row r="169" ht="14.25" customHeight="1">
      <c r="E169" s="315"/>
      <c r="F169" s="315"/>
      <c r="G169" s="315"/>
      <c r="H169" s="315"/>
      <c r="I169" s="318"/>
      <c r="J169" s="54"/>
      <c r="K169" s="54"/>
    </row>
    <row r="170" ht="14.25" customHeight="1">
      <c r="E170" s="315"/>
      <c r="F170" s="315"/>
      <c r="G170" s="315"/>
      <c r="H170" s="315"/>
      <c r="I170" s="318"/>
      <c r="J170" s="54"/>
      <c r="K170" s="54"/>
    </row>
    <row r="171" ht="14.25" customHeight="1">
      <c r="E171" s="315"/>
      <c r="F171" s="315"/>
      <c r="G171" s="315"/>
      <c r="H171" s="315"/>
      <c r="I171" s="318"/>
      <c r="J171" s="54"/>
      <c r="K171" s="54"/>
    </row>
    <row r="172" ht="14.25" customHeight="1">
      <c r="E172" s="315"/>
      <c r="F172" s="315"/>
      <c r="G172" s="315"/>
      <c r="H172" s="315"/>
      <c r="I172" s="318"/>
      <c r="J172" s="54"/>
      <c r="K172" s="54"/>
    </row>
    <row r="173" ht="14.25" customHeight="1">
      <c r="E173" s="315"/>
      <c r="F173" s="315"/>
      <c r="G173" s="315"/>
      <c r="H173" s="315"/>
      <c r="I173" s="318"/>
      <c r="J173" s="54"/>
      <c r="K173" s="54"/>
    </row>
    <row r="174" ht="14.25" customHeight="1">
      <c r="E174" s="315"/>
      <c r="F174" s="315"/>
      <c r="G174" s="315"/>
      <c r="H174" s="315"/>
      <c r="I174" s="318"/>
      <c r="J174" s="54"/>
      <c r="K174" s="54"/>
    </row>
    <row r="175" ht="14.25" customHeight="1">
      <c r="E175" s="315"/>
      <c r="F175" s="315"/>
      <c r="G175" s="315"/>
      <c r="H175" s="315"/>
      <c r="I175" s="318"/>
      <c r="J175" s="54"/>
      <c r="K175" s="54"/>
    </row>
    <row r="176" ht="14.25" customHeight="1">
      <c r="E176" s="315"/>
      <c r="F176" s="315"/>
      <c r="G176" s="315"/>
      <c r="H176" s="315"/>
      <c r="I176" s="318"/>
      <c r="J176" s="54"/>
      <c r="K176" s="54"/>
    </row>
    <row r="177" ht="14.25" customHeight="1">
      <c r="E177" s="315"/>
      <c r="F177" s="315"/>
      <c r="G177" s="315"/>
      <c r="H177" s="315"/>
      <c r="I177" s="318"/>
      <c r="J177" s="54"/>
      <c r="K177" s="54"/>
    </row>
    <row r="178" ht="14.25" customHeight="1">
      <c r="E178" s="315"/>
      <c r="F178" s="315"/>
      <c r="G178" s="315"/>
      <c r="H178" s="315"/>
      <c r="I178" s="318"/>
      <c r="J178" s="54"/>
      <c r="K178" s="54"/>
    </row>
    <row r="179" ht="14.25" customHeight="1">
      <c r="E179" s="315"/>
      <c r="F179" s="315"/>
      <c r="G179" s="315"/>
      <c r="H179" s="315"/>
      <c r="I179" s="318"/>
      <c r="J179" s="54"/>
      <c r="K179" s="54"/>
    </row>
    <row r="180" ht="14.25" customHeight="1">
      <c r="E180" s="315"/>
      <c r="F180" s="315"/>
      <c r="G180" s="315"/>
      <c r="H180" s="315"/>
      <c r="I180" s="318"/>
      <c r="J180" s="54"/>
      <c r="K180" s="54"/>
    </row>
    <row r="181" ht="14.25" customHeight="1">
      <c r="E181" s="315"/>
      <c r="F181" s="315"/>
      <c r="G181" s="315"/>
      <c r="H181" s="315"/>
      <c r="I181" s="318"/>
      <c r="J181" s="54"/>
      <c r="K181" s="54"/>
    </row>
    <row r="182" ht="14.25" customHeight="1">
      <c r="E182" s="315"/>
      <c r="F182" s="315"/>
      <c r="G182" s="315"/>
      <c r="H182" s="315"/>
      <c r="I182" s="318"/>
      <c r="J182" s="54"/>
      <c r="K182" s="54"/>
    </row>
    <row r="183" ht="14.25" customHeight="1">
      <c r="E183" s="315"/>
      <c r="F183" s="315"/>
      <c r="G183" s="315"/>
      <c r="H183" s="315"/>
      <c r="I183" s="318"/>
      <c r="J183" s="54"/>
      <c r="K183" s="54"/>
    </row>
    <row r="184" ht="14.25" customHeight="1">
      <c r="E184" s="315"/>
      <c r="F184" s="315"/>
      <c r="G184" s="315"/>
      <c r="H184" s="315"/>
      <c r="I184" s="318"/>
      <c r="J184" s="54"/>
      <c r="K184" s="54"/>
    </row>
    <row r="185" ht="14.25" customHeight="1">
      <c r="E185" s="315"/>
      <c r="F185" s="315"/>
      <c r="G185" s="315"/>
      <c r="H185" s="315"/>
      <c r="I185" s="318"/>
      <c r="J185" s="54"/>
      <c r="K185" s="54"/>
    </row>
    <row r="186" ht="14.25" customHeight="1">
      <c r="E186" s="315"/>
      <c r="F186" s="315"/>
      <c r="G186" s="315"/>
      <c r="H186" s="315"/>
      <c r="I186" s="318"/>
      <c r="J186" s="54"/>
      <c r="K186" s="54"/>
    </row>
    <row r="187" ht="14.25" customHeight="1">
      <c r="E187" s="315"/>
      <c r="F187" s="315"/>
      <c r="G187" s="315"/>
      <c r="H187" s="315"/>
      <c r="I187" s="318"/>
      <c r="J187" s="54"/>
      <c r="K187" s="54"/>
    </row>
    <row r="188" ht="14.25" customHeight="1">
      <c r="E188" s="315"/>
      <c r="F188" s="315"/>
      <c r="G188" s="315"/>
      <c r="H188" s="315"/>
      <c r="I188" s="318"/>
      <c r="J188" s="54"/>
      <c r="K188" s="54"/>
    </row>
    <row r="189" ht="14.25" customHeight="1">
      <c r="E189" s="315"/>
      <c r="F189" s="315"/>
      <c r="G189" s="315"/>
      <c r="H189" s="315"/>
      <c r="I189" s="318"/>
      <c r="J189" s="54"/>
      <c r="K189" s="54"/>
    </row>
    <row r="190" ht="14.25" customHeight="1">
      <c r="E190" s="315"/>
      <c r="F190" s="315"/>
      <c r="G190" s="315"/>
      <c r="H190" s="315"/>
      <c r="I190" s="318"/>
      <c r="J190" s="54"/>
      <c r="K190" s="54"/>
    </row>
    <row r="191" ht="14.25" customHeight="1">
      <c r="E191" s="315"/>
      <c r="F191" s="315"/>
      <c r="G191" s="315"/>
      <c r="H191" s="315"/>
      <c r="I191" s="318"/>
      <c r="J191" s="54"/>
      <c r="K191" s="54"/>
    </row>
    <row r="192" ht="14.25" customHeight="1">
      <c r="E192" s="315"/>
      <c r="F192" s="315"/>
      <c r="G192" s="315"/>
      <c r="H192" s="315"/>
      <c r="I192" s="318"/>
      <c r="J192" s="54"/>
      <c r="K192" s="54"/>
    </row>
    <row r="193" ht="14.25" customHeight="1">
      <c r="E193" s="315"/>
      <c r="F193" s="315"/>
      <c r="G193" s="315"/>
      <c r="H193" s="315"/>
      <c r="I193" s="318"/>
      <c r="J193" s="54"/>
      <c r="K193" s="54"/>
    </row>
    <row r="194" ht="14.25" customHeight="1">
      <c r="E194" s="315"/>
      <c r="F194" s="315"/>
      <c r="G194" s="315"/>
      <c r="H194" s="315"/>
      <c r="I194" s="318"/>
      <c r="J194" s="54"/>
      <c r="K194" s="54"/>
    </row>
    <row r="195" ht="14.25" customHeight="1">
      <c r="E195" s="315"/>
      <c r="F195" s="315"/>
      <c r="G195" s="315"/>
      <c r="H195" s="315"/>
      <c r="I195" s="318"/>
      <c r="J195" s="54"/>
      <c r="K195" s="54"/>
    </row>
    <row r="196" ht="14.25" customHeight="1">
      <c r="E196" s="315"/>
      <c r="F196" s="315"/>
      <c r="G196" s="315"/>
      <c r="H196" s="315"/>
      <c r="I196" s="318"/>
      <c r="J196" s="54"/>
      <c r="K196" s="54"/>
    </row>
    <row r="197" ht="14.25" customHeight="1">
      <c r="E197" s="315"/>
      <c r="F197" s="315"/>
      <c r="G197" s="315"/>
      <c r="H197" s="315"/>
      <c r="I197" s="318"/>
      <c r="J197" s="54"/>
      <c r="K197" s="54"/>
    </row>
    <row r="198" ht="14.25" customHeight="1">
      <c r="E198" s="315"/>
      <c r="F198" s="315"/>
      <c r="G198" s="315"/>
      <c r="H198" s="315"/>
      <c r="I198" s="318"/>
      <c r="J198" s="54"/>
      <c r="K198" s="54"/>
    </row>
    <row r="199" ht="14.25" customHeight="1">
      <c r="E199" s="315"/>
      <c r="F199" s="315"/>
      <c r="G199" s="315"/>
      <c r="H199" s="315"/>
      <c r="I199" s="318"/>
      <c r="J199" s="54"/>
      <c r="K199" s="54"/>
    </row>
    <row r="200" ht="14.25" customHeight="1">
      <c r="E200" s="315"/>
      <c r="F200" s="315"/>
      <c r="G200" s="315"/>
      <c r="H200" s="315"/>
      <c r="I200" s="318"/>
      <c r="J200" s="54"/>
      <c r="K200" s="54"/>
    </row>
    <row r="201" ht="14.25" customHeight="1">
      <c r="E201" s="315"/>
      <c r="F201" s="315"/>
      <c r="G201" s="315"/>
      <c r="H201" s="315"/>
      <c r="I201" s="318"/>
      <c r="J201" s="54"/>
      <c r="K201" s="54"/>
    </row>
    <row r="202" ht="14.25" customHeight="1">
      <c r="E202" s="315"/>
      <c r="F202" s="315"/>
      <c r="G202" s="315"/>
      <c r="H202" s="315"/>
      <c r="I202" s="318"/>
      <c r="J202" s="54"/>
      <c r="K202" s="54"/>
    </row>
    <row r="203" ht="14.25" customHeight="1">
      <c r="E203" s="315"/>
      <c r="F203" s="315"/>
      <c r="G203" s="315"/>
      <c r="H203" s="315"/>
      <c r="I203" s="318"/>
      <c r="J203" s="54"/>
      <c r="K203" s="54"/>
    </row>
    <row r="204" ht="14.25" customHeight="1">
      <c r="E204" s="315"/>
      <c r="F204" s="315"/>
      <c r="G204" s="315"/>
      <c r="H204" s="315"/>
      <c r="I204" s="318"/>
      <c r="J204" s="54"/>
      <c r="K204" s="54"/>
    </row>
    <row r="205" ht="14.25" customHeight="1">
      <c r="E205" s="315"/>
      <c r="F205" s="315"/>
      <c r="G205" s="315"/>
      <c r="H205" s="315"/>
      <c r="I205" s="318"/>
      <c r="J205" s="54"/>
      <c r="K205" s="54"/>
    </row>
    <row r="206" ht="14.25" customHeight="1">
      <c r="E206" s="315"/>
      <c r="F206" s="315"/>
      <c r="G206" s="315"/>
      <c r="H206" s="315"/>
      <c r="I206" s="318"/>
      <c r="J206" s="54"/>
      <c r="K206" s="54"/>
    </row>
    <row r="207" ht="14.25" customHeight="1">
      <c r="E207" s="315"/>
      <c r="F207" s="315"/>
      <c r="G207" s="315"/>
      <c r="H207" s="315"/>
      <c r="I207" s="318"/>
      <c r="J207" s="54"/>
      <c r="K207" s="54"/>
    </row>
    <row r="208" ht="14.25" customHeight="1">
      <c r="E208" s="315"/>
      <c r="F208" s="315"/>
      <c r="G208" s="315"/>
      <c r="H208" s="315"/>
      <c r="I208" s="318"/>
      <c r="J208" s="54"/>
      <c r="K208" s="54"/>
    </row>
    <row r="209" ht="14.25" customHeight="1">
      <c r="E209" s="315"/>
      <c r="F209" s="315"/>
      <c r="G209" s="315"/>
      <c r="H209" s="315"/>
      <c r="I209" s="318"/>
      <c r="J209" s="54"/>
      <c r="K209" s="54"/>
    </row>
    <row r="210" ht="14.25" customHeight="1">
      <c r="E210" s="315"/>
      <c r="F210" s="315"/>
      <c r="G210" s="315"/>
      <c r="H210" s="315"/>
      <c r="I210" s="318"/>
      <c r="J210" s="54"/>
      <c r="K210" s="54"/>
    </row>
    <row r="211" ht="14.25" customHeight="1">
      <c r="E211" s="315"/>
      <c r="F211" s="315"/>
      <c r="G211" s="315"/>
      <c r="H211" s="315"/>
      <c r="I211" s="318"/>
      <c r="J211" s="54"/>
      <c r="K211" s="54"/>
    </row>
    <row r="212" ht="14.25" customHeight="1">
      <c r="E212" s="315"/>
      <c r="F212" s="315"/>
      <c r="G212" s="315"/>
      <c r="H212" s="315"/>
      <c r="I212" s="318"/>
      <c r="J212" s="54"/>
      <c r="K212" s="54"/>
    </row>
    <row r="213" ht="14.25" customHeight="1">
      <c r="E213" s="315"/>
      <c r="F213" s="315"/>
      <c r="G213" s="315"/>
      <c r="H213" s="315"/>
      <c r="I213" s="318"/>
      <c r="J213" s="54"/>
      <c r="K213" s="54"/>
    </row>
    <row r="214" ht="14.25" customHeight="1">
      <c r="E214" s="315"/>
      <c r="F214" s="315"/>
      <c r="G214" s="315"/>
      <c r="H214" s="315"/>
      <c r="I214" s="318"/>
      <c r="J214" s="54"/>
      <c r="K214" s="54"/>
    </row>
    <row r="215" ht="14.25" customHeight="1">
      <c r="E215" s="315"/>
      <c r="F215" s="315"/>
      <c r="G215" s="315"/>
      <c r="H215" s="315"/>
      <c r="I215" s="318"/>
      <c r="J215" s="54"/>
      <c r="K215" s="54"/>
    </row>
    <row r="216" ht="14.25" customHeight="1">
      <c r="E216" s="315"/>
      <c r="F216" s="315"/>
      <c r="G216" s="315"/>
      <c r="H216" s="315"/>
      <c r="I216" s="318"/>
      <c r="J216" s="54"/>
      <c r="K216" s="54"/>
    </row>
    <row r="217" ht="14.25" customHeight="1">
      <c r="E217" s="315"/>
      <c r="F217" s="315"/>
      <c r="G217" s="315"/>
      <c r="H217" s="315"/>
      <c r="I217" s="318"/>
      <c r="J217" s="54"/>
      <c r="K217" s="54"/>
    </row>
    <row r="218" ht="14.25" customHeight="1">
      <c r="E218" s="315"/>
      <c r="F218" s="315"/>
      <c r="G218" s="315"/>
      <c r="H218" s="315"/>
      <c r="I218" s="318"/>
      <c r="J218" s="54"/>
      <c r="K218" s="54"/>
    </row>
    <row r="219" ht="14.25" customHeight="1">
      <c r="E219" s="315"/>
      <c r="F219" s="315"/>
      <c r="G219" s="315"/>
      <c r="H219" s="315"/>
      <c r="I219" s="318"/>
      <c r="J219" s="54"/>
      <c r="K219" s="54"/>
    </row>
    <row r="220" ht="14.25" customHeight="1">
      <c r="E220" s="315"/>
      <c r="F220" s="315"/>
      <c r="G220" s="315"/>
      <c r="H220" s="315"/>
      <c r="I220" s="318"/>
      <c r="J220" s="54"/>
      <c r="K220" s="54"/>
    </row>
    <row r="221" ht="14.25" customHeight="1">
      <c r="E221" s="315"/>
      <c r="F221" s="315"/>
      <c r="G221" s="315"/>
      <c r="H221" s="315"/>
      <c r="I221" s="318"/>
      <c r="J221" s="54"/>
      <c r="K221" s="54"/>
    </row>
    <row r="222" ht="14.25" customHeight="1">
      <c r="E222" s="315"/>
      <c r="F222" s="315"/>
      <c r="G222" s="315"/>
      <c r="H222" s="315"/>
      <c r="I222" s="318"/>
      <c r="J222" s="54"/>
      <c r="K222" s="54"/>
    </row>
    <row r="223" ht="14.25" customHeight="1">
      <c r="E223" s="315"/>
      <c r="F223" s="315"/>
      <c r="G223" s="315"/>
      <c r="H223" s="315"/>
      <c r="I223" s="318"/>
      <c r="J223" s="54"/>
      <c r="K223" s="54"/>
    </row>
    <row r="224" ht="14.25" customHeight="1">
      <c r="E224" s="315"/>
      <c r="F224" s="315"/>
      <c r="G224" s="315"/>
      <c r="H224" s="315"/>
      <c r="I224" s="318"/>
      <c r="J224" s="54"/>
      <c r="K224" s="54"/>
    </row>
    <row r="225" ht="14.25" customHeight="1">
      <c r="E225" s="315"/>
      <c r="F225" s="315"/>
      <c r="G225" s="315"/>
      <c r="H225" s="315"/>
      <c r="I225" s="318"/>
      <c r="J225" s="54"/>
      <c r="K225" s="54"/>
    </row>
    <row r="226" ht="14.25" customHeight="1">
      <c r="E226" s="315"/>
      <c r="F226" s="315"/>
      <c r="G226" s="315"/>
      <c r="H226" s="315"/>
      <c r="I226" s="318"/>
      <c r="J226" s="54"/>
      <c r="K226" s="54"/>
    </row>
    <row r="227" ht="14.25" customHeight="1">
      <c r="E227" s="315"/>
      <c r="F227" s="315"/>
      <c r="G227" s="315"/>
      <c r="H227" s="315"/>
      <c r="I227" s="318"/>
      <c r="J227" s="54"/>
      <c r="K227" s="54"/>
    </row>
    <row r="228" ht="14.25" customHeight="1">
      <c r="E228" s="315"/>
      <c r="F228" s="315"/>
      <c r="G228" s="315"/>
      <c r="H228" s="315"/>
      <c r="I228" s="318"/>
      <c r="J228" s="54"/>
      <c r="K228" s="54"/>
    </row>
    <row r="229" ht="14.25" customHeight="1">
      <c r="E229" s="315"/>
      <c r="F229" s="315"/>
      <c r="G229" s="315"/>
      <c r="H229" s="315"/>
      <c r="I229" s="318"/>
      <c r="J229" s="54"/>
      <c r="K229" s="54"/>
    </row>
    <row r="230" ht="14.25" customHeight="1">
      <c r="E230" s="315"/>
      <c r="F230" s="315"/>
      <c r="G230" s="315"/>
      <c r="H230" s="315"/>
      <c r="I230" s="318"/>
      <c r="J230" s="54"/>
      <c r="K230" s="54"/>
    </row>
    <row r="231" ht="14.25" customHeight="1">
      <c r="E231" s="315"/>
      <c r="F231" s="315"/>
      <c r="G231" s="315"/>
      <c r="H231" s="315"/>
      <c r="I231" s="318"/>
      <c r="J231" s="54"/>
      <c r="K231" s="54"/>
    </row>
    <row r="232" ht="14.25" customHeight="1">
      <c r="E232" s="315"/>
      <c r="F232" s="315"/>
      <c r="G232" s="315"/>
      <c r="H232" s="315"/>
      <c r="I232" s="318"/>
      <c r="J232" s="54"/>
      <c r="K232" s="54"/>
    </row>
    <row r="233" ht="14.25" customHeight="1">
      <c r="E233" s="315"/>
      <c r="F233" s="315"/>
      <c r="G233" s="315"/>
      <c r="H233" s="315"/>
      <c r="I233" s="318"/>
      <c r="J233" s="54"/>
      <c r="K233" s="54"/>
    </row>
    <row r="234" ht="14.25" customHeight="1">
      <c r="E234" s="315"/>
      <c r="F234" s="315"/>
      <c r="G234" s="315"/>
      <c r="H234" s="315"/>
      <c r="I234" s="318"/>
      <c r="J234" s="54"/>
      <c r="K234" s="54"/>
    </row>
    <row r="235" ht="14.25" customHeight="1">
      <c r="E235" s="315"/>
      <c r="F235" s="315"/>
      <c r="G235" s="315"/>
      <c r="H235" s="315"/>
      <c r="I235" s="318"/>
      <c r="J235" s="54"/>
      <c r="K235" s="54"/>
    </row>
    <row r="236" ht="14.25" customHeight="1">
      <c r="E236" s="315"/>
      <c r="F236" s="315"/>
      <c r="G236" s="315"/>
      <c r="H236" s="315"/>
      <c r="I236" s="318"/>
      <c r="J236" s="54"/>
      <c r="K236" s="54"/>
    </row>
    <row r="237" ht="14.25" customHeight="1">
      <c r="E237" s="315"/>
      <c r="F237" s="315"/>
      <c r="G237" s="315"/>
      <c r="H237" s="315"/>
      <c r="I237" s="318"/>
      <c r="J237" s="54"/>
      <c r="K237" s="54"/>
    </row>
    <row r="238" ht="14.25" customHeight="1">
      <c r="E238" s="315"/>
      <c r="F238" s="315"/>
      <c r="G238" s="315"/>
      <c r="H238" s="315"/>
      <c r="I238" s="318"/>
      <c r="J238" s="54"/>
      <c r="K238" s="54"/>
    </row>
    <row r="239" ht="14.25" customHeight="1">
      <c r="E239" s="315"/>
      <c r="F239" s="315"/>
      <c r="G239" s="315"/>
      <c r="H239" s="315"/>
      <c r="I239" s="318"/>
      <c r="J239" s="54"/>
      <c r="K239" s="54"/>
    </row>
    <row r="240" ht="14.25" customHeight="1">
      <c r="E240" s="315"/>
      <c r="F240" s="315"/>
      <c r="G240" s="315"/>
      <c r="H240" s="315"/>
      <c r="I240" s="318"/>
      <c r="J240" s="54"/>
      <c r="K240" s="54"/>
    </row>
    <row r="241" ht="14.25" customHeight="1">
      <c r="E241" s="315"/>
      <c r="F241" s="315"/>
      <c r="G241" s="315"/>
      <c r="H241" s="315"/>
      <c r="I241" s="318"/>
      <c r="J241" s="54"/>
      <c r="K241" s="54"/>
    </row>
    <row r="242" ht="14.25" customHeight="1">
      <c r="E242" s="315"/>
      <c r="F242" s="315"/>
      <c r="G242" s="315"/>
      <c r="H242" s="315"/>
      <c r="I242" s="318"/>
      <c r="J242" s="54"/>
      <c r="K242" s="54"/>
    </row>
    <row r="243" ht="14.25" customHeight="1">
      <c r="E243" s="315"/>
      <c r="F243" s="315"/>
      <c r="G243" s="315"/>
      <c r="H243" s="315"/>
      <c r="I243" s="318"/>
      <c r="J243" s="54"/>
      <c r="K243" s="54"/>
    </row>
    <row r="244" ht="14.25" customHeight="1">
      <c r="E244" s="315"/>
      <c r="F244" s="315"/>
      <c r="G244" s="315"/>
      <c r="H244" s="315"/>
      <c r="I244" s="318"/>
      <c r="J244" s="54"/>
      <c r="K244" s="54"/>
    </row>
    <row r="245" ht="14.25" customHeight="1">
      <c r="E245" s="315"/>
      <c r="F245" s="315"/>
      <c r="G245" s="315"/>
      <c r="H245" s="315"/>
      <c r="I245" s="318"/>
      <c r="J245" s="54"/>
      <c r="K245" s="54"/>
    </row>
    <row r="246" ht="14.25" customHeight="1">
      <c r="E246" s="315"/>
      <c r="F246" s="315"/>
      <c r="G246" s="315"/>
      <c r="H246" s="315"/>
      <c r="I246" s="318"/>
      <c r="J246" s="54"/>
      <c r="K246" s="54"/>
    </row>
    <row r="247" ht="14.25" customHeight="1">
      <c r="E247" s="315"/>
      <c r="F247" s="315"/>
      <c r="G247" s="315"/>
      <c r="H247" s="315"/>
      <c r="I247" s="318"/>
      <c r="J247" s="54"/>
      <c r="K247" s="54"/>
    </row>
    <row r="248" ht="14.25" customHeight="1">
      <c r="E248" s="315"/>
      <c r="F248" s="315"/>
      <c r="G248" s="315"/>
      <c r="H248" s="315"/>
      <c r="I248" s="318"/>
      <c r="J248" s="54"/>
      <c r="K248" s="54"/>
    </row>
    <row r="249" ht="14.25" customHeight="1">
      <c r="E249" s="315"/>
      <c r="F249" s="315"/>
      <c r="G249" s="315"/>
      <c r="H249" s="315"/>
      <c r="I249" s="318"/>
      <c r="J249" s="54"/>
      <c r="K249" s="54"/>
    </row>
    <row r="250" ht="14.25" customHeight="1">
      <c r="E250" s="315"/>
      <c r="F250" s="315"/>
      <c r="G250" s="315"/>
      <c r="H250" s="315"/>
      <c r="I250" s="318"/>
      <c r="J250" s="54"/>
      <c r="K250" s="54"/>
    </row>
    <row r="251" ht="14.25" customHeight="1">
      <c r="E251" s="315"/>
      <c r="F251" s="315"/>
      <c r="G251" s="315"/>
      <c r="H251" s="315"/>
      <c r="I251" s="318"/>
      <c r="J251" s="54"/>
      <c r="K251" s="54"/>
    </row>
    <row r="252" ht="14.25" customHeight="1">
      <c r="E252" s="315"/>
      <c r="F252" s="315"/>
      <c r="G252" s="315"/>
      <c r="H252" s="315"/>
      <c r="I252" s="318"/>
      <c r="J252" s="54"/>
      <c r="K252" s="54"/>
    </row>
    <row r="253" ht="14.25" customHeight="1">
      <c r="E253" s="315"/>
      <c r="F253" s="315"/>
      <c r="G253" s="315"/>
      <c r="H253" s="315"/>
      <c r="I253" s="318"/>
      <c r="J253" s="54"/>
      <c r="K253" s="54"/>
    </row>
    <row r="254" ht="14.25" customHeight="1">
      <c r="E254" s="315"/>
      <c r="F254" s="315"/>
      <c r="G254" s="315"/>
      <c r="H254" s="315"/>
      <c r="I254" s="318"/>
      <c r="J254" s="54"/>
      <c r="K254" s="54"/>
    </row>
    <row r="255" ht="14.25" customHeight="1">
      <c r="E255" s="315"/>
      <c r="F255" s="315"/>
      <c r="G255" s="315"/>
      <c r="H255" s="315"/>
      <c r="I255" s="318"/>
      <c r="J255" s="54"/>
      <c r="K255" s="54"/>
    </row>
    <row r="256" ht="14.25" customHeight="1">
      <c r="E256" s="315"/>
      <c r="F256" s="315"/>
      <c r="G256" s="315"/>
      <c r="H256" s="315"/>
      <c r="I256" s="318"/>
      <c r="J256" s="54"/>
      <c r="K256" s="54"/>
    </row>
    <row r="257" ht="14.25" customHeight="1">
      <c r="E257" s="315"/>
      <c r="F257" s="315"/>
      <c r="G257" s="315"/>
      <c r="H257" s="315"/>
      <c r="I257" s="318"/>
      <c r="J257" s="54"/>
      <c r="K257" s="54"/>
    </row>
    <row r="258" ht="14.25" customHeight="1">
      <c r="E258" s="315"/>
      <c r="F258" s="315"/>
      <c r="G258" s="315"/>
      <c r="H258" s="315"/>
      <c r="I258" s="318"/>
      <c r="J258" s="54"/>
      <c r="K258" s="54"/>
    </row>
    <row r="259" ht="14.25" customHeight="1">
      <c r="E259" s="315"/>
      <c r="F259" s="315"/>
      <c r="G259" s="315"/>
      <c r="H259" s="315"/>
      <c r="I259" s="318"/>
      <c r="J259" s="54"/>
      <c r="K259" s="54"/>
    </row>
    <row r="260" ht="14.25" customHeight="1">
      <c r="E260" s="315"/>
      <c r="F260" s="315"/>
      <c r="G260" s="315"/>
      <c r="H260" s="315"/>
      <c r="I260" s="318"/>
      <c r="J260" s="54"/>
      <c r="K260" s="54"/>
    </row>
    <row r="261" ht="14.25" customHeight="1">
      <c r="E261" s="315"/>
      <c r="F261" s="315"/>
      <c r="G261" s="315"/>
      <c r="H261" s="315"/>
      <c r="I261" s="318"/>
      <c r="J261" s="54"/>
      <c r="K261" s="54"/>
    </row>
    <row r="262" ht="14.25" customHeight="1">
      <c r="E262" s="315"/>
      <c r="F262" s="315"/>
      <c r="G262" s="315"/>
      <c r="H262" s="315"/>
      <c r="I262" s="318"/>
      <c r="J262" s="54"/>
      <c r="K262" s="54"/>
    </row>
    <row r="263" ht="14.25" customHeight="1">
      <c r="E263" s="315"/>
      <c r="F263" s="315"/>
      <c r="G263" s="315"/>
      <c r="H263" s="315"/>
      <c r="I263" s="318"/>
      <c r="J263" s="54"/>
      <c r="K263" s="54"/>
    </row>
    <row r="264" ht="14.25" customHeight="1">
      <c r="E264" s="315"/>
      <c r="F264" s="315"/>
      <c r="G264" s="315"/>
      <c r="H264" s="315"/>
      <c r="I264" s="318"/>
      <c r="J264" s="54"/>
      <c r="K264" s="54"/>
    </row>
    <row r="265" ht="14.25" customHeight="1">
      <c r="E265" s="315"/>
      <c r="F265" s="315"/>
      <c r="G265" s="315"/>
      <c r="H265" s="315"/>
      <c r="I265" s="318"/>
      <c r="J265" s="54"/>
      <c r="K265" s="54"/>
    </row>
    <row r="266" ht="14.25" customHeight="1">
      <c r="E266" s="315"/>
      <c r="F266" s="315"/>
      <c r="G266" s="315"/>
      <c r="H266" s="315"/>
      <c r="I266" s="318"/>
      <c r="J266" s="54"/>
      <c r="K266" s="54"/>
    </row>
    <row r="267" ht="14.25" customHeight="1">
      <c r="E267" s="315"/>
      <c r="F267" s="315"/>
      <c r="G267" s="315"/>
      <c r="H267" s="315"/>
      <c r="I267" s="318"/>
      <c r="J267" s="54"/>
      <c r="K267" s="54"/>
    </row>
    <row r="268" ht="14.25" customHeight="1">
      <c r="E268" s="315"/>
      <c r="F268" s="315"/>
      <c r="G268" s="315"/>
      <c r="H268" s="315"/>
      <c r="I268" s="318"/>
      <c r="J268" s="54"/>
      <c r="K268" s="54"/>
    </row>
    <row r="269" ht="14.25" customHeight="1">
      <c r="E269" s="315"/>
      <c r="F269" s="315"/>
      <c r="G269" s="315"/>
      <c r="H269" s="315"/>
      <c r="I269" s="318"/>
      <c r="J269" s="54"/>
      <c r="K269" s="54"/>
    </row>
    <row r="270" ht="14.25" customHeight="1">
      <c r="E270" s="315"/>
      <c r="F270" s="315"/>
      <c r="G270" s="315"/>
      <c r="H270" s="315"/>
      <c r="I270" s="318"/>
      <c r="J270" s="54"/>
      <c r="K270" s="54"/>
    </row>
    <row r="271" ht="14.25" customHeight="1">
      <c r="E271" s="315"/>
      <c r="F271" s="315"/>
      <c r="G271" s="315"/>
      <c r="H271" s="315"/>
      <c r="I271" s="318"/>
      <c r="J271" s="54"/>
      <c r="K271" s="54"/>
    </row>
    <row r="272" ht="14.25" customHeight="1">
      <c r="E272" s="315"/>
      <c r="F272" s="315"/>
      <c r="G272" s="315"/>
      <c r="H272" s="315"/>
      <c r="I272" s="318"/>
      <c r="J272" s="54"/>
      <c r="K272" s="54"/>
    </row>
    <row r="273" ht="14.25" customHeight="1">
      <c r="E273" s="315"/>
      <c r="F273" s="315"/>
      <c r="G273" s="315"/>
      <c r="H273" s="315"/>
      <c r="I273" s="318"/>
      <c r="J273" s="54"/>
      <c r="K273" s="54"/>
    </row>
    <row r="274" ht="14.25" customHeight="1">
      <c r="E274" s="315"/>
      <c r="F274" s="315"/>
      <c r="G274" s="315"/>
      <c r="H274" s="315"/>
      <c r="I274" s="318"/>
      <c r="J274" s="54"/>
      <c r="K274" s="54"/>
    </row>
    <row r="275" ht="14.25" customHeight="1">
      <c r="E275" s="315"/>
      <c r="F275" s="315"/>
      <c r="G275" s="315"/>
      <c r="H275" s="315"/>
      <c r="I275" s="318"/>
      <c r="J275" s="54"/>
      <c r="K275" s="54"/>
    </row>
    <row r="276" ht="14.25" customHeight="1">
      <c r="E276" s="315"/>
      <c r="F276" s="315"/>
      <c r="G276" s="315"/>
      <c r="H276" s="315"/>
      <c r="I276" s="318"/>
      <c r="J276" s="54"/>
      <c r="K276" s="54"/>
    </row>
    <row r="277" ht="14.25" customHeight="1">
      <c r="E277" s="315"/>
      <c r="F277" s="315"/>
      <c r="G277" s="315"/>
      <c r="H277" s="315"/>
      <c r="I277" s="318"/>
      <c r="J277" s="54"/>
      <c r="K277" s="54"/>
    </row>
    <row r="278" ht="14.25" customHeight="1">
      <c r="E278" s="315"/>
      <c r="F278" s="315"/>
      <c r="G278" s="315"/>
      <c r="H278" s="315"/>
      <c r="I278" s="318"/>
      <c r="J278" s="54"/>
      <c r="K278" s="54"/>
    </row>
    <row r="279" ht="14.25" customHeight="1">
      <c r="E279" s="315"/>
      <c r="F279" s="315"/>
      <c r="G279" s="315"/>
      <c r="H279" s="315"/>
      <c r="I279" s="318"/>
      <c r="J279" s="54"/>
      <c r="K279" s="54"/>
    </row>
    <row r="280" ht="14.25" customHeight="1">
      <c r="E280" s="315"/>
      <c r="F280" s="315"/>
      <c r="G280" s="315"/>
      <c r="H280" s="315"/>
      <c r="I280" s="318"/>
      <c r="J280" s="54"/>
      <c r="K280" s="54"/>
    </row>
    <row r="281" ht="14.25" customHeight="1">
      <c r="E281" s="315"/>
      <c r="F281" s="315"/>
      <c r="G281" s="315"/>
      <c r="H281" s="315"/>
      <c r="I281" s="318"/>
      <c r="J281" s="54"/>
      <c r="K281" s="54"/>
    </row>
    <row r="282" ht="14.25" customHeight="1">
      <c r="E282" s="315"/>
      <c r="F282" s="315"/>
      <c r="G282" s="315"/>
      <c r="H282" s="315"/>
      <c r="I282" s="318"/>
      <c r="J282" s="54"/>
      <c r="K282" s="54"/>
    </row>
    <row r="283" ht="14.25" customHeight="1">
      <c r="E283" s="315"/>
      <c r="F283" s="315"/>
      <c r="G283" s="315"/>
      <c r="H283" s="315"/>
      <c r="I283" s="318"/>
      <c r="J283" s="54"/>
      <c r="K283" s="54"/>
    </row>
    <row r="284" ht="14.25" customHeight="1">
      <c r="E284" s="315"/>
      <c r="F284" s="315"/>
      <c r="G284" s="315"/>
      <c r="H284" s="315"/>
      <c r="I284" s="318"/>
      <c r="J284" s="54"/>
      <c r="K284" s="54"/>
    </row>
    <row r="285" ht="14.25" customHeight="1">
      <c r="E285" s="315"/>
      <c r="F285" s="315"/>
      <c r="G285" s="315"/>
      <c r="H285" s="315"/>
      <c r="I285" s="318"/>
      <c r="J285" s="54"/>
      <c r="K285" s="54"/>
    </row>
    <row r="286" ht="14.25" customHeight="1">
      <c r="E286" s="315"/>
      <c r="F286" s="315"/>
      <c r="G286" s="315"/>
      <c r="H286" s="315"/>
      <c r="I286" s="318"/>
      <c r="J286" s="54"/>
      <c r="K286" s="54"/>
    </row>
    <row r="287" ht="14.25" customHeight="1">
      <c r="E287" s="315"/>
      <c r="F287" s="315"/>
      <c r="G287" s="315"/>
      <c r="H287" s="315"/>
      <c r="I287" s="318"/>
      <c r="J287" s="54"/>
      <c r="K287" s="54"/>
    </row>
    <row r="288" ht="14.25" customHeight="1">
      <c r="E288" s="315"/>
      <c r="F288" s="315"/>
      <c r="G288" s="315"/>
      <c r="H288" s="315"/>
      <c r="I288" s="318"/>
      <c r="J288" s="54"/>
      <c r="K288" s="54"/>
    </row>
    <row r="289" ht="14.25" customHeight="1">
      <c r="E289" s="315"/>
      <c r="F289" s="315"/>
      <c r="G289" s="315"/>
      <c r="H289" s="315"/>
      <c r="I289" s="318"/>
      <c r="J289" s="54"/>
      <c r="K289" s="54"/>
    </row>
    <row r="290" ht="14.25" customHeight="1">
      <c r="E290" s="315"/>
      <c r="F290" s="315"/>
      <c r="G290" s="315"/>
      <c r="H290" s="315"/>
      <c r="I290" s="318"/>
      <c r="J290" s="54"/>
      <c r="K290" s="54"/>
    </row>
    <row r="291" ht="14.25" customHeight="1">
      <c r="E291" s="315"/>
      <c r="F291" s="315"/>
      <c r="G291" s="315"/>
      <c r="H291" s="315"/>
      <c r="I291" s="318"/>
      <c r="J291" s="54"/>
      <c r="K291" s="54"/>
    </row>
    <row r="292" ht="14.25" customHeight="1">
      <c r="E292" s="315"/>
      <c r="F292" s="315"/>
      <c r="G292" s="315"/>
      <c r="H292" s="315"/>
      <c r="I292" s="318"/>
      <c r="J292" s="54"/>
      <c r="K292" s="54"/>
    </row>
    <row r="293" ht="14.25" customHeight="1">
      <c r="E293" s="315"/>
      <c r="F293" s="315"/>
      <c r="G293" s="315"/>
      <c r="H293" s="315"/>
      <c r="I293" s="318"/>
      <c r="J293" s="54"/>
      <c r="K293" s="54"/>
    </row>
    <row r="294" ht="14.25" customHeight="1">
      <c r="E294" s="315"/>
      <c r="F294" s="315"/>
      <c r="G294" s="315"/>
      <c r="H294" s="315"/>
      <c r="I294" s="318"/>
      <c r="J294" s="54"/>
      <c r="K294" s="54"/>
    </row>
    <row r="295" ht="14.25" customHeight="1">
      <c r="E295" s="315"/>
      <c r="F295" s="315"/>
      <c r="G295" s="315"/>
      <c r="H295" s="315"/>
      <c r="I295" s="318"/>
      <c r="J295" s="54"/>
      <c r="K295" s="54"/>
    </row>
    <row r="296" ht="14.25" customHeight="1">
      <c r="E296" s="315"/>
      <c r="F296" s="315"/>
      <c r="G296" s="315"/>
      <c r="H296" s="315"/>
      <c r="I296" s="318"/>
      <c r="J296" s="54"/>
      <c r="K296" s="54"/>
    </row>
    <row r="297" ht="14.25" customHeight="1">
      <c r="E297" s="315"/>
      <c r="F297" s="315"/>
      <c r="G297" s="315"/>
      <c r="H297" s="315"/>
      <c r="I297" s="318"/>
      <c r="J297" s="54"/>
      <c r="K297" s="54"/>
    </row>
    <row r="298" ht="14.25" customHeight="1">
      <c r="E298" s="315"/>
      <c r="F298" s="315"/>
      <c r="G298" s="315"/>
      <c r="H298" s="315"/>
      <c r="I298" s="318"/>
      <c r="J298" s="54"/>
      <c r="K298" s="54"/>
    </row>
    <row r="299" ht="14.25" customHeight="1">
      <c r="E299" s="315"/>
      <c r="F299" s="315"/>
      <c r="G299" s="315"/>
      <c r="H299" s="315"/>
      <c r="I299" s="318"/>
      <c r="J299" s="54"/>
      <c r="K299" s="54"/>
    </row>
    <row r="300" ht="14.25" customHeight="1">
      <c r="E300" s="315"/>
      <c r="F300" s="315"/>
      <c r="G300" s="315"/>
      <c r="H300" s="315"/>
      <c r="I300" s="318"/>
      <c r="J300" s="54"/>
      <c r="K300" s="54"/>
    </row>
    <row r="301" ht="14.25" customHeight="1">
      <c r="E301" s="315"/>
      <c r="F301" s="315"/>
      <c r="G301" s="315"/>
      <c r="H301" s="315"/>
      <c r="I301" s="318"/>
      <c r="J301" s="54"/>
      <c r="K301" s="54"/>
    </row>
    <row r="302" ht="14.25" customHeight="1">
      <c r="E302" s="315"/>
      <c r="F302" s="315"/>
      <c r="G302" s="315"/>
      <c r="H302" s="315"/>
      <c r="I302" s="318"/>
      <c r="J302" s="54"/>
      <c r="K302" s="54"/>
    </row>
    <row r="303" ht="14.25" customHeight="1">
      <c r="E303" s="315"/>
      <c r="F303" s="315"/>
      <c r="G303" s="315"/>
      <c r="H303" s="315"/>
      <c r="I303" s="318"/>
      <c r="J303" s="54"/>
      <c r="K303" s="54"/>
    </row>
    <row r="304" ht="14.25" customHeight="1">
      <c r="E304" s="315"/>
      <c r="F304" s="315"/>
      <c r="G304" s="315"/>
      <c r="H304" s="315"/>
      <c r="I304" s="318"/>
      <c r="J304" s="54"/>
      <c r="K304" s="54"/>
    </row>
    <row r="305" ht="14.25" customHeight="1">
      <c r="E305" s="315"/>
      <c r="F305" s="315"/>
      <c r="G305" s="315"/>
      <c r="H305" s="315"/>
      <c r="I305" s="318"/>
      <c r="J305" s="54"/>
      <c r="K305" s="54"/>
    </row>
    <row r="306" ht="14.25" customHeight="1">
      <c r="E306" s="315"/>
      <c r="F306" s="315"/>
      <c r="G306" s="315"/>
      <c r="H306" s="315"/>
      <c r="I306" s="318"/>
      <c r="J306" s="54"/>
      <c r="K306" s="54"/>
    </row>
    <row r="307" ht="14.25" customHeight="1">
      <c r="E307" s="315"/>
      <c r="F307" s="315"/>
      <c r="G307" s="315"/>
      <c r="H307" s="315"/>
      <c r="I307" s="318"/>
      <c r="J307" s="54"/>
      <c r="K307" s="54"/>
    </row>
    <row r="308" ht="14.25" customHeight="1">
      <c r="E308" s="315"/>
      <c r="F308" s="315"/>
      <c r="G308" s="315"/>
      <c r="H308" s="315"/>
      <c r="I308" s="318"/>
      <c r="J308" s="54"/>
      <c r="K308" s="54"/>
    </row>
    <row r="309" ht="14.25" customHeight="1">
      <c r="E309" s="315"/>
      <c r="F309" s="315"/>
      <c r="G309" s="315"/>
      <c r="H309" s="315"/>
      <c r="I309" s="318"/>
      <c r="J309" s="54"/>
      <c r="K309" s="54"/>
    </row>
    <row r="310" ht="14.25" customHeight="1">
      <c r="E310" s="315"/>
      <c r="F310" s="315"/>
      <c r="G310" s="315"/>
      <c r="H310" s="315"/>
      <c r="I310" s="318"/>
      <c r="J310" s="54"/>
      <c r="K310" s="54"/>
    </row>
    <row r="311" ht="14.25" customHeight="1">
      <c r="E311" s="315"/>
      <c r="F311" s="315"/>
      <c r="G311" s="315"/>
      <c r="H311" s="315"/>
      <c r="I311" s="318"/>
      <c r="J311" s="54"/>
      <c r="K311" s="54"/>
    </row>
    <row r="312" ht="14.25" customHeight="1">
      <c r="E312" s="315"/>
      <c r="F312" s="315"/>
      <c r="G312" s="315"/>
      <c r="H312" s="315"/>
      <c r="I312" s="318"/>
      <c r="J312" s="54"/>
      <c r="K312" s="54"/>
    </row>
    <row r="313" ht="14.25" customHeight="1">
      <c r="E313" s="315"/>
      <c r="F313" s="315"/>
      <c r="G313" s="315"/>
      <c r="H313" s="315"/>
      <c r="I313" s="318"/>
      <c r="J313" s="54"/>
      <c r="K313" s="54"/>
    </row>
    <row r="314" ht="14.25" customHeight="1">
      <c r="E314" s="315"/>
      <c r="F314" s="315"/>
      <c r="G314" s="315"/>
      <c r="H314" s="315"/>
      <c r="I314" s="318"/>
      <c r="J314" s="54"/>
      <c r="K314" s="54"/>
    </row>
    <row r="315" ht="14.25" customHeight="1">
      <c r="E315" s="315"/>
      <c r="F315" s="315"/>
      <c r="G315" s="315"/>
      <c r="H315" s="315"/>
      <c r="I315" s="318"/>
      <c r="J315" s="54"/>
      <c r="K315" s="54"/>
    </row>
    <row r="316" ht="14.25" customHeight="1">
      <c r="E316" s="315"/>
      <c r="F316" s="315"/>
      <c r="G316" s="315"/>
      <c r="H316" s="315"/>
      <c r="I316" s="318"/>
      <c r="J316" s="54"/>
      <c r="K316" s="54"/>
    </row>
    <row r="317" ht="14.25" customHeight="1">
      <c r="E317" s="315"/>
      <c r="F317" s="315"/>
      <c r="G317" s="315"/>
      <c r="H317" s="315"/>
      <c r="I317" s="318"/>
      <c r="J317" s="54"/>
      <c r="K317" s="54"/>
    </row>
    <row r="318" ht="14.25" customHeight="1">
      <c r="E318" s="315"/>
      <c r="F318" s="315"/>
      <c r="G318" s="315"/>
      <c r="H318" s="315"/>
      <c r="I318" s="318"/>
      <c r="J318" s="54"/>
      <c r="K318" s="54"/>
    </row>
    <row r="319" ht="14.25" customHeight="1">
      <c r="E319" s="315"/>
      <c r="F319" s="315"/>
      <c r="G319" s="315"/>
      <c r="H319" s="315"/>
      <c r="I319" s="318"/>
      <c r="J319" s="54"/>
      <c r="K319" s="54"/>
    </row>
    <row r="320" ht="14.25" customHeight="1">
      <c r="E320" s="315"/>
      <c r="F320" s="315"/>
      <c r="G320" s="315"/>
      <c r="H320" s="315"/>
      <c r="I320" s="318"/>
      <c r="J320" s="54"/>
      <c r="K320" s="54"/>
    </row>
    <row r="321" ht="14.25" customHeight="1">
      <c r="E321" s="315"/>
      <c r="F321" s="315"/>
      <c r="G321" s="315"/>
      <c r="H321" s="315"/>
      <c r="I321" s="318"/>
      <c r="J321" s="54"/>
      <c r="K321" s="54"/>
    </row>
    <row r="322" ht="14.25" customHeight="1">
      <c r="E322" s="315"/>
      <c r="F322" s="315"/>
      <c r="G322" s="315"/>
      <c r="H322" s="315"/>
      <c r="I322" s="318"/>
      <c r="J322" s="54"/>
      <c r="K322" s="54"/>
    </row>
    <row r="323" ht="14.25" customHeight="1">
      <c r="E323" s="315"/>
      <c r="F323" s="315"/>
      <c r="G323" s="315"/>
      <c r="H323" s="315"/>
      <c r="I323" s="318"/>
      <c r="J323" s="54"/>
      <c r="K323" s="54"/>
    </row>
    <row r="324" ht="14.25" customHeight="1">
      <c r="E324" s="315"/>
      <c r="F324" s="315"/>
      <c r="G324" s="315"/>
      <c r="H324" s="315"/>
      <c r="I324" s="318"/>
      <c r="J324" s="54"/>
      <c r="K324" s="54"/>
    </row>
    <row r="325" ht="14.25" customHeight="1">
      <c r="E325" s="315"/>
      <c r="F325" s="315"/>
      <c r="G325" s="315"/>
      <c r="H325" s="315"/>
      <c r="I325" s="318"/>
      <c r="J325" s="54"/>
      <c r="K325" s="54"/>
    </row>
    <row r="326" ht="14.25" customHeight="1">
      <c r="E326" s="315"/>
      <c r="F326" s="315"/>
      <c r="G326" s="315"/>
      <c r="H326" s="315"/>
      <c r="I326" s="318"/>
      <c r="J326" s="54"/>
      <c r="K326" s="54"/>
    </row>
    <row r="327" ht="14.25" customHeight="1">
      <c r="E327" s="315"/>
      <c r="F327" s="315"/>
      <c r="G327" s="315"/>
      <c r="H327" s="315"/>
      <c r="I327" s="318"/>
      <c r="J327" s="54"/>
      <c r="K327" s="54"/>
    </row>
    <row r="328" ht="14.25" customHeight="1">
      <c r="E328" s="315"/>
      <c r="F328" s="315"/>
      <c r="G328" s="315"/>
      <c r="H328" s="315"/>
      <c r="I328" s="318"/>
      <c r="J328" s="54"/>
      <c r="K328" s="54"/>
    </row>
    <row r="329" ht="14.25" customHeight="1">
      <c r="E329" s="315"/>
      <c r="F329" s="315"/>
      <c r="G329" s="315"/>
      <c r="H329" s="315"/>
      <c r="I329" s="318"/>
      <c r="J329" s="54"/>
      <c r="K329" s="54"/>
    </row>
    <row r="330" ht="14.25" customHeight="1">
      <c r="E330" s="315"/>
      <c r="F330" s="315"/>
      <c r="G330" s="315"/>
      <c r="H330" s="315"/>
      <c r="I330" s="318"/>
      <c r="J330" s="54"/>
      <c r="K330" s="54"/>
    </row>
    <row r="331" ht="14.25" customHeight="1">
      <c r="E331" s="315"/>
      <c r="F331" s="315"/>
      <c r="G331" s="315"/>
      <c r="H331" s="315"/>
      <c r="I331" s="318"/>
      <c r="J331" s="54"/>
      <c r="K331" s="54"/>
    </row>
    <row r="332" ht="14.25" customHeight="1">
      <c r="E332" s="315"/>
      <c r="F332" s="315"/>
      <c r="G332" s="315"/>
      <c r="H332" s="315"/>
      <c r="I332" s="318"/>
      <c r="J332" s="54"/>
      <c r="K332" s="54"/>
    </row>
    <row r="333" ht="14.25" customHeight="1">
      <c r="E333" s="315"/>
      <c r="F333" s="315"/>
      <c r="G333" s="315"/>
      <c r="H333" s="315"/>
      <c r="I333" s="318"/>
      <c r="J333" s="54"/>
      <c r="K333" s="54"/>
    </row>
    <row r="334" ht="14.25" customHeight="1">
      <c r="E334" s="315"/>
      <c r="F334" s="315"/>
      <c r="G334" s="315"/>
      <c r="H334" s="315"/>
      <c r="I334" s="318"/>
      <c r="J334" s="54"/>
      <c r="K334" s="54"/>
    </row>
    <row r="335" ht="14.25" customHeight="1">
      <c r="E335" s="315"/>
      <c r="F335" s="315"/>
      <c r="G335" s="315"/>
      <c r="H335" s="315"/>
      <c r="I335" s="318"/>
      <c r="J335" s="54"/>
      <c r="K335" s="54"/>
    </row>
    <row r="336" ht="14.25" customHeight="1">
      <c r="E336" s="315"/>
      <c r="F336" s="315"/>
      <c r="G336" s="315"/>
      <c r="H336" s="315"/>
      <c r="I336" s="318"/>
      <c r="J336" s="54"/>
      <c r="K336" s="54"/>
    </row>
    <row r="337" ht="14.25" customHeight="1">
      <c r="E337" s="315"/>
      <c r="F337" s="315"/>
      <c r="G337" s="315"/>
      <c r="H337" s="315"/>
      <c r="I337" s="318"/>
      <c r="J337" s="54"/>
      <c r="K337" s="54"/>
    </row>
    <row r="338" ht="14.25" customHeight="1">
      <c r="E338" s="315"/>
      <c r="F338" s="315"/>
      <c r="G338" s="315"/>
      <c r="H338" s="315"/>
      <c r="I338" s="318"/>
      <c r="J338" s="54"/>
      <c r="K338" s="54"/>
    </row>
    <row r="339" ht="14.25" customHeight="1">
      <c r="E339" s="315"/>
      <c r="F339" s="315"/>
      <c r="G339" s="315"/>
      <c r="H339" s="315"/>
      <c r="I339" s="318"/>
      <c r="J339" s="54"/>
      <c r="K339" s="54"/>
    </row>
    <row r="340" ht="14.25" customHeight="1">
      <c r="E340" s="315"/>
      <c r="F340" s="315"/>
      <c r="G340" s="315"/>
      <c r="H340" s="315"/>
      <c r="I340" s="318"/>
      <c r="J340" s="54"/>
      <c r="K340" s="54"/>
    </row>
    <row r="341" ht="14.25" customHeight="1">
      <c r="E341" s="315"/>
      <c r="F341" s="315"/>
      <c r="G341" s="315"/>
      <c r="H341" s="315"/>
      <c r="I341" s="318"/>
      <c r="J341" s="54"/>
      <c r="K341" s="54"/>
    </row>
    <row r="342" ht="14.25" customHeight="1">
      <c r="E342" s="315"/>
      <c r="F342" s="315"/>
      <c r="G342" s="315"/>
      <c r="H342" s="315"/>
      <c r="I342" s="318"/>
      <c r="J342" s="54"/>
      <c r="K342" s="54"/>
    </row>
    <row r="343" ht="14.25" customHeight="1">
      <c r="E343" s="315"/>
      <c r="F343" s="315"/>
      <c r="G343" s="315"/>
      <c r="H343" s="315"/>
      <c r="I343" s="318"/>
      <c r="J343" s="54"/>
      <c r="K343" s="54"/>
    </row>
    <row r="344" ht="14.25" customHeight="1">
      <c r="E344" s="315"/>
      <c r="F344" s="315"/>
      <c r="G344" s="315"/>
      <c r="H344" s="315"/>
      <c r="I344" s="318"/>
      <c r="J344" s="54"/>
      <c r="K344" s="54"/>
    </row>
    <row r="345" ht="14.25" customHeight="1">
      <c r="E345" s="315"/>
      <c r="F345" s="315"/>
      <c r="G345" s="315"/>
      <c r="H345" s="315"/>
      <c r="I345" s="318"/>
      <c r="J345" s="54"/>
      <c r="K345" s="54"/>
    </row>
    <row r="346" ht="14.25" customHeight="1">
      <c r="E346" s="315"/>
      <c r="F346" s="315"/>
      <c r="G346" s="315"/>
      <c r="H346" s="315"/>
      <c r="I346" s="318"/>
      <c r="J346" s="54"/>
      <c r="K346" s="54"/>
    </row>
    <row r="347" ht="14.25" customHeight="1">
      <c r="E347" s="315"/>
      <c r="F347" s="315"/>
      <c r="G347" s="315"/>
      <c r="H347" s="315"/>
      <c r="I347" s="318"/>
      <c r="J347" s="54"/>
      <c r="K347" s="54"/>
    </row>
    <row r="348" ht="14.25" customHeight="1">
      <c r="E348" s="315"/>
      <c r="F348" s="315"/>
      <c r="G348" s="315"/>
      <c r="H348" s="315"/>
      <c r="I348" s="318"/>
      <c r="J348" s="54"/>
      <c r="K348" s="54"/>
    </row>
    <row r="349" ht="14.25" customHeight="1">
      <c r="E349" s="315"/>
      <c r="F349" s="315"/>
      <c r="G349" s="315"/>
      <c r="H349" s="315"/>
      <c r="I349" s="318"/>
      <c r="J349" s="54"/>
      <c r="K349" s="54"/>
    </row>
    <row r="350" ht="14.25" customHeight="1">
      <c r="E350" s="315"/>
      <c r="F350" s="315"/>
      <c r="G350" s="315"/>
      <c r="H350" s="315"/>
      <c r="I350" s="318"/>
      <c r="J350" s="54"/>
      <c r="K350" s="54"/>
    </row>
    <row r="351" ht="14.25" customHeight="1">
      <c r="E351" s="315"/>
      <c r="F351" s="315"/>
      <c r="G351" s="315"/>
      <c r="H351" s="315"/>
      <c r="I351" s="318"/>
      <c r="J351" s="54"/>
      <c r="K351" s="54"/>
    </row>
    <row r="352" ht="14.25" customHeight="1">
      <c r="E352" s="315"/>
      <c r="F352" s="315"/>
      <c r="G352" s="315"/>
      <c r="H352" s="315"/>
      <c r="I352" s="318"/>
      <c r="J352" s="54"/>
      <c r="K352" s="54"/>
    </row>
    <row r="353" ht="14.25" customHeight="1">
      <c r="E353" s="315"/>
      <c r="F353" s="315"/>
      <c r="G353" s="315"/>
      <c r="H353" s="315"/>
      <c r="I353" s="318"/>
      <c r="J353" s="54"/>
      <c r="K353" s="54"/>
    </row>
    <row r="354" ht="14.25" customHeight="1">
      <c r="E354" s="315"/>
      <c r="F354" s="315"/>
      <c r="G354" s="315"/>
      <c r="H354" s="315"/>
      <c r="I354" s="318"/>
      <c r="J354" s="54"/>
      <c r="K354" s="54"/>
    </row>
    <row r="355" ht="14.25" customHeight="1">
      <c r="E355" s="315"/>
      <c r="F355" s="315"/>
      <c r="G355" s="315"/>
      <c r="H355" s="315"/>
      <c r="I355" s="318"/>
      <c r="J355" s="54"/>
      <c r="K355" s="54"/>
    </row>
    <row r="356" ht="14.25" customHeight="1">
      <c r="E356" s="315"/>
      <c r="F356" s="315"/>
      <c r="G356" s="315"/>
      <c r="H356" s="315"/>
      <c r="I356" s="318"/>
      <c r="J356" s="54"/>
      <c r="K356" s="54"/>
    </row>
    <row r="357" ht="14.25" customHeight="1">
      <c r="E357" s="315"/>
      <c r="F357" s="315"/>
      <c r="G357" s="315"/>
      <c r="H357" s="315"/>
      <c r="I357" s="318"/>
      <c r="J357" s="54"/>
      <c r="K357" s="54"/>
    </row>
    <row r="358" ht="14.25" customHeight="1">
      <c r="E358" s="315"/>
      <c r="F358" s="315"/>
      <c r="G358" s="315"/>
      <c r="H358" s="315"/>
      <c r="I358" s="318"/>
      <c r="J358" s="54"/>
      <c r="K358" s="54"/>
    </row>
    <row r="359" ht="14.25" customHeight="1">
      <c r="E359" s="315"/>
      <c r="F359" s="315"/>
      <c r="G359" s="315"/>
      <c r="H359" s="315"/>
      <c r="I359" s="318"/>
      <c r="J359" s="54"/>
      <c r="K359" s="54"/>
    </row>
    <row r="360" ht="14.25" customHeight="1">
      <c r="E360" s="315"/>
      <c r="F360" s="315"/>
      <c r="G360" s="315"/>
      <c r="H360" s="315"/>
      <c r="I360" s="318"/>
      <c r="J360" s="54"/>
      <c r="K360" s="54"/>
    </row>
    <row r="361" ht="14.25" customHeight="1">
      <c r="E361" s="315"/>
      <c r="F361" s="315"/>
      <c r="G361" s="315"/>
      <c r="H361" s="315"/>
      <c r="I361" s="318"/>
      <c r="J361" s="54"/>
      <c r="K361" s="54"/>
    </row>
    <row r="362" ht="14.25" customHeight="1">
      <c r="E362" s="315"/>
      <c r="F362" s="315"/>
      <c r="G362" s="315"/>
      <c r="H362" s="315"/>
      <c r="I362" s="318"/>
      <c r="J362" s="54"/>
      <c r="K362" s="54"/>
    </row>
    <row r="363" ht="14.25" customHeight="1">
      <c r="E363" s="315"/>
      <c r="F363" s="315"/>
      <c r="G363" s="315"/>
      <c r="H363" s="315"/>
      <c r="I363" s="318"/>
      <c r="J363" s="54"/>
      <c r="K363" s="54"/>
    </row>
    <row r="364" ht="14.25" customHeight="1">
      <c r="E364" s="315"/>
      <c r="F364" s="315"/>
      <c r="G364" s="315"/>
      <c r="H364" s="315"/>
      <c r="I364" s="318"/>
      <c r="J364" s="54"/>
      <c r="K364" s="54"/>
    </row>
    <row r="365" ht="14.25" customHeight="1">
      <c r="E365" s="315"/>
      <c r="F365" s="315"/>
      <c r="G365" s="315"/>
      <c r="H365" s="315"/>
      <c r="I365" s="318"/>
      <c r="J365" s="54"/>
      <c r="K365" s="54"/>
    </row>
    <row r="366" ht="14.25" customHeight="1">
      <c r="E366" s="315"/>
      <c r="F366" s="315"/>
      <c r="G366" s="315"/>
      <c r="H366" s="315"/>
      <c r="I366" s="318"/>
      <c r="J366" s="54"/>
      <c r="K366" s="54"/>
    </row>
    <row r="367" ht="14.25" customHeight="1">
      <c r="E367" s="315"/>
      <c r="F367" s="315"/>
      <c r="G367" s="315"/>
      <c r="H367" s="315"/>
      <c r="I367" s="318"/>
      <c r="J367" s="54"/>
      <c r="K367" s="54"/>
    </row>
    <row r="368" ht="14.25" customHeight="1">
      <c r="E368" s="315"/>
      <c r="F368" s="315"/>
      <c r="G368" s="315"/>
      <c r="H368" s="315"/>
      <c r="I368" s="318"/>
      <c r="J368" s="54"/>
      <c r="K368" s="54"/>
    </row>
    <row r="369" ht="14.25" customHeight="1">
      <c r="E369" s="315"/>
      <c r="F369" s="315"/>
      <c r="G369" s="315"/>
      <c r="H369" s="315"/>
      <c r="I369" s="318"/>
      <c r="J369" s="54"/>
      <c r="K369" s="54"/>
    </row>
    <row r="370" ht="14.25" customHeight="1">
      <c r="E370" s="315"/>
      <c r="F370" s="315"/>
      <c r="G370" s="315"/>
      <c r="H370" s="315"/>
      <c r="I370" s="318"/>
      <c r="J370" s="54"/>
      <c r="K370" s="54"/>
    </row>
    <row r="371" ht="14.25" customHeight="1">
      <c r="E371" s="315"/>
      <c r="F371" s="315"/>
      <c r="G371" s="315"/>
      <c r="H371" s="315"/>
      <c r="I371" s="318"/>
      <c r="J371" s="54"/>
      <c r="K371" s="54"/>
    </row>
    <row r="372" ht="14.25" customHeight="1">
      <c r="E372" s="315"/>
      <c r="F372" s="315"/>
      <c r="G372" s="315"/>
      <c r="H372" s="315"/>
      <c r="I372" s="318"/>
      <c r="J372" s="54"/>
      <c r="K372" s="54"/>
    </row>
    <row r="373" ht="14.25" customHeight="1">
      <c r="E373" s="315"/>
      <c r="F373" s="315"/>
      <c r="G373" s="315"/>
      <c r="H373" s="315"/>
      <c r="I373" s="318"/>
      <c r="J373" s="54"/>
      <c r="K373" s="54"/>
    </row>
    <row r="374" ht="14.25" customHeight="1">
      <c r="E374" s="315"/>
      <c r="F374" s="315"/>
      <c r="G374" s="315"/>
      <c r="H374" s="315"/>
      <c r="I374" s="318"/>
      <c r="J374" s="54"/>
      <c r="K374" s="54"/>
    </row>
    <row r="375" ht="14.25" customHeight="1">
      <c r="E375" s="315"/>
      <c r="F375" s="315"/>
      <c r="G375" s="315"/>
      <c r="H375" s="315"/>
      <c r="I375" s="318"/>
      <c r="J375" s="54"/>
      <c r="K375" s="54"/>
    </row>
    <row r="376" ht="14.25" customHeight="1">
      <c r="E376" s="315"/>
      <c r="F376" s="315"/>
      <c r="G376" s="315"/>
      <c r="H376" s="315"/>
      <c r="I376" s="318"/>
      <c r="J376" s="54"/>
      <c r="K376" s="54"/>
    </row>
    <row r="377" ht="14.25" customHeight="1">
      <c r="E377" s="315"/>
      <c r="F377" s="315"/>
      <c r="G377" s="315"/>
      <c r="H377" s="315"/>
      <c r="I377" s="318"/>
      <c r="J377" s="54"/>
      <c r="K377" s="54"/>
    </row>
    <row r="378" ht="14.25" customHeight="1">
      <c r="E378" s="315"/>
      <c r="F378" s="315"/>
      <c r="G378" s="315"/>
      <c r="H378" s="315"/>
      <c r="I378" s="318"/>
      <c r="J378" s="54"/>
      <c r="K378" s="54"/>
    </row>
    <row r="379" ht="14.25" customHeight="1">
      <c r="E379" s="315"/>
      <c r="F379" s="315"/>
      <c r="G379" s="315"/>
      <c r="H379" s="315"/>
      <c r="I379" s="318"/>
      <c r="J379" s="54"/>
      <c r="K379" s="54"/>
    </row>
    <row r="380" ht="14.25" customHeight="1">
      <c r="E380" s="315"/>
      <c r="F380" s="315"/>
      <c r="G380" s="315"/>
      <c r="H380" s="315"/>
      <c r="I380" s="318"/>
      <c r="J380" s="54"/>
      <c r="K380" s="54"/>
    </row>
    <row r="381" ht="14.25" customHeight="1">
      <c r="E381" s="315"/>
      <c r="F381" s="315"/>
      <c r="G381" s="315"/>
      <c r="H381" s="315"/>
      <c r="I381" s="318"/>
      <c r="J381" s="54"/>
      <c r="K381" s="54"/>
    </row>
    <row r="382" ht="14.25" customHeight="1">
      <c r="E382" s="315"/>
      <c r="F382" s="315"/>
      <c r="G382" s="315"/>
      <c r="H382" s="315"/>
      <c r="I382" s="318"/>
      <c r="J382" s="54"/>
      <c r="K382" s="54"/>
    </row>
    <row r="383" ht="14.25" customHeight="1">
      <c r="E383" s="315"/>
      <c r="F383" s="315"/>
      <c r="G383" s="315"/>
      <c r="H383" s="315"/>
      <c r="I383" s="318"/>
      <c r="J383" s="54"/>
      <c r="K383" s="54"/>
    </row>
    <row r="384" ht="14.25" customHeight="1">
      <c r="E384" s="315"/>
      <c r="F384" s="315"/>
      <c r="G384" s="315"/>
      <c r="H384" s="315"/>
      <c r="I384" s="318"/>
      <c r="J384" s="54"/>
      <c r="K384" s="54"/>
    </row>
    <row r="385" ht="14.25" customHeight="1">
      <c r="E385" s="315"/>
      <c r="F385" s="315"/>
      <c r="G385" s="315"/>
      <c r="H385" s="315"/>
      <c r="I385" s="318"/>
      <c r="J385" s="54"/>
      <c r="K385" s="54"/>
    </row>
    <row r="386" ht="14.25" customHeight="1">
      <c r="E386" s="315"/>
      <c r="F386" s="315"/>
      <c r="G386" s="315"/>
      <c r="H386" s="315"/>
      <c r="I386" s="318"/>
      <c r="J386" s="54"/>
      <c r="K386" s="54"/>
    </row>
    <row r="387" ht="14.25" customHeight="1">
      <c r="E387" s="315"/>
      <c r="F387" s="315"/>
      <c r="G387" s="315"/>
      <c r="H387" s="315"/>
      <c r="I387" s="318"/>
      <c r="J387" s="54"/>
      <c r="K387" s="54"/>
    </row>
    <row r="388" ht="14.25" customHeight="1">
      <c r="E388" s="315"/>
      <c r="F388" s="315"/>
      <c r="G388" s="315"/>
      <c r="H388" s="315"/>
      <c r="I388" s="318"/>
      <c r="J388" s="54"/>
      <c r="K388" s="54"/>
    </row>
    <row r="389" ht="14.25" customHeight="1">
      <c r="E389" s="315"/>
      <c r="F389" s="315"/>
      <c r="G389" s="315"/>
      <c r="H389" s="315"/>
      <c r="I389" s="318"/>
      <c r="J389" s="54"/>
      <c r="K389" s="54"/>
    </row>
    <row r="390" ht="14.25" customHeight="1">
      <c r="E390" s="315"/>
      <c r="F390" s="315"/>
      <c r="G390" s="315"/>
      <c r="H390" s="315"/>
      <c r="I390" s="318"/>
      <c r="J390" s="54"/>
      <c r="K390" s="54"/>
    </row>
    <row r="391" ht="14.25" customHeight="1">
      <c r="E391" s="315"/>
      <c r="F391" s="315"/>
      <c r="G391" s="315"/>
      <c r="H391" s="315"/>
      <c r="I391" s="318"/>
      <c r="J391" s="54"/>
      <c r="K391" s="54"/>
    </row>
    <row r="392" ht="14.25" customHeight="1">
      <c r="E392" s="315"/>
      <c r="F392" s="315"/>
      <c r="G392" s="315"/>
      <c r="H392" s="315"/>
      <c r="I392" s="318"/>
      <c r="J392" s="54"/>
      <c r="K392" s="54"/>
    </row>
    <row r="393" ht="14.25" customHeight="1">
      <c r="E393" s="315"/>
      <c r="F393" s="315"/>
      <c r="G393" s="315"/>
      <c r="H393" s="315"/>
      <c r="I393" s="318"/>
      <c r="J393" s="54"/>
      <c r="K393" s="54"/>
    </row>
    <row r="394" ht="14.25" customHeight="1">
      <c r="E394" s="315"/>
      <c r="F394" s="315"/>
      <c r="G394" s="315"/>
      <c r="H394" s="315"/>
      <c r="I394" s="318"/>
      <c r="J394" s="54"/>
      <c r="K394" s="54"/>
    </row>
    <row r="395" ht="14.25" customHeight="1">
      <c r="E395" s="315"/>
      <c r="F395" s="315"/>
      <c r="G395" s="315"/>
      <c r="H395" s="315"/>
      <c r="I395" s="318"/>
      <c r="J395" s="54"/>
      <c r="K395" s="54"/>
    </row>
    <row r="396" ht="14.25" customHeight="1">
      <c r="E396" s="315"/>
      <c r="F396" s="315"/>
      <c r="G396" s="315"/>
      <c r="H396" s="315"/>
      <c r="I396" s="318"/>
      <c r="J396" s="54"/>
      <c r="K396" s="54"/>
    </row>
    <row r="397" ht="14.25" customHeight="1">
      <c r="E397" s="315"/>
      <c r="F397" s="315"/>
      <c r="G397" s="315"/>
      <c r="H397" s="315"/>
      <c r="I397" s="318"/>
      <c r="J397" s="54"/>
      <c r="K397" s="54"/>
    </row>
    <row r="398" ht="14.25" customHeight="1">
      <c r="E398" s="315"/>
      <c r="F398" s="315"/>
      <c r="G398" s="315"/>
      <c r="H398" s="315"/>
      <c r="I398" s="318"/>
      <c r="J398" s="54"/>
      <c r="K398" s="54"/>
    </row>
    <row r="399" ht="14.25" customHeight="1">
      <c r="E399" s="315"/>
      <c r="F399" s="315"/>
      <c r="G399" s="315"/>
      <c r="H399" s="315"/>
      <c r="I399" s="318"/>
      <c r="J399" s="54"/>
      <c r="K399" s="54"/>
    </row>
    <row r="400" ht="14.25" customHeight="1">
      <c r="E400" s="315"/>
      <c r="F400" s="315"/>
      <c r="G400" s="315"/>
      <c r="H400" s="315"/>
      <c r="I400" s="318"/>
      <c r="J400" s="54"/>
      <c r="K400" s="54"/>
    </row>
    <row r="401" ht="14.25" customHeight="1">
      <c r="E401" s="315"/>
      <c r="F401" s="315"/>
      <c r="G401" s="315"/>
      <c r="H401" s="315"/>
      <c r="I401" s="318"/>
      <c r="J401" s="54"/>
      <c r="K401" s="54"/>
    </row>
    <row r="402" ht="14.25" customHeight="1">
      <c r="E402" s="315"/>
      <c r="F402" s="315"/>
      <c r="G402" s="315"/>
      <c r="H402" s="315"/>
      <c r="I402" s="318"/>
      <c r="J402" s="54"/>
      <c r="K402" s="54"/>
    </row>
    <row r="403" ht="14.25" customHeight="1">
      <c r="E403" s="315"/>
      <c r="F403" s="315"/>
      <c r="G403" s="315"/>
      <c r="H403" s="315"/>
      <c r="I403" s="318"/>
      <c r="J403" s="54"/>
      <c r="K403" s="54"/>
    </row>
    <row r="404" ht="14.25" customHeight="1">
      <c r="E404" s="315"/>
      <c r="F404" s="315"/>
      <c r="G404" s="315"/>
      <c r="H404" s="315"/>
      <c r="I404" s="318"/>
      <c r="J404" s="54"/>
      <c r="K404" s="54"/>
    </row>
    <row r="405" ht="14.25" customHeight="1">
      <c r="E405" s="315"/>
      <c r="F405" s="315"/>
      <c r="G405" s="315"/>
      <c r="H405" s="315"/>
      <c r="I405" s="318"/>
      <c r="J405" s="54"/>
      <c r="K405" s="54"/>
    </row>
    <row r="406" ht="14.25" customHeight="1">
      <c r="E406" s="315"/>
      <c r="F406" s="315"/>
      <c r="G406" s="315"/>
      <c r="H406" s="315"/>
      <c r="I406" s="318"/>
      <c r="J406" s="54"/>
      <c r="K406" s="54"/>
    </row>
    <row r="407" ht="14.25" customHeight="1">
      <c r="E407" s="315"/>
      <c r="F407" s="315"/>
      <c r="G407" s="315"/>
      <c r="H407" s="315"/>
      <c r="I407" s="318"/>
      <c r="J407" s="54"/>
      <c r="K407" s="54"/>
    </row>
    <row r="408" ht="14.25" customHeight="1">
      <c r="E408" s="315"/>
      <c r="F408" s="315"/>
      <c r="G408" s="315"/>
      <c r="H408" s="315"/>
      <c r="I408" s="318"/>
      <c r="J408" s="54"/>
      <c r="K408" s="54"/>
    </row>
    <row r="409" ht="14.25" customHeight="1">
      <c r="E409" s="315"/>
      <c r="F409" s="315"/>
      <c r="G409" s="315"/>
      <c r="H409" s="315"/>
      <c r="I409" s="318"/>
      <c r="J409" s="54"/>
      <c r="K409" s="54"/>
    </row>
    <row r="410" ht="14.25" customHeight="1">
      <c r="E410" s="315"/>
      <c r="F410" s="315"/>
      <c r="G410" s="315"/>
      <c r="H410" s="315"/>
      <c r="I410" s="318"/>
      <c r="J410" s="54"/>
      <c r="K410" s="54"/>
    </row>
    <row r="411" ht="14.25" customHeight="1">
      <c r="E411" s="315"/>
      <c r="F411" s="315"/>
      <c r="G411" s="315"/>
      <c r="H411" s="315"/>
      <c r="I411" s="318"/>
      <c r="J411" s="54"/>
      <c r="K411" s="54"/>
    </row>
    <row r="412" ht="14.25" customHeight="1">
      <c r="E412" s="315"/>
      <c r="F412" s="315"/>
      <c r="G412" s="315"/>
      <c r="H412" s="315"/>
      <c r="I412" s="318"/>
      <c r="J412" s="54"/>
      <c r="K412" s="54"/>
    </row>
    <row r="413" ht="14.25" customHeight="1">
      <c r="E413" s="315"/>
      <c r="F413" s="315"/>
      <c r="G413" s="315"/>
      <c r="H413" s="315"/>
      <c r="I413" s="318"/>
      <c r="J413" s="54"/>
      <c r="K413" s="54"/>
    </row>
    <row r="414" ht="14.25" customHeight="1">
      <c r="E414" s="315"/>
      <c r="F414" s="315"/>
      <c r="G414" s="315"/>
      <c r="H414" s="315"/>
      <c r="I414" s="318"/>
      <c r="J414" s="54"/>
      <c r="K414" s="54"/>
    </row>
    <row r="415" ht="14.25" customHeight="1">
      <c r="E415" s="315"/>
      <c r="F415" s="315"/>
      <c r="G415" s="315"/>
      <c r="H415" s="315"/>
      <c r="I415" s="318"/>
      <c r="J415" s="54"/>
      <c r="K415" s="54"/>
    </row>
    <row r="416" ht="14.25" customHeight="1">
      <c r="E416" s="315"/>
      <c r="F416" s="315"/>
      <c r="G416" s="315"/>
      <c r="H416" s="315"/>
      <c r="I416" s="318"/>
      <c r="J416" s="54"/>
      <c r="K416" s="54"/>
    </row>
    <row r="417" ht="14.25" customHeight="1">
      <c r="E417" s="315"/>
      <c r="F417" s="315"/>
      <c r="G417" s="315"/>
      <c r="H417" s="315"/>
      <c r="I417" s="318"/>
      <c r="J417" s="54"/>
      <c r="K417" s="54"/>
    </row>
    <row r="418" ht="14.25" customHeight="1">
      <c r="E418" s="315"/>
      <c r="F418" s="315"/>
      <c r="G418" s="315"/>
      <c r="H418" s="315"/>
      <c r="I418" s="318"/>
      <c r="J418" s="54"/>
      <c r="K418" s="54"/>
    </row>
    <row r="419" ht="14.25" customHeight="1">
      <c r="E419" s="315"/>
      <c r="F419" s="315"/>
      <c r="G419" s="315"/>
      <c r="H419" s="315"/>
      <c r="I419" s="318"/>
      <c r="J419" s="54"/>
      <c r="K419" s="54"/>
    </row>
    <row r="420" ht="14.25" customHeight="1">
      <c r="E420" s="315"/>
      <c r="F420" s="315"/>
      <c r="G420" s="315"/>
      <c r="H420" s="315"/>
      <c r="I420" s="318"/>
      <c r="J420" s="54"/>
      <c r="K420" s="54"/>
    </row>
    <row r="421" ht="14.25" customHeight="1">
      <c r="E421" s="315"/>
      <c r="F421" s="315"/>
      <c r="G421" s="315"/>
      <c r="H421" s="315"/>
      <c r="I421" s="318"/>
      <c r="J421" s="54"/>
      <c r="K421" s="54"/>
    </row>
    <row r="422" ht="14.25" customHeight="1">
      <c r="E422" s="315"/>
      <c r="F422" s="315"/>
      <c r="G422" s="315"/>
      <c r="H422" s="315"/>
      <c r="I422" s="318"/>
      <c r="J422" s="54"/>
      <c r="K422" s="54"/>
    </row>
    <row r="423" ht="14.25" customHeight="1">
      <c r="E423" s="315"/>
      <c r="F423" s="315"/>
      <c r="G423" s="315"/>
      <c r="H423" s="315"/>
      <c r="I423" s="318"/>
      <c r="J423" s="54"/>
      <c r="K423" s="54"/>
    </row>
    <row r="424" ht="14.25" customHeight="1">
      <c r="E424" s="315"/>
      <c r="F424" s="315"/>
      <c r="G424" s="315"/>
      <c r="H424" s="315"/>
      <c r="I424" s="318"/>
      <c r="J424" s="54"/>
      <c r="K424" s="54"/>
    </row>
    <row r="425" ht="14.25" customHeight="1">
      <c r="E425" s="315"/>
      <c r="F425" s="315"/>
      <c r="G425" s="315"/>
      <c r="H425" s="315"/>
      <c r="I425" s="318"/>
      <c r="J425" s="54"/>
      <c r="K425" s="54"/>
    </row>
    <row r="426" ht="14.25" customHeight="1">
      <c r="E426" s="315"/>
      <c r="F426" s="315"/>
      <c r="G426" s="315"/>
      <c r="H426" s="315"/>
      <c r="I426" s="318"/>
      <c r="J426" s="54"/>
      <c r="K426" s="54"/>
    </row>
    <row r="427" ht="14.25" customHeight="1">
      <c r="E427" s="315"/>
      <c r="F427" s="315"/>
      <c r="G427" s="315"/>
      <c r="H427" s="315"/>
      <c r="I427" s="318"/>
      <c r="J427" s="54"/>
      <c r="K427" s="54"/>
    </row>
    <row r="428" ht="14.25" customHeight="1">
      <c r="E428" s="315"/>
      <c r="F428" s="315"/>
      <c r="G428" s="315"/>
      <c r="H428" s="315"/>
      <c r="I428" s="318"/>
      <c r="J428" s="54"/>
      <c r="K428" s="54"/>
    </row>
    <row r="429" ht="14.25" customHeight="1">
      <c r="E429" s="315"/>
      <c r="F429" s="315"/>
      <c r="G429" s="315"/>
      <c r="H429" s="315"/>
      <c r="I429" s="318"/>
      <c r="J429" s="54"/>
      <c r="K429" s="54"/>
    </row>
    <row r="430" ht="14.25" customHeight="1">
      <c r="E430" s="315"/>
      <c r="F430" s="315"/>
      <c r="G430" s="315"/>
      <c r="H430" s="315"/>
      <c r="I430" s="318"/>
      <c r="J430" s="54"/>
      <c r="K430" s="54"/>
    </row>
    <row r="431" ht="14.25" customHeight="1">
      <c r="E431" s="315"/>
      <c r="F431" s="315"/>
      <c r="G431" s="315"/>
      <c r="H431" s="315"/>
      <c r="I431" s="318"/>
      <c r="J431" s="54"/>
      <c r="K431" s="54"/>
    </row>
    <row r="432" ht="14.25" customHeight="1">
      <c r="E432" s="315"/>
      <c r="F432" s="315"/>
      <c r="G432" s="315"/>
      <c r="H432" s="315"/>
      <c r="I432" s="318"/>
      <c r="J432" s="54"/>
      <c r="K432" s="54"/>
    </row>
    <row r="433" ht="14.25" customHeight="1">
      <c r="E433" s="315"/>
      <c r="F433" s="315"/>
      <c r="G433" s="315"/>
      <c r="H433" s="315"/>
      <c r="I433" s="318"/>
      <c r="J433" s="54"/>
      <c r="K433" s="54"/>
    </row>
    <row r="434" ht="14.25" customHeight="1">
      <c r="E434" s="315"/>
      <c r="F434" s="315"/>
      <c r="G434" s="315"/>
      <c r="H434" s="315"/>
      <c r="I434" s="318"/>
      <c r="J434" s="54"/>
      <c r="K434" s="54"/>
    </row>
    <row r="435" ht="14.25" customHeight="1">
      <c r="E435" s="315"/>
      <c r="F435" s="315"/>
      <c r="G435" s="315"/>
      <c r="H435" s="315"/>
      <c r="I435" s="318"/>
      <c r="J435" s="54"/>
      <c r="K435" s="54"/>
    </row>
    <row r="436" ht="14.25" customHeight="1">
      <c r="E436" s="315"/>
      <c r="F436" s="315"/>
      <c r="G436" s="315"/>
      <c r="H436" s="315"/>
      <c r="I436" s="318"/>
      <c r="J436" s="54"/>
      <c r="K436" s="54"/>
    </row>
    <row r="437" ht="14.25" customHeight="1">
      <c r="E437" s="315"/>
      <c r="F437" s="315"/>
      <c r="G437" s="315"/>
      <c r="H437" s="315"/>
      <c r="I437" s="318"/>
      <c r="J437" s="54"/>
      <c r="K437" s="54"/>
    </row>
    <row r="438" ht="14.25" customHeight="1">
      <c r="E438" s="315"/>
      <c r="F438" s="315"/>
      <c r="G438" s="315"/>
      <c r="H438" s="315"/>
      <c r="I438" s="318"/>
      <c r="J438" s="54"/>
      <c r="K438" s="54"/>
    </row>
    <row r="439" ht="14.25" customHeight="1">
      <c r="E439" s="315"/>
      <c r="F439" s="315"/>
      <c r="G439" s="315"/>
      <c r="H439" s="315"/>
      <c r="I439" s="318"/>
      <c r="J439" s="54"/>
      <c r="K439" s="54"/>
    </row>
    <row r="440" ht="14.25" customHeight="1">
      <c r="E440" s="315"/>
      <c r="F440" s="315"/>
      <c r="G440" s="315"/>
      <c r="H440" s="315"/>
      <c r="I440" s="318"/>
      <c r="J440" s="54"/>
      <c r="K440" s="54"/>
    </row>
    <row r="441" ht="14.25" customHeight="1">
      <c r="E441" s="315"/>
      <c r="F441" s="315"/>
      <c r="G441" s="315"/>
      <c r="H441" s="315"/>
      <c r="I441" s="318"/>
      <c r="J441" s="54"/>
      <c r="K441" s="54"/>
    </row>
    <row r="442" ht="14.25" customHeight="1">
      <c r="E442" s="315"/>
      <c r="F442" s="315"/>
      <c r="G442" s="315"/>
      <c r="H442" s="315"/>
      <c r="I442" s="318"/>
      <c r="J442" s="54"/>
      <c r="K442" s="54"/>
    </row>
    <row r="443" ht="14.25" customHeight="1">
      <c r="E443" s="315"/>
      <c r="F443" s="315"/>
      <c r="G443" s="315"/>
      <c r="H443" s="315"/>
      <c r="I443" s="318"/>
      <c r="J443" s="54"/>
      <c r="K443" s="54"/>
    </row>
    <row r="444" ht="14.25" customHeight="1">
      <c r="E444" s="315"/>
      <c r="F444" s="315"/>
      <c r="G444" s="315"/>
      <c r="H444" s="315"/>
      <c r="I444" s="318"/>
      <c r="J444" s="54"/>
      <c r="K444" s="54"/>
    </row>
    <row r="445" ht="14.25" customHeight="1">
      <c r="E445" s="315"/>
      <c r="F445" s="315"/>
      <c r="G445" s="315"/>
      <c r="H445" s="315"/>
      <c r="I445" s="318"/>
      <c r="J445" s="54"/>
      <c r="K445" s="54"/>
    </row>
    <row r="446" ht="14.25" customHeight="1">
      <c r="E446" s="315"/>
      <c r="F446" s="315"/>
      <c r="G446" s="315"/>
      <c r="H446" s="315"/>
      <c r="I446" s="318"/>
      <c r="J446" s="54"/>
      <c r="K446" s="54"/>
    </row>
    <row r="447" ht="14.25" customHeight="1">
      <c r="E447" s="315"/>
      <c r="F447" s="315"/>
      <c r="G447" s="315"/>
      <c r="H447" s="315"/>
      <c r="I447" s="318"/>
      <c r="J447" s="54"/>
      <c r="K447" s="54"/>
    </row>
    <row r="448" ht="14.25" customHeight="1">
      <c r="E448" s="315"/>
      <c r="F448" s="315"/>
      <c r="G448" s="315"/>
      <c r="H448" s="315"/>
      <c r="I448" s="318"/>
      <c r="J448" s="54"/>
      <c r="K448" s="54"/>
    </row>
    <row r="449" ht="14.25" customHeight="1">
      <c r="E449" s="315"/>
      <c r="F449" s="315"/>
      <c r="G449" s="315"/>
      <c r="H449" s="315"/>
      <c r="I449" s="318"/>
      <c r="J449" s="54"/>
      <c r="K449" s="54"/>
    </row>
    <row r="450" ht="14.25" customHeight="1">
      <c r="E450" s="315"/>
      <c r="F450" s="315"/>
      <c r="G450" s="315"/>
      <c r="H450" s="315"/>
      <c r="I450" s="318"/>
      <c r="J450" s="54"/>
      <c r="K450" s="54"/>
    </row>
    <row r="451" ht="14.25" customHeight="1">
      <c r="E451" s="315"/>
      <c r="F451" s="315"/>
      <c r="G451" s="315"/>
      <c r="H451" s="315"/>
      <c r="I451" s="318"/>
      <c r="J451" s="54"/>
      <c r="K451" s="54"/>
    </row>
    <row r="452" ht="14.25" customHeight="1">
      <c r="E452" s="315"/>
      <c r="F452" s="315"/>
      <c r="G452" s="315"/>
      <c r="H452" s="315"/>
      <c r="I452" s="318"/>
      <c r="J452" s="54"/>
      <c r="K452" s="54"/>
    </row>
    <row r="453" ht="14.25" customHeight="1">
      <c r="E453" s="315"/>
      <c r="F453" s="315"/>
      <c r="G453" s="315"/>
      <c r="H453" s="315"/>
      <c r="I453" s="318"/>
      <c r="J453" s="54"/>
      <c r="K453" s="54"/>
    </row>
    <row r="454" ht="14.25" customHeight="1">
      <c r="E454" s="315"/>
      <c r="F454" s="315"/>
      <c r="G454" s="315"/>
      <c r="H454" s="315"/>
      <c r="I454" s="318"/>
      <c r="J454" s="54"/>
      <c r="K454" s="54"/>
    </row>
    <row r="455" ht="14.25" customHeight="1">
      <c r="E455" s="315"/>
      <c r="F455" s="315"/>
      <c r="G455" s="315"/>
      <c r="H455" s="315"/>
      <c r="I455" s="318"/>
      <c r="J455" s="54"/>
      <c r="K455" s="54"/>
    </row>
    <row r="456" ht="14.25" customHeight="1">
      <c r="E456" s="315"/>
      <c r="F456" s="315"/>
      <c r="G456" s="315"/>
      <c r="H456" s="315"/>
      <c r="I456" s="318"/>
      <c r="J456" s="54"/>
      <c r="K456" s="54"/>
    </row>
    <row r="457" ht="14.25" customHeight="1">
      <c r="E457" s="315"/>
      <c r="F457" s="315"/>
      <c r="G457" s="315"/>
      <c r="H457" s="315"/>
      <c r="I457" s="318"/>
      <c r="J457" s="54"/>
      <c r="K457" s="54"/>
    </row>
    <row r="458" ht="14.25" customHeight="1">
      <c r="E458" s="315"/>
      <c r="F458" s="315"/>
      <c r="G458" s="315"/>
      <c r="H458" s="315"/>
      <c r="I458" s="318"/>
      <c r="J458" s="54"/>
      <c r="K458" s="54"/>
    </row>
    <row r="459" ht="14.25" customHeight="1">
      <c r="E459" s="315"/>
      <c r="F459" s="315"/>
      <c r="G459" s="315"/>
      <c r="H459" s="315"/>
      <c r="I459" s="318"/>
      <c r="J459" s="54"/>
      <c r="K459" s="54"/>
    </row>
    <row r="460" ht="14.25" customHeight="1">
      <c r="E460" s="315"/>
      <c r="F460" s="315"/>
      <c r="G460" s="315"/>
      <c r="H460" s="315"/>
      <c r="I460" s="318"/>
      <c r="J460" s="54"/>
      <c r="K460" s="54"/>
    </row>
    <row r="461" ht="14.25" customHeight="1">
      <c r="E461" s="315"/>
      <c r="F461" s="315"/>
      <c r="G461" s="315"/>
      <c r="H461" s="315"/>
      <c r="I461" s="318"/>
      <c r="J461" s="54"/>
      <c r="K461" s="54"/>
    </row>
    <row r="462" ht="14.25" customHeight="1">
      <c r="E462" s="315"/>
      <c r="F462" s="315"/>
      <c r="G462" s="315"/>
      <c r="H462" s="315"/>
      <c r="I462" s="318"/>
      <c r="J462" s="54"/>
      <c r="K462" s="54"/>
    </row>
    <row r="463" ht="14.25" customHeight="1">
      <c r="E463" s="315"/>
      <c r="F463" s="315"/>
      <c r="G463" s="315"/>
      <c r="H463" s="315"/>
      <c r="I463" s="318"/>
      <c r="J463" s="54"/>
      <c r="K463" s="54"/>
    </row>
    <row r="464" ht="14.25" customHeight="1">
      <c r="E464" s="315"/>
      <c r="F464" s="315"/>
      <c r="G464" s="315"/>
      <c r="H464" s="315"/>
      <c r="I464" s="318"/>
      <c r="J464" s="54"/>
      <c r="K464" s="54"/>
    </row>
    <row r="465" ht="14.25" customHeight="1">
      <c r="E465" s="315"/>
      <c r="F465" s="315"/>
      <c r="G465" s="315"/>
      <c r="H465" s="315"/>
      <c r="I465" s="318"/>
      <c r="J465" s="54"/>
      <c r="K465" s="54"/>
    </row>
    <row r="466" ht="14.25" customHeight="1">
      <c r="E466" s="315"/>
      <c r="F466" s="315"/>
      <c r="G466" s="315"/>
      <c r="H466" s="315"/>
      <c r="I466" s="318"/>
      <c r="J466" s="54"/>
      <c r="K466" s="54"/>
    </row>
    <row r="467" ht="14.25" customHeight="1">
      <c r="E467" s="315"/>
      <c r="F467" s="315"/>
      <c r="G467" s="315"/>
      <c r="H467" s="315"/>
      <c r="I467" s="318"/>
      <c r="J467" s="54"/>
      <c r="K467" s="54"/>
    </row>
    <row r="468" ht="14.25" customHeight="1">
      <c r="E468" s="315"/>
      <c r="F468" s="315"/>
      <c r="G468" s="315"/>
      <c r="H468" s="315"/>
      <c r="I468" s="318"/>
      <c r="J468" s="54"/>
      <c r="K468" s="54"/>
    </row>
    <row r="469" ht="14.25" customHeight="1">
      <c r="E469" s="315"/>
      <c r="F469" s="315"/>
      <c r="G469" s="315"/>
      <c r="H469" s="315"/>
      <c r="I469" s="318"/>
      <c r="J469" s="54"/>
      <c r="K469" s="54"/>
    </row>
    <row r="470" ht="14.25" customHeight="1">
      <c r="E470" s="315"/>
      <c r="F470" s="315"/>
      <c r="G470" s="315"/>
      <c r="H470" s="315"/>
      <c r="I470" s="318"/>
      <c r="J470" s="54"/>
      <c r="K470" s="54"/>
    </row>
    <row r="471" ht="14.25" customHeight="1">
      <c r="E471" s="315"/>
      <c r="F471" s="315"/>
      <c r="G471" s="315"/>
      <c r="H471" s="315"/>
      <c r="I471" s="318"/>
      <c r="J471" s="54"/>
      <c r="K471" s="54"/>
    </row>
    <row r="472" ht="14.25" customHeight="1">
      <c r="E472" s="315"/>
      <c r="F472" s="315"/>
      <c r="G472" s="315"/>
      <c r="H472" s="315"/>
      <c r="I472" s="318"/>
      <c r="J472" s="54"/>
      <c r="K472" s="54"/>
    </row>
    <row r="473" ht="14.25" customHeight="1">
      <c r="E473" s="315"/>
      <c r="F473" s="315"/>
      <c r="G473" s="315"/>
      <c r="H473" s="315"/>
      <c r="I473" s="318"/>
      <c r="J473" s="54"/>
      <c r="K473" s="54"/>
    </row>
    <row r="474" ht="14.25" customHeight="1">
      <c r="E474" s="315"/>
      <c r="F474" s="315"/>
      <c r="G474" s="315"/>
      <c r="H474" s="315"/>
      <c r="I474" s="318"/>
      <c r="J474" s="54"/>
      <c r="K474" s="54"/>
    </row>
    <row r="475" ht="14.25" customHeight="1">
      <c r="E475" s="315"/>
      <c r="F475" s="315"/>
      <c r="G475" s="315"/>
      <c r="H475" s="315"/>
      <c r="I475" s="318"/>
      <c r="J475" s="54"/>
      <c r="K475" s="54"/>
    </row>
    <row r="476" ht="14.25" customHeight="1">
      <c r="E476" s="315"/>
      <c r="F476" s="315"/>
      <c r="G476" s="315"/>
      <c r="H476" s="315"/>
      <c r="I476" s="318"/>
      <c r="J476" s="54"/>
      <c r="K476" s="54"/>
    </row>
    <row r="477" ht="14.25" customHeight="1">
      <c r="E477" s="315"/>
      <c r="F477" s="315"/>
      <c r="G477" s="315"/>
      <c r="H477" s="315"/>
      <c r="I477" s="318"/>
      <c r="J477" s="54"/>
      <c r="K477" s="54"/>
    </row>
    <row r="478" ht="14.25" customHeight="1">
      <c r="E478" s="315"/>
      <c r="F478" s="315"/>
      <c r="G478" s="315"/>
      <c r="H478" s="315"/>
      <c r="I478" s="318"/>
      <c r="J478" s="54"/>
      <c r="K478" s="54"/>
    </row>
    <row r="479" ht="14.25" customHeight="1">
      <c r="E479" s="315"/>
      <c r="F479" s="315"/>
      <c r="G479" s="315"/>
      <c r="H479" s="315"/>
      <c r="I479" s="318"/>
      <c r="J479" s="54"/>
      <c r="K479" s="54"/>
    </row>
    <row r="480" ht="14.25" customHeight="1">
      <c r="E480" s="315"/>
      <c r="F480" s="315"/>
      <c r="G480" s="315"/>
      <c r="H480" s="315"/>
      <c r="I480" s="318"/>
      <c r="J480" s="54"/>
      <c r="K480" s="54"/>
    </row>
    <row r="481" ht="14.25" customHeight="1">
      <c r="E481" s="315"/>
      <c r="F481" s="315"/>
      <c r="G481" s="315"/>
      <c r="H481" s="315"/>
      <c r="I481" s="318"/>
      <c r="J481" s="54"/>
      <c r="K481" s="54"/>
    </row>
    <row r="482" ht="14.25" customHeight="1">
      <c r="E482" s="315"/>
      <c r="F482" s="315"/>
      <c r="G482" s="315"/>
      <c r="H482" s="315"/>
      <c r="I482" s="318"/>
      <c r="J482" s="54"/>
      <c r="K482" s="54"/>
    </row>
    <row r="483" ht="14.25" customHeight="1">
      <c r="E483" s="315"/>
      <c r="F483" s="315"/>
      <c r="G483" s="315"/>
      <c r="H483" s="315"/>
      <c r="I483" s="318"/>
      <c r="J483" s="54"/>
      <c r="K483" s="54"/>
    </row>
    <row r="484" ht="14.25" customHeight="1">
      <c r="E484" s="315"/>
      <c r="F484" s="315"/>
      <c r="G484" s="315"/>
      <c r="H484" s="315"/>
      <c r="I484" s="318"/>
      <c r="J484" s="54"/>
      <c r="K484" s="54"/>
    </row>
    <row r="485" ht="14.25" customHeight="1">
      <c r="E485" s="315"/>
      <c r="F485" s="315"/>
      <c r="G485" s="315"/>
      <c r="H485" s="315"/>
      <c r="I485" s="318"/>
      <c r="J485" s="54"/>
      <c r="K485" s="54"/>
    </row>
    <row r="486" ht="14.25" customHeight="1">
      <c r="E486" s="315"/>
      <c r="F486" s="315"/>
      <c r="G486" s="315"/>
      <c r="H486" s="315"/>
      <c r="I486" s="318"/>
      <c r="J486" s="54"/>
      <c r="K486" s="54"/>
    </row>
    <row r="487" ht="14.25" customHeight="1">
      <c r="E487" s="315"/>
      <c r="F487" s="315"/>
      <c r="G487" s="315"/>
      <c r="H487" s="315"/>
      <c r="I487" s="318"/>
      <c r="J487" s="54"/>
      <c r="K487" s="54"/>
    </row>
    <row r="488" ht="14.25" customHeight="1">
      <c r="E488" s="315"/>
      <c r="F488" s="315"/>
      <c r="G488" s="315"/>
      <c r="H488" s="315"/>
      <c r="I488" s="318"/>
      <c r="J488" s="54"/>
      <c r="K488" s="54"/>
    </row>
    <row r="489" ht="14.25" customHeight="1">
      <c r="E489" s="315"/>
      <c r="F489" s="315"/>
      <c r="G489" s="315"/>
      <c r="H489" s="315"/>
      <c r="I489" s="318"/>
      <c r="J489" s="54"/>
      <c r="K489" s="54"/>
    </row>
    <row r="490" ht="14.25" customHeight="1">
      <c r="E490" s="315"/>
      <c r="F490" s="315"/>
      <c r="G490" s="315"/>
      <c r="H490" s="315"/>
      <c r="I490" s="318"/>
      <c r="J490" s="54"/>
      <c r="K490" s="54"/>
    </row>
    <row r="491" ht="14.25" customHeight="1">
      <c r="E491" s="315"/>
      <c r="F491" s="315"/>
      <c r="G491" s="315"/>
      <c r="H491" s="315"/>
      <c r="I491" s="318"/>
      <c r="J491" s="54"/>
      <c r="K491" s="54"/>
    </row>
    <row r="492" ht="14.25" customHeight="1">
      <c r="E492" s="315"/>
      <c r="F492" s="315"/>
      <c r="G492" s="315"/>
      <c r="H492" s="315"/>
      <c r="I492" s="318"/>
      <c r="J492" s="54"/>
      <c r="K492" s="54"/>
    </row>
    <row r="493" ht="14.25" customHeight="1">
      <c r="E493" s="315"/>
      <c r="F493" s="315"/>
      <c r="G493" s="315"/>
      <c r="H493" s="315"/>
      <c r="I493" s="318"/>
      <c r="J493" s="54"/>
      <c r="K493" s="54"/>
    </row>
    <row r="494" ht="14.25" customHeight="1">
      <c r="E494" s="315"/>
      <c r="F494" s="315"/>
      <c r="G494" s="315"/>
      <c r="H494" s="315"/>
      <c r="I494" s="318"/>
      <c r="J494" s="54"/>
      <c r="K494" s="54"/>
    </row>
    <row r="495" ht="14.25" customHeight="1">
      <c r="E495" s="315"/>
      <c r="F495" s="315"/>
      <c r="G495" s="315"/>
      <c r="H495" s="315"/>
      <c r="I495" s="318"/>
      <c r="J495" s="54"/>
      <c r="K495" s="54"/>
    </row>
    <row r="496" ht="14.25" customHeight="1">
      <c r="E496" s="315"/>
      <c r="F496" s="315"/>
      <c r="G496" s="315"/>
      <c r="H496" s="315"/>
      <c r="I496" s="318"/>
      <c r="J496" s="54"/>
      <c r="K496" s="54"/>
    </row>
    <row r="497" ht="14.25" customHeight="1">
      <c r="E497" s="315"/>
      <c r="F497" s="315"/>
      <c r="G497" s="315"/>
      <c r="H497" s="315"/>
      <c r="I497" s="318"/>
      <c r="J497" s="54"/>
      <c r="K497" s="54"/>
    </row>
    <row r="498" ht="14.25" customHeight="1">
      <c r="E498" s="315"/>
      <c r="F498" s="315"/>
      <c r="G498" s="315"/>
      <c r="H498" s="315"/>
      <c r="I498" s="318"/>
      <c r="J498" s="54"/>
      <c r="K498" s="54"/>
    </row>
    <row r="499" ht="14.25" customHeight="1">
      <c r="E499" s="315"/>
      <c r="F499" s="315"/>
      <c r="G499" s="315"/>
      <c r="H499" s="315"/>
      <c r="I499" s="318"/>
      <c r="J499" s="54"/>
      <c r="K499" s="54"/>
    </row>
    <row r="500" ht="14.25" customHeight="1">
      <c r="E500" s="315"/>
      <c r="F500" s="315"/>
      <c r="G500" s="315"/>
      <c r="H500" s="315"/>
      <c r="I500" s="318"/>
      <c r="J500" s="54"/>
      <c r="K500" s="54"/>
    </row>
    <row r="501" ht="14.25" customHeight="1">
      <c r="E501" s="315"/>
      <c r="F501" s="315"/>
      <c r="G501" s="315"/>
      <c r="H501" s="315"/>
      <c r="I501" s="318"/>
      <c r="J501" s="54"/>
      <c r="K501" s="54"/>
    </row>
    <row r="502" ht="14.25" customHeight="1">
      <c r="E502" s="315"/>
      <c r="F502" s="315"/>
      <c r="G502" s="315"/>
      <c r="H502" s="315"/>
      <c r="I502" s="318"/>
      <c r="J502" s="54"/>
      <c r="K502" s="54"/>
    </row>
    <row r="503" ht="14.25" customHeight="1">
      <c r="E503" s="315"/>
      <c r="F503" s="315"/>
      <c r="G503" s="315"/>
      <c r="H503" s="315"/>
      <c r="I503" s="318"/>
      <c r="J503" s="54"/>
      <c r="K503" s="54"/>
    </row>
    <row r="504" ht="14.25" customHeight="1">
      <c r="E504" s="315"/>
      <c r="F504" s="315"/>
      <c r="G504" s="315"/>
      <c r="H504" s="315"/>
      <c r="I504" s="318"/>
      <c r="J504" s="54"/>
      <c r="K504" s="54"/>
    </row>
    <row r="505" ht="14.25" customHeight="1">
      <c r="E505" s="315"/>
      <c r="F505" s="315"/>
      <c r="G505" s="315"/>
      <c r="H505" s="315"/>
      <c r="I505" s="318"/>
      <c r="J505" s="54"/>
      <c r="K505" s="54"/>
    </row>
    <row r="506" ht="14.25" customHeight="1">
      <c r="E506" s="315"/>
      <c r="F506" s="315"/>
      <c r="G506" s="315"/>
      <c r="H506" s="315"/>
      <c r="I506" s="318"/>
      <c r="J506" s="54"/>
      <c r="K506" s="54"/>
    </row>
    <row r="507" ht="14.25" customHeight="1">
      <c r="E507" s="315"/>
      <c r="F507" s="315"/>
      <c r="G507" s="315"/>
      <c r="H507" s="315"/>
      <c r="I507" s="318"/>
      <c r="J507" s="54"/>
      <c r="K507" s="54"/>
    </row>
    <row r="508" ht="14.25" customHeight="1">
      <c r="E508" s="315"/>
      <c r="F508" s="315"/>
      <c r="G508" s="315"/>
      <c r="H508" s="315"/>
      <c r="I508" s="318"/>
      <c r="J508" s="54"/>
      <c r="K508" s="54"/>
    </row>
    <row r="509" ht="14.25" customHeight="1">
      <c r="E509" s="315"/>
      <c r="F509" s="315"/>
      <c r="G509" s="315"/>
      <c r="H509" s="315"/>
      <c r="I509" s="318"/>
      <c r="J509" s="54"/>
      <c r="K509" s="54"/>
    </row>
    <row r="510" ht="14.25" customHeight="1">
      <c r="E510" s="315"/>
      <c r="F510" s="315"/>
      <c r="G510" s="315"/>
      <c r="H510" s="315"/>
      <c r="I510" s="318"/>
      <c r="J510" s="54"/>
      <c r="K510" s="54"/>
    </row>
    <row r="511" ht="14.25" customHeight="1">
      <c r="E511" s="315"/>
      <c r="F511" s="315"/>
      <c r="G511" s="315"/>
      <c r="H511" s="315"/>
      <c r="I511" s="318"/>
      <c r="J511" s="54"/>
      <c r="K511" s="54"/>
    </row>
    <row r="512" ht="14.25" customHeight="1">
      <c r="E512" s="315"/>
      <c r="F512" s="315"/>
      <c r="G512" s="315"/>
      <c r="H512" s="315"/>
      <c r="I512" s="318"/>
      <c r="J512" s="54"/>
      <c r="K512" s="54"/>
    </row>
    <row r="513" ht="14.25" customHeight="1">
      <c r="E513" s="315"/>
      <c r="F513" s="315"/>
      <c r="G513" s="315"/>
      <c r="H513" s="315"/>
      <c r="I513" s="318"/>
      <c r="J513" s="54"/>
      <c r="K513" s="54"/>
    </row>
    <row r="514" ht="14.25" customHeight="1">
      <c r="E514" s="315"/>
      <c r="F514" s="315"/>
      <c r="G514" s="315"/>
      <c r="H514" s="315"/>
      <c r="I514" s="318"/>
      <c r="J514" s="54"/>
      <c r="K514" s="54"/>
    </row>
    <row r="515" ht="14.25" customHeight="1">
      <c r="E515" s="315"/>
      <c r="F515" s="315"/>
      <c r="G515" s="315"/>
      <c r="H515" s="315"/>
      <c r="I515" s="318"/>
      <c r="J515" s="54"/>
      <c r="K515" s="54"/>
    </row>
    <row r="516" ht="14.25" customHeight="1">
      <c r="E516" s="315"/>
      <c r="F516" s="315"/>
      <c r="G516" s="315"/>
      <c r="H516" s="315"/>
      <c r="I516" s="318"/>
      <c r="J516" s="54"/>
      <c r="K516" s="54"/>
    </row>
    <row r="517" ht="14.25" customHeight="1">
      <c r="E517" s="315"/>
      <c r="F517" s="315"/>
      <c r="G517" s="315"/>
      <c r="H517" s="315"/>
      <c r="I517" s="318"/>
      <c r="J517" s="54"/>
      <c r="K517" s="54"/>
    </row>
    <row r="518" ht="14.25" customHeight="1">
      <c r="E518" s="315"/>
      <c r="F518" s="315"/>
      <c r="G518" s="315"/>
      <c r="H518" s="315"/>
      <c r="I518" s="318"/>
      <c r="J518" s="54"/>
      <c r="K518" s="54"/>
    </row>
    <row r="519" ht="14.25" customHeight="1">
      <c r="E519" s="315"/>
      <c r="F519" s="315"/>
      <c r="G519" s="315"/>
      <c r="H519" s="315"/>
      <c r="I519" s="318"/>
      <c r="J519" s="54"/>
      <c r="K519" s="54"/>
    </row>
    <row r="520" ht="14.25" customHeight="1">
      <c r="E520" s="315"/>
      <c r="F520" s="315"/>
      <c r="G520" s="315"/>
      <c r="H520" s="315"/>
      <c r="I520" s="318"/>
      <c r="J520" s="54"/>
      <c r="K520" s="54"/>
    </row>
    <row r="521" ht="14.25" customHeight="1">
      <c r="E521" s="315"/>
      <c r="F521" s="315"/>
      <c r="G521" s="315"/>
      <c r="H521" s="315"/>
      <c r="I521" s="318"/>
      <c r="J521" s="54"/>
      <c r="K521" s="54"/>
    </row>
    <row r="522" ht="14.25" customHeight="1">
      <c r="E522" s="315"/>
      <c r="F522" s="315"/>
      <c r="G522" s="315"/>
      <c r="H522" s="315"/>
      <c r="I522" s="318"/>
      <c r="J522" s="54"/>
      <c r="K522" s="54"/>
    </row>
    <row r="523" ht="14.25" customHeight="1">
      <c r="E523" s="315"/>
      <c r="F523" s="315"/>
      <c r="G523" s="315"/>
      <c r="H523" s="315"/>
      <c r="I523" s="318"/>
      <c r="J523" s="54"/>
      <c r="K523" s="54"/>
    </row>
    <row r="524" ht="14.25" customHeight="1">
      <c r="E524" s="315"/>
      <c r="F524" s="315"/>
      <c r="G524" s="315"/>
      <c r="H524" s="315"/>
      <c r="I524" s="318"/>
      <c r="J524" s="54"/>
      <c r="K524" s="54"/>
    </row>
    <row r="525" ht="14.25" customHeight="1">
      <c r="E525" s="315"/>
      <c r="F525" s="315"/>
      <c r="G525" s="315"/>
      <c r="H525" s="315"/>
      <c r="I525" s="318"/>
      <c r="J525" s="54"/>
      <c r="K525" s="54"/>
    </row>
    <row r="526" ht="14.25" customHeight="1">
      <c r="E526" s="315"/>
      <c r="F526" s="315"/>
      <c r="G526" s="315"/>
      <c r="H526" s="315"/>
      <c r="I526" s="318"/>
      <c r="J526" s="54"/>
      <c r="K526" s="54"/>
    </row>
    <row r="527" ht="14.25" customHeight="1">
      <c r="E527" s="315"/>
      <c r="F527" s="315"/>
      <c r="G527" s="315"/>
      <c r="H527" s="315"/>
      <c r="I527" s="318"/>
      <c r="J527" s="54"/>
      <c r="K527" s="54"/>
    </row>
    <row r="528" ht="14.25" customHeight="1">
      <c r="E528" s="315"/>
      <c r="F528" s="315"/>
      <c r="G528" s="315"/>
      <c r="H528" s="315"/>
      <c r="I528" s="318"/>
      <c r="J528" s="54"/>
      <c r="K528" s="54"/>
    </row>
    <row r="529" ht="14.25" customHeight="1">
      <c r="E529" s="315"/>
      <c r="F529" s="315"/>
      <c r="G529" s="315"/>
      <c r="H529" s="315"/>
      <c r="I529" s="318"/>
      <c r="J529" s="54"/>
      <c r="K529" s="54"/>
    </row>
    <row r="530" ht="14.25" customHeight="1">
      <c r="E530" s="315"/>
      <c r="F530" s="315"/>
      <c r="G530" s="315"/>
      <c r="H530" s="315"/>
      <c r="I530" s="318"/>
      <c r="J530" s="54"/>
      <c r="K530" s="54"/>
    </row>
    <row r="531" ht="14.25" customHeight="1">
      <c r="E531" s="315"/>
      <c r="F531" s="315"/>
      <c r="G531" s="315"/>
      <c r="H531" s="315"/>
      <c r="I531" s="318"/>
      <c r="J531" s="54"/>
      <c r="K531" s="54"/>
    </row>
    <row r="532" ht="14.25" customHeight="1">
      <c r="E532" s="315"/>
      <c r="F532" s="315"/>
      <c r="G532" s="315"/>
      <c r="H532" s="315"/>
      <c r="I532" s="318"/>
      <c r="J532" s="54"/>
      <c r="K532" s="54"/>
    </row>
    <row r="533" ht="14.25" customHeight="1">
      <c r="E533" s="315"/>
      <c r="F533" s="315"/>
      <c r="G533" s="315"/>
      <c r="H533" s="315"/>
      <c r="I533" s="318"/>
      <c r="J533" s="54"/>
      <c r="K533" s="54"/>
    </row>
    <row r="534" ht="14.25" customHeight="1">
      <c r="E534" s="315"/>
      <c r="F534" s="315"/>
      <c r="G534" s="315"/>
      <c r="H534" s="315"/>
      <c r="I534" s="318"/>
      <c r="J534" s="54"/>
      <c r="K534" s="54"/>
    </row>
    <row r="535" ht="14.25" customHeight="1">
      <c r="E535" s="315"/>
      <c r="F535" s="315"/>
      <c r="G535" s="315"/>
      <c r="H535" s="315"/>
      <c r="I535" s="318"/>
      <c r="J535" s="54"/>
      <c r="K535" s="54"/>
    </row>
    <row r="536" ht="14.25" customHeight="1">
      <c r="E536" s="315"/>
      <c r="F536" s="315"/>
      <c r="G536" s="315"/>
      <c r="H536" s="315"/>
      <c r="I536" s="318"/>
      <c r="J536" s="54"/>
      <c r="K536" s="54"/>
    </row>
    <row r="537" ht="14.25" customHeight="1">
      <c r="E537" s="315"/>
      <c r="F537" s="315"/>
      <c r="G537" s="315"/>
      <c r="H537" s="315"/>
      <c r="I537" s="318"/>
      <c r="J537" s="54"/>
      <c r="K537" s="54"/>
    </row>
    <row r="538" ht="14.25" customHeight="1">
      <c r="E538" s="315"/>
      <c r="F538" s="315"/>
      <c r="G538" s="315"/>
      <c r="H538" s="315"/>
      <c r="I538" s="318"/>
      <c r="J538" s="54"/>
      <c r="K538" s="54"/>
    </row>
    <row r="539" ht="14.25" customHeight="1">
      <c r="E539" s="315"/>
      <c r="F539" s="315"/>
      <c r="G539" s="315"/>
      <c r="H539" s="315"/>
      <c r="I539" s="318"/>
      <c r="J539" s="54"/>
      <c r="K539" s="54"/>
    </row>
    <row r="540" ht="14.25" customHeight="1">
      <c r="E540" s="315"/>
      <c r="F540" s="315"/>
      <c r="G540" s="315"/>
      <c r="H540" s="315"/>
      <c r="I540" s="318"/>
      <c r="J540" s="54"/>
      <c r="K540" s="54"/>
    </row>
    <row r="541" ht="14.25" customHeight="1">
      <c r="E541" s="315"/>
      <c r="F541" s="315"/>
      <c r="G541" s="315"/>
      <c r="H541" s="315"/>
      <c r="I541" s="318"/>
      <c r="J541" s="54"/>
      <c r="K541" s="54"/>
    </row>
    <row r="542" ht="14.25" customHeight="1">
      <c r="E542" s="315"/>
      <c r="F542" s="315"/>
      <c r="G542" s="315"/>
      <c r="H542" s="315"/>
      <c r="I542" s="318"/>
      <c r="J542" s="54"/>
      <c r="K542" s="54"/>
    </row>
    <row r="543" ht="14.25" customHeight="1">
      <c r="E543" s="315"/>
      <c r="F543" s="315"/>
      <c r="G543" s="315"/>
      <c r="H543" s="315"/>
      <c r="I543" s="318"/>
      <c r="J543" s="54"/>
      <c r="K543" s="54"/>
    </row>
    <row r="544" ht="14.25" customHeight="1">
      <c r="E544" s="315"/>
      <c r="F544" s="315"/>
      <c r="G544" s="315"/>
      <c r="H544" s="315"/>
      <c r="I544" s="318"/>
      <c r="J544" s="54"/>
      <c r="K544" s="54"/>
    </row>
    <row r="545" ht="14.25" customHeight="1">
      <c r="E545" s="315"/>
      <c r="F545" s="315"/>
      <c r="G545" s="315"/>
      <c r="H545" s="315"/>
      <c r="I545" s="318"/>
      <c r="J545" s="54"/>
      <c r="K545" s="54"/>
    </row>
    <row r="546" ht="14.25" customHeight="1">
      <c r="E546" s="315"/>
      <c r="F546" s="315"/>
      <c r="G546" s="315"/>
      <c r="H546" s="315"/>
      <c r="I546" s="318"/>
      <c r="J546" s="54"/>
      <c r="K546" s="54"/>
    </row>
    <row r="547" ht="14.25" customHeight="1">
      <c r="E547" s="315"/>
      <c r="F547" s="315"/>
      <c r="G547" s="315"/>
      <c r="H547" s="315"/>
      <c r="I547" s="318"/>
      <c r="J547" s="54"/>
      <c r="K547" s="54"/>
    </row>
    <row r="548" ht="14.25" customHeight="1">
      <c r="E548" s="315"/>
      <c r="F548" s="315"/>
      <c r="G548" s="315"/>
      <c r="H548" s="315"/>
      <c r="I548" s="318"/>
      <c r="J548" s="54"/>
      <c r="K548" s="54"/>
    </row>
    <row r="549" ht="14.25" customHeight="1">
      <c r="E549" s="315"/>
      <c r="F549" s="315"/>
      <c r="G549" s="315"/>
      <c r="H549" s="315"/>
      <c r="I549" s="318"/>
      <c r="J549" s="54"/>
      <c r="K549" s="54"/>
    </row>
    <row r="550" ht="14.25" customHeight="1">
      <c r="E550" s="315"/>
      <c r="F550" s="315"/>
      <c r="G550" s="315"/>
      <c r="H550" s="315"/>
      <c r="I550" s="318"/>
      <c r="J550" s="54"/>
      <c r="K550" s="54"/>
    </row>
    <row r="551" ht="14.25" customHeight="1">
      <c r="E551" s="315"/>
      <c r="F551" s="315"/>
      <c r="G551" s="315"/>
      <c r="H551" s="315"/>
      <c r="I551" s="318"/>
      <c r="J551" s="54"/>
      <c r="K551" s="54"/>
    </row>
    <row r="552" ht="14.25" customHeight="1">
      <c r="E552" s="315"/>
      <c r="F552" s="315"/>
      <c r="G552" s="315"/>
      <c r="H552" s="315"/>
      <c r="I552" s="318"/>
      <c r="J552" s="54"/>
      <c r="K552" s="54"/>
    </row>
    <row r="553" ht="14.25" customHeight="1">
      <c r="E553" s="315"/>
      <c r="F553" s="315"/>
      <c r="G553" s="315"/>
      <c r="H553" s="315"/>
      <c r="I553" s="318"/>
      <c r="J553" s="54"/>
      <c r="K553" s="54"/>
    </row>
    <row r="554" ht="14.25" customHeight="1">
      <c r="E554" s="315"/>
      <c r="F554" s="315"/>
      <c r="G554" s="315"/>
      <c r="H554" s="315"/>
      <c r="I554" s="318"/>
      <c r="J554" s="54"/>
      <c r="K554" s="54"/>
    </row>
    <row r="555" ht="14.25" customHeight="1">
      <c r="E555" s="315"/>
      <c r="F555" s="315"/>
      <c r="G555" s="315"/>
      <c r="H555" s="315"/>
      <c r="I555" s="318"/>
      <c r="J555" s="54"/>
      <c r="K555" s="54"/>
    </row>
    <row r="556" ht="14.25" customHeight="1">
      <c r="E556" s="315"/>
      <c r="F556" s="315"/>
      <c r="G556" s="315"/>
      <c r="H556" s="315"/>
      <c r="I556" s="318"/>
      <c r="J556" s="54"/>
      <c r="K556" s="54"/>
    </row>
    <row r="557" ht="14.25" customHeight="1">
      <c r="E557" s="315"/>
      <c r="F557" s="315"/>
      <c r="G557" s="315"/>
      <c r="H557" s="315"/>
      <c r="I557" s="318"/>
      <c r="J557" s="54"/>
      <c r="K557" s="54"/>
    </row>
    <row r="558" ht="14.25" customHeight="1">
      <c r="E558" s="315"/>
      <c r="F558" s="315"/>
      <c r="G558" s="315"/>
      <c r="H558" s="315"/>
      <c r="I558" s="318"/>
      <c r="J558" s="54"/>
      <c r="K558" s="54"/>
    </row>
    <row r="559" ht="14.25" customHeight="1">
      <c r="E559" s="315"/>
      <c r="F559" s="315"/>
      <c r="G559" s="315"/>
      <c r="H559" s="315"/>
      <c r="I559" s="318"/>
      <c r="J559" s="54"/>
      <c r="K559" s="54"/>
    </row>
    <row r="560" ht="14.25" customHeight="1">
      <c r="E560" s="315"/>
      <c r="F560" s="315"/>
      <c r="G560" s="315"/>
      <c r="H560" s="315"/>
      <c r="I560" s="318"/>
      <c r="J560" s="54"/>
      <c r="K560" s="54"/>
    </row>
    <row r="561" ht="14.25" customHeight="1">
      <c r="E561" s="315"/>
      <c r="F561" s="315"/>
      <c r="G561" s="315"/>
      <c r="H561" s="315"/>
      <c r="I561" s="318"/>
      <c r="J561" s="54"/>
      <c r="K561" s="54"/>
    </row>
    <row r="562" ht="14.25" customHeight="1">
      <c r="E562" s="315"/>
      <c r="F562" s="315"/>
      <c r="G562" s="315"/>
      <c r="H562" s="315"/>
      <c r="I562" s="318"/>
      <c r="J562" s="54"/>
      <c r="K562" s="54"/>
    </row>
    <row r="563" ht="14.25" customHeight="1">
      <c r="E563" s="315"/>
      <c r="F563" s="315"/>
      <c r="G563" s="315"/>
      <c r="H563" s="315"/>
      <c r="I563" s="318"/>
      <c r="J563" s="54"/>
      <c r="K563" s="54"/>
    </row>
    <row r="564" ht="14.25" customHeight="1">
      <c r="E564" s="315"/>
      <c r="F564" s="315"/>
      <c r="G564" s="315"/>
      <c r="H564" s="315"/>
      <c r="I564" s="318"/>
      <c r="J564" s="54"/>
      <c r="K564" s="54"/>
    </row>
    <row r="565" ht="14.25" customHeight="1">
      <c r="E565" s="315"/>
      <c r="F565" s="315"/>
      <c r="G565" s="315"/>
      <c r="H565" s="315"/>
      <c r="I565" s="318"/>
      <c r="J565" s="54"/>
      <c r="K565" s="54"/>
    </row>
    <row r="566" ht="14.25" customHeight="1">
      <c r="E566" s="315"/>
      <c r="F566" s="315"/>
      <c r="G566" s="315"/>
      <c r="H566" s="315"/>
      <c r="I566" s="318"/>
      <c r="J566" s="54"/>
      <c r="K566" s="54"/>
    </row>
    <row r="567" ht="14.25" customHeight="1">
      <c r="E567" s="315"/>
      <c r="F567" s="315"/>
      <c r="G567" s="315"/>
      <c r="H567" s="315"/>
      <c r="I567" s="318"/>
      <c r="J567" s="54"/>
      <c r="K567" s="54"/>
    </row>
    <row r="568" ht="14.25" customHeight="1">
      <c r="E568" s="315"/>
      <c r="F568" s="315"/>
      <c r="G568" s="315"/>
      <c r="H568" s="315"/>
      <c r="I568" s="318"/>
      <c r="J568" s="54"/>
      <c r="K568" s="54"/>
    </row>
    <row r="569" ht="14.25" customHeight="1">
      <c r="E569" s="315"/>
      <c r="F569" s="315"/>
      <c r="G569" s="315"/>
      <c r="H569" s="315"/>
      <c r="I569" s="318"/>
      <c r="J569" s="54"/>
      <c r="K569" s="54"/>
    </row>
    <row r="570" ht="14.25" customHeight="1">
      <c r="E570" s="315"/>
      <c r="F570" s="315"/>
      <c r="G570" s="315"/>
      <c r="H570" s="315"/>
      <c r="I570" s="318"/>
      <c r="J570" s="54"/>
      <c r="K570" s="54"/>
    </row>
    <row r="571" ht="14.25" customHeight="1">
      <c r="E571" s="315"/>
      <c r="F571" s="315"/>
      <c r="G571" s="315"/>
      <c r="H571" s="315"/>
      <c r="I571" s="318"/>
      <c r="J571" s="54"/>
      <c r="K571" s="54"/>
    </row>
    <row r="572" ht="14.25" customHeight="1">
      <c r="E572" s="315"/>
      <c r="F572" s="315"/>
      <c r="G572" s="315"/>
      <c r="H572" s="315"/>
      <c r="I572" s="318"/>
      <c r="J572" s="54"/>
      <c r="K572" s="54"/>
    </row>
    <row r="573" ht="14.25" customHeight="1">
      <c r="E573" s="315"/>
      <c r="F573" s="315"/>
      <c r="G573" s="315"/>
      <c r="H573" s="315"/>
      <c r="I573" s="318"/>
      <c r="J573" s="54"/>
      <c r="K573" s="54"/>
    </row>
    <row r="574" ht="14.25" customHeight="1">
      <c r="E574" s="315"/>
      <c r="F574" s="315"/>
      <c r="G574" s="315"/>
      <c r="H574" s="315"/>
      <c r="I574" s="318"/>
      <c r="J574" s="54"/>
      <c r="K574" s="54"/>
    </row>
    <row r="575" ht="14.25" customHeight="1">
      <c r="E575" s="315"/>
      <c r="F575" s="315"/>
      <c r="G575" s="315"/>
      <c r="H575" s="315"/>
      <c r="I575" s="318"/>
      <c r="J575" s="54"/>
      <c r="K575" s="54"/>
    </row>
    <row r="576" ht="14.25" customHeight="1">
      <c r="E576" s="315"/>
      <c r="F576" s="315"/>
      <c r="G576" s="315"/>
      <c r="H576" s="315"/>
      <c r="I576" s="318"/>
      <c r="J576" s="54"/>
      <c r="K576" s="54"/>
    </row>
    <row r="577" ht="14.25" customHeight="1">
      <c r="E577" s="315"/>
      <c r="F577" s="315"/>
      <c r="G577" s="315"/>
      <c r="H577" s="315"/>
      <c r="I577" s="318"/>
      <c r="J577" s="54"/>
      <c r="K577" s="54"/>
    </row>
    <row r="578" ht="14.25" customHeight="1">
      <c r="E578" s="315"/>
      <c r="F578" s="315"/>
      <c r="G578" s="315"/>
      <c r="H578" s="315"/>
      <c r="I578" s="318"/>
      <c r="J578" s="54"/>
      <c r="K578" s="54"/>
    </row>
    <row r="579" ht="14.25" customHeight="1">
      <c r="E579" s="315"/>
      <c r="F579" s="315"/>
      <c r="G579" s="315"/>
      <c r="H579" s="315"/>
      <c r="I579" s="318"/>
      <c r="J579" s="54"/>
      <c r="K579" s="54"/>
    </row>
    <row r="580" ht="14.25" customHeight="1">
      <c r="E580" s="315"/>
      <c r="F580" s="315"/>
      <c r="G580" s="315"/>
      <c r="H580" s="315"/>
      <c r="I580" s="318"/>
      <c r="J580" s="54"/>
      <c r="K580" s="54"/>
    </row>
    <row r="581" ht="14.25" customHeight="1">
      <c r="E581" s="315"/>
      <c r="F581" s="315"/>
      <c r="G581" s="315"/>
      <c r="H581" s="315"/>
      <c r="I581" s="318"/>
      <c r="J581" s="54"/>
      <c r="K581" s="54"/>
    </row>
    <row r="582" ht="14.25" customHeight="1">
      <c r="E582" s="315"/>
      <c r="F582" s="315"/>
      <c r="G582" s="315"/>
      <c r="H582" s="315"/>
      <c r="I582" s="318"/>
      <c r="J582" s="54"/>
      <c r="K582" s="54"/>
    </row>
    <row r="583" ht="14.25" customHeight="1">
      <c r="E583" s="315"/>
      <c r="F583" s="315"/>
      <c r="G583" s="315"/>
      <c r="H583" s="315"/>
      <c r="I583" s="318"/>
      <c r="J583" s="54"/>
      <c r="K583" s="54"/>
    </row>
    <row r="584" ht="14.25" customHeight="1">
      <c r="E584" s="315"/>
      <c r="F584" s="315"/>
      <c r="G584" s="315"/>
      <c r="H584" s="315"/>
      <c r="I584" s="318"/>
      <c r="J584" s="54"/>
      <c r="K584" s="54"/>
    </row>
    <row r="585" ht="14.25" customHeight="1">
      <c r="E585" s="315"/>
      <c r="F585" s="315"/>
      <c r="G585" s="315"/>
      <c r="H585" s="315"/>
      <c r="I585" s="318"/>
      <c r="J585" s="54"/>
      <c r="K585" s="54"/>
    </row>
    <row r="586" ht="14.25" customHeight="1">
      <c r="E586" s="315"/>
      <c r="F586" s="315"/>
      <c r="G586" s="315"/>
      <c r="H586" s="315"/>
      <c r="I586" s="318"/>
      <c r="J586" s="54"/>
      <c r="K586" s="54"/>
    </row>
    <row r="587" ht="14.25" customHeight="1">
      <c r="E587" s="315"/>
      <c r="F587" s="315"/>
      <c r="G587" s="315"/>
      <c r="H587" s="315"/>
      <c r="I587" s="318"/>
      <c r="J587" s="54"/>
      <c r="K587" s="54"/>
    </row>
    <row r="588" ht="14.25" customHeight="1">
      <c r="E588" s="315"/>
      <c r="F588" s="315"/>
      <c r="G588" s="315"/>
      <c r="H588" s="315"/>
      <c r="I588" s="318"/>
      <c r="J588" s="54"/>
      <c r="K588" s="54"/>
    </row>
    <row r="589" ht="14.25" customHeight="1">
      <c r="E589" s="315"/>
      <c r="F589" s="315"/>
      <c r="G589" s="315"/>
      <c r="H589" s="315"/>
      <c r="I589" s="318"/>
      <c r="J589" s="54"/>
      <c r="K589" s="54"/>
    </row>
    <row r="590" ht="14.25" customHeight="1">
      <c r="E590" s="315"/>
      <c r="F590" s="315"/>
      <c r="G590" s="315"/>
      <c r="H590" s="315"/>
      <c r="I590" s="318"/>
      <c r="J590" s="54"/>
      <c r="K590" s="54"/>
    </row>
    <row r="591" ht="14.25" customHeight="1">
      <c r="E591" s="315"/>
      <c r="F591" s="315"/>
      <c r="G591" s="315"/>
      <c r="H591" s="315"/>
      <c r="I591" s="318"/>
      <c r="J591" s="54"/>
      <c r="K591" s="54"/>
    </row>
    <row r="592" ht="14.25" customHeight="1">
      <c r="E592" s="315"/>
      <c r="F592" s="315"/>
      <c r="G592" s="315"/>
      <c r="H592" s="315"/>
      <c r="I592" s="318"/>
      <c r="J592" s="54"/>
      <c r="K592" s="54"/>
    </row>
    <row r="593" ht="14.25" customHeight="1">
      <c r="E593" s="315"/>
      <c r="F593" s="315"/>
      <c r="G593" s="315"/>
      <c r="H593" s="315"/>
      <c r="I593" s="318"/>
      <c r="J593" s="54"/>
      <c r="K593" s="54"/>
    </row>
    <row r="594" ht="14.25" customHeight="1">
      <c r="E594" s="315"/>
      <c r="F594" s="315"/>
      <c r="G594" s="315"/>
      <c r="H594" s="315"/>
      <c r="I594" s="318"/>
      <c r="J594" s="54"/>
      <c r="K594" s="54"/>
    </row>
    <row r="595" ht="14.25" customHeight="1">
      <c r="E595" s="315"/>
      <c r="F595" s="315"/>
      <c r="G595" s="315"/>
      <c r="H595" s="315"/>
      <c r="I595" s="318"/>
      <c r="J595" s="54"/>
      <c r="K595" s="54"/>
    </row>
    <row r="596" ht="14.25" customHeight="1">
      <c r="E596" s="315"/>
      <c r="F596" s="315"/>
      <c r="G596" s="315"/>
      <c r="H596" s="315"/>
      <c r="I596" s="318"/>
      <c r="J596" s="54"/>
      <c r="K596" s="54"/>
    </row>
    <row r="597" ht="14.25" customHeight="1">
      <c r="E597" s="315"/>
      <c r="F597" s="315"/>
      <c r="G597" s="315"/>
      <c r="H597" s="315"/>
      <c r="I597" s="318"/>
      <c r="J597" s="54"/>
      <c r="K597" s="54"/>
    </row>
    <row r="598" ht="14.25" customHeight="1">
      <c r="E598" s="315"/>
      <c r="F598" s="315"/>
      <c r="G598" s="315"/>
      <c r="H598" s="315"/>
      <c r="I598" s="318"/>
      <c r="J598" s="54"/>
      <c r="K598" s="54"/>
    </row>
    <row r="599" ht="14.25" customHeight="1">
      <c r="E599" s="315"/>
      <c r="F599" s="315"/>
      <c r="G599" s="315"/>
      <c r="H599" s="315"/>
      <c r="I599" s="318"/>
      <c r="J599" s="54"/>
      <c r="K599" s="54"/>
    </row>
    <row r="600" ht="14.25" customHeight="1">
      <c r="E600" s="315"/>
      <c r="F600" s="315"/>
      <c r="G600" s="315"/>
      <c r="H600" s="315"/>
      <c r="I600" s="318"/>
      <c r="J600" s="54"/>
      <c r="K600" s="54"/>
    </row>
    <row r="601" ht="14.25" customHeight="1">
      <c r="E601" s="315"/>
      <c r="F601" s="315"/>
      <c r="G601" s="315"/>
      <c r="H601" s="315"/>
      <c r="I601" s="318"/>
      <c r="J601" s="54"/>
      <c r="K601" s="54"/>
    </row>
    <row r="602" ht="14.25" customHeight="1">
      <c r="E602" s="315"/>
      <c r="F602" s="315"/>
      <c r="G602" s="315"/>
      <c r="H602" s="315"/>
      <c r="I602" s="318"/>
      <c r="J602" s="54"/>
      <c r="K602" s="54"/>
    </row>
    <row r="603" ht="14.25" customHeight="1">
      <c r="E603" s="315"/>
      <c r="F603" s="315"/>
      <c r="G603" s="315"/>
      <c r="H603" s="315"/>
      <c r="I603" s="318"/>
      <c r="J603" s="54"/>
      <c r="K603" s="54"/>
    </row>
    <row r="604" ht="14.25" customHeight="1">
      <c r="E604" s="315"/>
      <c r="F604" s="315"/>
      <c r="G604" s="315"/>
      <c r="H604" s="315"/>
      <c r="I604" s="318"/>
      <c r="J604" s="54"/>
      <c r="K604" s="54"/>
    </row>
    <row r="605" ht="14.25" customHeight="1">
      <c r="E605" s="315"/>
      <c r="F605" s="315"/>
      <c r="G605" s="315"/>
      <c r="H605" s="315"/>
      <c r="I605" s="318"/>
      <c r="J605" s="54"/>
      <c r="K605" s="54"/>
    </row>
    <row r="606" ht="14.25" customHeight="1">
      <c r="E606" s="315"/>
      <c r="F606" s="315"/>
      <c r="G606" s="315"/>
      <c r="H606" s="315"/>
      <c r="I606" s="318"/>
      <c r="J606" s="54"/>
      <c r="K606" s="54"/>
    </row>
    <row r="607" ht="14.25" customHeight="1">
      <c r="E607" s="315"/>
      <c r="F607" s="315"/>
      <c r="G607" s="315"/>
      <c r="H607" s="315"/>
      <c r="I607" s="318"/>
      <c r="J607" s="54"/>
      <c r="K607" s="54"/>
    </row>
    <row r="608" ht="14.25" customHeight="1">
      <c r="E608" s="315"/>
      <c r="F608" s="315"/>
      <c r="G608" s="315"/>
      <c r="H608" s="315"/>
      <c r="I608" s="318"/>
      <c r="J608" s="54"/>
      <c r="K608" s="54"/>
    </row>
    <row r="609" ht="14.25" customHeight="1">
      <c r="E609" s="315"/>
      <c r="F609" s="315"/>
      <c r="G609" s="315"/>
      <c r="H609" s="315"/>
      <c r="I609" s="318"/>
      <c r="J609" s="54"/>
      <c r="K609" s="54"/>
    </row>
    <row r="610" ht="14.25" customHeight="1">
      <c r="E610" s="315"/>
      <c r="F610" s="315"/>
      <c r="G610" s="315"/>
      <c r="H610" s="315"/>
      <c r="I610" s="318"/>
      <c r="J610" s="54"/>
      <c r="K610" s="54"/>
    </row>
    <row r="611" ht="14.25" customHeight="1">
      <c r="E611" s="315"/>
      <c r="F611" s="315"/>
      <c r="G611" s="315"/>
      <c r="H611" s="315"/>
      <c r="I611" s="318"/>
      <c r="J611" s="54"/>
      <c r="K611" s="54"/>
    </row>
    <row r="612" ht="14.25" customHeight="1">
      <c r="E612" s="315"/>
      <c r="F612" s="315"/>
      <c r="G612" s="315"/>
      <c r="H612" s="315"/>
      <c r="I612" s="318"/>
      <c r="J612" s="54"/>
      <c r="K612" s="54"/>
    </row>
    <row r="613" ht="14.25" customHeight="1">
      <c r="E613" s="315"/>
      <c r="F613" s="315"/>
      <c r="G613" s="315"/>
      <c r="H613" s="315"/>
      <c r="I613" s="318"/>
      <c r="J613" s="54"/>
      <c r="K613" s="54"/>
    </row>
    <row r="614" ht="14.25" customHeight="1">
      <c r="E614" s="315"/>
      <c r="F614" s="315"/>
      <c r="G614" s="315"/>
      <c r="H614" s="315"/>
      <c r="I614" s="318"/>
      <c r="J614" s="54"/>
      <c r="K614" s="54"/>
    </row>
    <row r="615" ht="14.25" customHeight="1">
      <c r="E615" s="315"/>
      <c r="F615" s="315"/>
      <c r="G615" s="315"/>
      <c r="H615" s="315"/>
      <c r="I615" s="318"/>
      <c r="J615" s="54"/>
      <c r="K615" s="54"/>
    </row>
    <row r="616" ht="14.25" customHeight="1">
      <c r="E616" s="315"/>
      <c r="F616" s="315"/>
      <c r="G616" s="315"/>
      <c r="H616" s="315"/>
      <c r="I616" s="318"/>
      <c r="J616" s="54"/>
      <c r="K616" s="54"/>
    </row>
    <row r="617" ht="14.25" customHeight="1">
      <c r="E617" s="315"/>
      <c r="F617" s="315"/>
      <c r="G617" s="315"/>
      <c r="H617" s="315"/>
      <c r="I617" s="318"/>
      <c r="J617" s="54"/>
      <c r="K617" s="54"/>
    </row>
    <row r="618" ht="14.25" customHeight="1">
      <c r="E618" s="315"/>
      <c r="F618" s="315"/>
      <c r="G618" s="315"/>
      <c r="H618" s="315"/>
      <c r="I618" s="318"/>
      <c r="J618" s="54"/>
      <c r="K618" s="54"/>
    </row>
    <row r="619" ht="14.25" customHeight="1">
      <c r="E619" s="315"/>
      <c r="F619" s="315"/>
      <c r="G619" s="315"/>
      <c r="H619" s="315"/>
      <c r="I619" s="318"/>
      <c r="J619" s="54"/>
      <c r="K619" s="54"/>
    </row>
    <row r="620" ht="14.25" customHeight="1">
      <c r="E620" s="315"/>
      <c r="F620" s="315"/>
      <c r="G620" s="315"/>
      <c r="H620" s="315"/>
      <c r="I620" s="318"/>
      <c r="J620" s="54"/>
      <c r="K620" s="54"/>
    </row>
    <row r="621" ht="14.25" customHeight="1">
      <c r="E621" s="315"/>
      <c r="F621" s="315"/>
      <c r="G621" s="315"/>
      <c r="H621" s="315"/>
      <c r="I621" s="318"/>
      <c r="J621" s="54"/>
      <c r="K621" s="54"/>
    </row>
    <row r="622" ht="14.25" customHeight="1">
      <c r="E622" s="315"/>
      <c r="F622" s="315"/>
      <c r="G622" s="315"/>
      <c r="H622" s="315"/>
      <c r="I622" s="318"/>
      <c r="J622" s="54"/>
      <c r="K622" s="54"/>
    </row>
    <row r="623" ht="14.25" customHeight="1">
      <c r="E623" s="315"/>
      <c r="F623" s="315"/>
      <c r="G623" s="315"/>
      <c r="H623" s="315"/>
      <c r="I623" s="318"/>
      <c r="J623" s="54"/>
      <c r="K623" s="54"/>
    </row>
    <row r="624" ht="14.25" customHeight="1">
      <c r="E624" s="315"/>
      <c r="F624" s="315"/>
      <c r="G624" s="315"/>
      <c r="H624" s="315"/>
      <c r="I624" s="318"/>
      <c r="J624" s="54"/>
      <c r="K624" s="54"/>
    </row>
    <row r="625" ht="14.25" customHeight="1">
      <c r="E625" s="315"/>
      <c r="F625" s="315"/>
      <c r="G625" s="315"/>
      <c r="H625" s="315"/>
      <c r="I625" s="318"/>
      <c r="J625" s="54"/>
      <c r="K625" s="54"/>
    </row>
    <row r="626" ht="14.25" customHeight="1">
      <c r="E626" s="315"/>
      <c r="F626" s="315"/>
      <c r="G626" s="315"/>
      <c r="H626" s="315"/>
      <c r="I626" s="318"/>
      <c r="J626" s="54"/>
      <c r="K626" s="54"/>
    </row>
    <row r="627" ht="14.25" customHeight="1">
      <c r="E627" s="315"/>
      <c r="F627" s="315"/>
      <c r="G627" s="315"/>
      <c r="H627" s="315"/>
      <c r="I627" s="318"/>
      <c r="J627" s="54"/>
      <c r="K627" s="54"/>
    </row>
    <row r="628" ht="14.25" customHeight="1">
      <c r="E628" s="315"/>
      <c r="F628" s="315"/>
      <c r="G628" s="315"/>
      <c r="H628" s="315"/>
      <c r="I628" s="318"/>
      <c r="J628" s="54"/>
      <c r="K628" s="54"/>
    </row>
    <row r="629" ht="14.25" customHeight="1">
      <c r="E629" s="315"/>
      <c r="F629" s="315"/>
      <c r="G629" s="315"/>
      <c r="H629" s="315"/>
      <c r="I629" s="318"/>
      <c r="J629" s="54"/>
      <c r="K629" s="54"/>
    </row>
    <row r="630" ht="14.25" customHeight="1">
      <c r="E630" s="315"/>
      <c r="F630" s="315"/>
      <c r="G630" s="315"/>
      <c r="H630" s="315"/>
      <c r="I630" s="318"/>
      <c r="J630" s="54"/>
      <c r="K630" s="54"/>
    </row>
    <row r="631" ht="14.25" customHeight="1">
      <c r="E631" s="315"/>
      <c r="F631" s="315"/>
      <c r="G631" s="315"/>
      <c r="H631" s="315"/>
      <c r="I631" s="318"/>
      <c r="J631" s="54"/>
      <c r="K631" s="54"/>
    </row>
    <row r="632" ht="14.25" customHeight="1">
      <c r="E632" s="315"/>
      <c r="F632" s="315"/>
      <c r="G632" s="315"/>
      <c r="H632" s="315"/>
      <c r="I632" s="318"/>
      <c r="J632" s="54"/>
      <c r="K632" s="54"/>
    </row>
    <row r="633" ht="14.25" customHeight="1">
      <c r="E633" s="315"/>
      <c r="F633" s="315"/>
      <c r="G633" s="315"/>
      <c r="H633" s="315"/>
      <c r="I633" s="318"/>
      <c r="J633" s="54"/>
      <c r="K633" s="54"/>
    </row>
    <row r="634" ht="14.25" customHeight="1">
      <c r="E634" s="315"/>
      <c r="F634" s="315"/>
      <c r="G634" s="315"/>
      <c r="H634" s="315"/>
      <c r="I634" s="318"/>
      <c r="J634" s="54"/>
      <c r="K634" s="54"/>
    </row>
    <row r="635" ht="14.25" customHeight="1">
      <c r="E635" s="315"/>
      <c r="F635" s="315"/>
      <c r="G635" s="315"/>
      <c r="H635" s="315"/>
      <c r="I635" s="318"/>
      <c r="J635" s="54"/>
      <c r="K635" s="54"/>
    </row>
    <row r="636" ht="14.25" customHeight="1">
      <c r="E636" s="315"/>
      <c r="F636" s="315"/>
      <c r="G636" s="315"/>
      <c r="H636" s="315"/>
      <c r="I636" s="318"/>
      <c r="J636" s="54"/>
      <c r="K636" s="54"/>
    </row>
    <row r="637" ht="14.25" customHeight="1">
      <c r="E637" s="315"/>
      <c r="F637" s="315"/>
      <c r="G637" s="315"/>
      <c r="H637" s="315"/>
      <c r="I637" s="318"/>
      <c r="J637" s="54"/>
      <c r="K637" s="54"/>
    </row>
    <row r="638" ht="14.25" customHeight="1">
      <c r="E638" s="315"/>
      <c r="F638" s="315"/>
      <c r="G638" s="315"/>
      <c r="H638" s="315"/>
      <c r="I638" s="318"/>
      <c r="J638" s="54"/>
      <c r="K638" s="54"/>
    </row>
    <row r="639" ht="14.25" customHeight="1">
      <c r="E639" s="315"/>
      <c r="F639" s="315"/>
      <c r="G639" s="315"/>
      <c r="H639" s="315"/>
      <c r="I639" s="318"/>
      <c r="J639" s="54"/>
      <c r="K639" s="54"/>
    </row>
    <row r="640" ht="14.25" customHeight="1">
      <c r="E640" s="315"/>
      <c r="F640" s="315"/>
      <c r="G640" s="315"/>
      <c r="H640" s="315"/>
      <c r="I640" s="318"/>
      <c r="J640" s="54"/>
      <c r="K640" s="54"/>
    </row>
    <row r="641" ht="14.25" customHeight="1">
      <c r="E641" s="315"/>
      <c r="F641" s="315"/>
      <c r="G641" s="315"/>
      <c r="H641" s="315"/>
      <c r="I641" s="318"/>
      <c r="J641" s="54"/>
      <c r="K641" s="54"/>
    </row>
    <row r="642" ht="14.25" customHeight="1">
      <c r="E642" s="315"/>
      <c r="F642" s="315"/>
      <c r="G642" s="315"/>
      <c r="H642" s="315"/>
      <c r="I642" s="318"/>
      <c r="J642" s="54"/>
      <c r="K642" s="54"/>
    </row>
    <row r="643" ht="14.25" customHeight="1">
      <c r="E643" s="315"/>
      <c r="F643" s="315"/>
      <c r="G643" s="315"/>
      <c r="H643" s="315"/>
      <c r="I643" s="318"/>
      <c r="J643" s="54"/>
      <c r="K643" s="54"/>
    </row>
    <row r="644" ht="14.25" customHeight="1">
      <c r="E644" s="315"/>
      <c r="F644" s="315"/>
      <c r="G644" s="315"/>
      <c r="H644" s="315"/>
      <c r="I644" s="318"/>
      <c r="J644" s="54"/>
      <c r="K644" s="54"/>
    </row>
    <row r="645" ht="14.25" customHeight="1">
      <c r="E645" s="315"/>
      <c r="F645" s="315"/>
      <c r="G645" s="315"/>
      <c r="H645" s="315"/>
      <c r="I645" s="318"/>
      <c r="J645" s="54"/>
      <c r="K645" s="54"/>
    </row>
    <row r="646" ht="14.25" customHeight="1">
      <c r="E646" s="315"/>
      <c r="F646" s="315"/>
      <c r="G646" s="315"/>
      <c r="H646" s="315"/>
      <c r="I646" s="318"/>
      <c r="J646" s="54"/>
      <c r="K646" s="54"/>
    </row>
    <row r="647" ht="14.25" customHeight="1">
      <c r="E647" s="315"/>
      <c r="F647" s="315"/>
      <c r="G647" s="315"/>
      <c r="H647" s="315"/>
      <c r="I647" s="318"/>
      <c r="J647" s="54"/>
      <c r="K647" s="54"/>
    </row>
    <row r="648" ht="14.25" customHeight="1">
      <c r="E648" s="315"/>
      <c r="F648" s="315"/>
      <c r="G648" s="315"/>
      <c r="H648" s="315"/>
      <c r="I648" s="318"/>
      <c r="J648" s="54"/>
      <c r="K648" s="54"/>
    </row>
    <row r="649" ht="14.25" customHeight="1">
      <c r="E649" s="315"/>
      <c r="F649" s="315"/>
      <c r="G649" s="315"/>
      <c r="H649" s="315"/>
      <c r="I649" s="318"/>
      <c r="J649" s="54"/>
      <c r="K649" s="54"/>
    </row>
    <row r="650" ht="14.25" customHeight="1">
      <c r="E650" s="315"/>
      <c r="F650" s="315"/>
      <c r="G650" s="315"/>
      <c r="H650" s="315"/>
      <c r="I650" s="318"/>
      <c r="J650" s="54"/>
      <c r="K650" s="54"/>
    </row>
    <row r="651" ht="14.25" customHeight="1">
      <c r="E651" s="315"/>
      <c r="F651" s="315"/>
      <c r="G651" s="315"/>
      <c r="H651" s="315"/>
      <c r="I651" s="318"/>
      <c r="J651" s="54"/>
      <c r="K651" s="54"/>
    </row>
    <row r="652" ht="14.25" customHeight="1">
      <c r="E652" s="315"/>
      <c r="F652" s="315"/>
      <c r="G652" s="315"/>
      <c r="H652" s="315"/>
      <c r="I652" s="318"/>
      <c r="J652" s="54"/>
      <c r="K652" s="54"/>
    </row>
    <row r="653" ht="14.25" customHeight="1">
      <c r="E653" s="315"/>
      <c r="F653" s="315"/>
      <c r="G653" s="315"/>
      <c r="H653" s="315"/>
      <c r="I653" s="318"/>
      <c r="J653" s="54"/>
      <c r="K653" s="54"/>
    </row>
    <row r="654" ht="14.25" customHeight="1">
      <c r="E654" s="315"/>
      <c r="F654" s="315"/>
      <c r="G654" s="315"/>
      <c r="H654" s="315"/>
      <c r="I654" s="318"/>
      <c r="J654" s="54"/>
      <c r="K654" s="54"/>
    </row>
    <row r="655" ht="14.25" customHeight="1">
      <c r="E655" s="315"/>
      <c r="F655" s="315"/>
      <c r="G655" s="315"/>
      <c r="H655" s="315"/>
      <c r="I655" s="318"/>
      <c r="J655" s="54"/>
      <c r="K655" s="54"/>
    </row>
    <row r="656" ht="14.25" customHeight="1">
      <c r="E656" s="315"/>
      <c r="F656" s="315"/>
      <c r="G656" s="315"/>
      <c r="H656" s="315"/>
      <c r="I656" s="318"/>
      <c r="J656" s="54"/>
      <c r="K656" s="54"/>
    </row>
    <row r="657" ht="14.25" customHeight="1">
      <c r="E657" s="315"/>
      <c r="F657" s="315"/>
      <c r="G657" s="315"/>
      <c r="H657" s="315"/>
      <c r="I657" s="318"/>
      <c r="J657" s="54"/>
      <c r="K657" s="54"/>
    </row>
    <row r="658" ht="14.25" customHeight="1">
      <c r="E658" s="315"/>
      <c r="F658" s="315"/>
      <c r="G658" s="315"/>
      <c r="H658" s="315"/>
      <c r="I658" s="318"/>
      <c r="J658" s="54"/>
      <c r="K658" s="54"/>
    </row>
    <row r="659" ht="14.25" customHeight="1">
      <c r="E659" s="315"/>
      <c r="F659" s="315"/>
      <c r="G659" s="315"/>
      <c r="H659" s="315"/>
      <c r="I659" s="318"/>
      <c r="J659" s="54"/>
      <c r="K659" s="54"/>
    </row>
    <row r="660" ht="14.25" customHeight="1">
      <c r="E660" s="315"/>
      <c r="F660" s="315"/>
      <c r="G660" s="315"/>
      <c r="H660" s="315"/>
      <c r="I660" s="318"/>
      <c r="J660" s="54"/>
      <c r="K660" s="54"/>
    </row>
    <row r="661" ht="14.25" customHeight="1">
      <c r="E661" s="315"/>
      <c r="F661" s="315"/>
      <c r="G661" s="315"/>
      <c r="H661" s="315"/>
      <c r="I661" s="318"/>
      <c r="J661" s="54"/>
      <c r="K661" s="54"/>
    </row>
    <row r="662" ht="14.25" customHeight="1">
      <c r="E662" s="315"/>
      <c r="F662" s="315"/>
      <c r="G662" s="315"/>
      <c r="H662" s="315"/>
      <c r="I662" s="318"/>
      <c r="J662" s="54"/>
      <c r="K662" s="54"/>
    </row>
    <row r="663" ht="14.25" customHeight="1">
      <c r="E663" s="315"/>
      <c r="F663" s="315"/>
      <c r="G663" s="315"/>
      <c r="H663" s="315"/>
      <c r="I663" s="318"/>
      <c r="J663" s="54"/>
      <c r="K663" s="54"/>
    </row>
    <row r="664" ht="14.25" customHeight="1">
      <c r="E664" s="315"/>
      <c r="F664" s="315"/>
      <c r="G664" s="315"/>
      <c r="H664" s="315"/>
      <c r="I664" s="318"/>
      <c r="J664" s="54"/>
      <c r="K664" s="54"/>
    </row>
    <row r="665" ht="14.25" customHeight="1">
      <c r="E665" s="315"/>
      <c r="F665" s="315"/>
      <c r="G665" s="315"/>
      <c r="H665" s="315"/>
      <c r="I665" s="318"/>
      <c r="J665" s="54"/>
      <c r="K665" s="54"/>
    </row>
    <row r="666" ht="14.25" customHeight="1">
      <c r="E666" s="315"/>
      <c r="F666" s="315"/>
      <c r="G666" s="315"/>
      <c r="H666" s="315"/>
      <c r="I666" s="318"/>
      <c r="J666" s="54"/>
      <c r="K666" s="54"/>
    </row>
    <row r="667" ht="14.25" customHeight="1">
      <c r="E667" s="315"/>
      <c r="F667" s="315"/>
      <c r="G667" s="315"/>
      <c r="H667" s="315"/>
      <c r="I667" s="318"/>
      <c r="J667" s="54"/>
      <c r="K667" s="54"/>
    </row>
    <row r="668" ht="14.25" customHeight="1">
      <c r="E668" s="315"/>
      <c r="F668" s="315"/>
      <c r="G668" s="315"/>
      <c r="H668" s="315"/>
      <c r="I668" s="318"/>
      <c r="J668" s="54"/>
      <c r="K668" s="54"/>
    </row>
    <row r="669" ht="14.25" customHeight="1">
      <c r="E669" s="315"/>
      <c r="F669" s="315"/>
      <c r="G669" s="315"/>
      <c r="H669" s="315"/>
      <c r="I669" s="318"/>
      <c r="J669" s="54"/>
      <c r="K669" s="54"/>
    </row>
    <row r="670" ht="14.25" customHeight="1">
      <c r="E670" s="315"/>
      <c r="F670" s="315"/>
      <c r="G670" s="315"/>
      <c r="H670" s="315"/>
      <c r="I670" s="318"/>
      <c r="J670" s="54"/>
      <c r="K670" s="54"/>
    </row>
    <row r="671" ht="14.25" customHeight="1">
      <c r="E671" s="315"/>
      <c r="F671" s="315"/>
      <c r="G671" s="315"/>
      <c r="H671" s="315"/>
      <c r="I671" s="318"/>
      <c r="J671" s="54"/>
      <c r="K671" s="54"/>
    </row>
    <row r="672" ht="14.25" customHeight="1">
      <c r="E672" s="315"/>
      <c r="F672" s="315"/>
      <c r="G672" s="315"/>
      <c r="H672" s="315"/>
      <c r="I672" s="318"/>
      <c r="J672" s="54"/>
      <c r="K672" s="54"/>
    </row>
    <row r="673" ht="14.25" customHeight="1">
      <c r="E673" s="315"/>
      <c r="F673" s="315"/>
      <c r="G673" s="315"/>
      <c r="H673" s="315"/>
      <c r="I673" s="318"/>
      <c r="J673" s="54"/>
      <c r="K673" s="54"/>
    </row>
    <row r="674" ht="14.25" customHeight="1">
      <c r="E674" s="315"/>
      <c r="F674" s="315"/>
      <c r="G674" s="315"/>
      <c r="H674" s="315"/>
      <c r="I674" s="318"/>
      <c r="J674" s="54"/>
      <c r="K674" s="54"/>
    </row>
    <row r="675" ht="14.25" customHeight="1">
      <c r="E675" s="315"/>
      <c r="F675" s="315"/>
      <c r="G675" s="315"/>
      <c r="H675" s="315"/>
      <c r="I675" s="318"/>
      <c r="J675" s="54"/>
      <c r="K675" s="54"/>
    </row>
    <row r="676" ht="14.25" customHeight="1">
      <c r="E676" s="315"/>
      <c r="F676" s="315"/>
      <c r="G676" s="315"/>
      <c r="H676" s="315"/>
      <c r="I676" s="318"/>
      <c r="J676" s="54"/>
      <c r="K676" s="54"/>
    </row>
    <row r="677" ht="14.25" customHeight="1">
      <c r="E677" s="315"/>
      <c r="F677" s="315"/>
      <c r="G677" s="315"/>
      <c r="H677" s="315"/>
      <c r="I677" s="318"/>
      <c r="J677" s="54"/>
      <c r="K677" s="54"/>
    </row>
    <row r="678" ht="14.25" customHeight="1">
      <c r="E678" s="315"/>
      <c r="F678" s="315"/>
      <c r="G678" s="315"/>
      <c r="H678" s="315"/>
      <c r="I678" s="318"/>
      <c r="J678" s="54"/>
      <c r="K678" s="54"/>
    </row>
    <row r="679" ht="14.25" customHeight="1">
      <c r="E679" s="315"/>
      <c r="F679" s="315"/>
      <c r="G679" s="315"/>
      <c r="H679" s="315"/>
      <c r="I679" s="318"/>
      <c r="J679" s="54"/>
      <c r="K679" s="54"/>
    </row>
    <row r="680" ht="14.25" customHeight="1">
      <c r="E680" s="315"/>
      <c r="F680" s="315"/>
      <c r="G680" s="315"/>
      <c r="H680" s="315"/>
      <c r="I680" s="318"/>
      <c r="J680" s="54"/>
      <c r="K680" s="54"/>
    </row>
    <row r="681" ht="14.25" customHeight="1">
      <c r="E681" s="315"/>
      <c r="F681" s="315"/>
      <c r="G681" s="315"/>
      <c r="H681" s="315"/>
      <c r="I681" s="318"/>
      <c r="J681" s="54"/>
      <c r="K681" s="54"/>
    </row>
    <row r="682" ht="14.25" customHeight="1">
      <c r="E682" s="315"/>
      <c r="F682" s="315"/>
      <c r="G682" s="315"/>
      <c r="H682" s="315"/>
      <c r="I682" s="318"/>
      <c r="J682" s="54"/>
      <c r="K682" s="54"/>
    </row>
    <row r="683" ht="14.25" customHeight="1">
      <c r="E683" s="315"/>
      <c r="F683" s="315"/>
      <c r="G683" s="315"/>
      <c r="H683" s="315"/>
      <c r="I683" s="318"/>
      <c r="J683" s="54"/>
      <c r="K683" s="54"/>
    </row>
    <row r="684" ht="14.25" customHeight="1">
      <c r="E684" s="315"/>
      <c r="F684" s="315"/>
      <c r="G684" s="315"/>
      <c r="H684" s="315"/>
      <c r="I684" s="318"/>
      <c r="J684" s="54"/>
      <c r="K684" s="54"/>
    </row>
    <row r="685" ht="14.25" customHeight="1">
      <c r="E685" s="315"/>
      <c r="F685" s="315"/>
      <c r="G685" s="315"/>
      <c r="H685" s="315"/>
      <c r="I685" s="318"/>
      <c r="J685" s="54"/>
      <c r="K685" s="54"/>
    </row>
    <row r="686" ht="14.25" customHeight="1">
      <c r="E686" s="315"/>
      <c r="F686" s="315"/>
      <c r="G686" s="315"/>
      <c r="H686" s="315"/>
      <c r="I686" s="318"/>
      <c r="J686" s="54"/>
      <c r="K686" s="54"/>
    </row>
    <row r="687" ht="14.25" customHeight="1">
      <c r="E687" s="315"/>
      <c r="F687" s="315"/>
      <c r="G687" s="315"/>
      <c r="H687" s="315"/>
      <c r="I687" s="318"/>
      <c r="J687" s="54"/>
      <c r="K687" s="54"/>
    </row>
    <row r="688" ht="14.25" customHeight="1">
      <c r="E688" s="315"/>
      <c r="F688" s="315"/>
      <c r="G688" s="315"/>
      <c r="H688" s="315"/>
      <c r="I688" s="318"/>
      <c r="J688" s="54"/>
      <c r="K688" s="54"/>
    </row>
    <row r="689" ht="14.25" customHeight="1">
      <c r="E689" s="315"/>
      <c r="F689" s="315"/>
      <c r="G689" s="315"/>
      <c r="H689" s="315"/>
      <c r="I689" s="318"/>
      <c r="J689" s="54"/>
      <c r="K689" s="54"/>
    </row>
    <row r="690" ht="14.25" customHeight="1">
      <c r="E690" s="315"/>
      <c r="F690" s="315"/>
      <c r="G690" s="315"/>
      <c r="H690" s="315"/>
      <c r="I690" s="318"/>
      <c r="J690" s="54"/>
      <c r="K690" s="54"/>
    </row>
    <row r="691" ht="14.25" customHeight="1">
      <c r="E691" s="315"/>
      <c r="F691" s="315"/>
      <c r="G691" s="315"/>
      <c r="H691" s="315"/>
      <c r="I691" s="318"/>
      <c r="J691" s="54"/>
      <c r="K691" s="54"/>
    </row>
    <row r="692" ht="14.25" customHeight="1">
      <c r="E692" s="315"/>
      <c r="F692" s="315"/>
      <c r="G692" s="315"/>
      <c r="H692" s="315"/>
      <c r="I692" s="318"/>
      <c r="J692" s="54"/>
      <c r="K692" s="54"/>
    </row>
    <row r="693" ht="14.25" customHeight="1">
      <c r="E693" s="315"/>
      <c r="F693" s="315"/>
      <c r="G693" s="315"/>
      <c r="H693" s="315"/>
      <c r="I693" s="318"/>
      <c r="J693" s="54"/>
      <c r="K693" s="54"/>
    </row>
    <row r="694" ht="14.25" customHeight="1">
      <c r="E694" s="315"/>
      <c r="F694" s="315"/>
      <c r="G694" s="315"/>
      <c r="H694" s="315"/>
      <c r="I694" s="318"/>
      <c r="J694" s="54"/>
      <c r="K694" s="54"/>
    </row>
    <row r="695" ht="14.25" customHeight="1">
      <c r="E695" s="315"/>
      <c r="F695" s="315"/>
      <c r="G695" s="315"/>
      <c r="H695" s="315"/>
      <c r="I695" s="318"/>
      <c r="J695" s="54"/>
      <c r="K695" s="54"/>
    </row>
    <row r="696" ht="14.25" customHeight="1">
      <c r="E696" s="315"/>
      <c r="F696" s="315"/>
      <c r="G696" s="315"/>
      <c r="H696" s="315"/>
      <c r="I696" s="318"/>
      <c r="J696" s="54"/>
      <c r="K696" s="54"/>
    </row>
    <row r="697" ht="14.25" customHeight="1">
      <c r="E697" s="315"/>
      <c r="F697" s="315"/>
      <c r="G697" s="315"/>
      <c r="H697" s="315"/>
      <c r="I697" s="318"/>
      <c r="J697" s="54"/>
      <c r="K697" s="54"/>
    </row>
    <row r="698" ht="14.25" customHeight="1">
      <c r="E698" s="315"/>
      <c r="F698" s="315"/>
      <c r="G698" s="315"/>
      <c r="H698" s="315"/>
      <c r="I698" s="318"/>
      <c r="J698" s="54"/>
      <c r="K698" s="54"/>
    </row>
    <row r="699" ht="14.25" customHeight="1">
      <c r="E699" s="315"/>
      <c r="F699" s="315"/>
      <c r="G699" s="315"/>
      <c r="H699" s="315"/>
      <c r="I699" s="318"/>
      <c r="J699" s="54"/>
      <c r="K699" s="54"/>
    </row>
    <row r="700" ht="14.25" customHeight="1">
      <c r="E700" s="315"/>
      <c r="F700" s="315"/>
      <c r="G700" s="315"/>
      <c r="H700" s="315"/>
      <c r="I700" s="318"/>
      <c r="J700" s="54"/>
      <c r="K700" s="54"/>
    </row>
    <row r="701" ht="14.25" customHeight="1">
      <c r="E701" s="315"/>
      <c r="F701" s="315"/>
      <c r="G701" s="315"/>
      <c r="H701" s="315"/>
      <c r="I701" s="318"/>
      <c r="J701" s="54"/>
      <c r="K701" s="54"/>
    </row>
    <row r="702" ht="14.25" customHeight="1">
      <c r="E702" s="315"/>
      <c r="F702" s="315"/>
      <c r="G702" s="315"/>
      <c r="H702" s="315"/>
      <c r="I702" s="318"/>
      <c r="J702" s="54"/>
      <c r="K702" s="54"/>
    </row>
    <row r="703" ht="14.25" customHeight="1">
      <c r="E703" s="315"/>
      <c r="F703" s="315"/>
      <c r="G703" s="315"/>
      <c r="H703" s="315"/>
      <c r="I703" s="318"/>
      <c r="J703" s="54"/>
      <c r="K703" s="54"/>
    </row>
    <row r="704" ht="14.25" customHeight="1">
      <c r="E704" s="315"/>
      <c r="F704" s="315"/>
      <c r="G704" s="315"/>
      <c r="H704" s="315"/>
      <c r="I704" s="318"/>
      <c r="J704" s="54"/>
      <c r="K704" s="54"/>
    </row>
    <row r="705" ht="14.25" customHeight="1">
      <c r="E705" s="315"/>
      <c r="F705" s="315"/>
      <c r="G705" s="315"/>
      <c r="H705" s="315"/>
      <c r="I705" s="318"/>
      <c r="J705" s="54"/>
      <c r="K705" s="54"/>
    </row>
    <row r="706" ht="14.25" customHeight="1">
      <c r="E706" s="315"/>
      <c r="F706" s="315"/>
      <c r="G706" s="315"/>
      <c r="H706" s="315"/>
      <c r="I706" s="318"/>
      <c r="J706" s="54"/>
      <c r="K706" s="54"/>
    </row>
    <row r="707" ht="14.25" customHeight="1">
      <c r="E707" s="315"/>
      <c r="F707" s="315"/>
      <c r="G707" s="315"/>
      <c r="H707" s="315"/>
      <c r="I707" s="318"/>
      <c r="J707" s="54"/>
      <c r="K707" s="54"/>
    </row>
    <row r="708" ht="14.25" customHeight="1">
      <c r="E708" s="315"/>
      <c r="F708" s="315"/>
      <c r="G708" s="315"/>
      <c r="H708" s="315"/>
      <c r="I708" s="318"/>
      <c r="J708" s="54"/>
      <c r="K708" s="54"/>
    </row>
    <row r="709" ht="14.25" customHeight="1">
      <c r="E709" s="315"/>
      <c r="F709" s="315"/>
      <c r="G709" s="315"/>
      <c r="H709" s="315"/>
      <c r="I709" s="318"/>
      <c r="J709" s="54"/>
      <c r="K709" s="54"/>
    </row>
    <row r="710" ht="14.25" customHeight="1">
      <c r="E710" s="315"/>
      <c r="F710" s="315"/>
      <c r="G710" s="315"/>
      <c r="H710" s="315"/>
      <c r="I710" s="318"/>
      <c r="J710" s="54"/>
      <c r="K710" s="54"/>
    </row>
    <row r="711" ht="14.25" customHeight="1">
      <c r="E711" s="315"/>
      <c r="F711" s="315"/>
      <c r="G711" s="315"/>
      <c r="H711" s="315"/>
      <c r="I711" s="318"/>
      <c r="J711" s="54"/>
      <c r="K711" s="54"/>
    </row>
    <row r="712" ht="14.25" customHeight="1">
      <c r="E712" s="315"/>
      <c r="F712" s="315"/>
      <c r="G712" s="315"/>
      <c r="H712" s="315"/>
      <c r="I712" s="318"/>
      <c r="J712" s="54"/>
      <c r="K712" s="54"/>
    </row>
    <row r="713" ht="14.25" customHeight="1">
      <c r="E713" s="315"/>
      <c r="F713" s="315"/>
      <c r="G713" s="315"/>
      <c r="H713" s="315"/>
      <c r="I713" s="318"/>
      <c r="J713" s="54"/>
      <c r="K713" s="54"/>
    </row>
    <row r="714" ht="14.25" customHeight="1">
      <c r="E714" s="315"/>
      <c r="F714" s="315"/>
      <c r="G714" s="315"/>
      <c r="H714" s="315"/>
      <c r="I714" s="318"/>
      <c r="J714" s="54"/>
      <c r="K714" s="54"/>
    </row>
    <row r="715" ht="14.25" customHeight="1">
      <c r="E715" s="315"/>
      <c r="F715" s="315"/>
      <c r="G715" s="315"/>
      <c r="H715" s="315"/>
      <c r="I715" s="318"/>
      <c r="J715" s="54"/>
      <c r="K715" s="54"/>
    </row>
    <row r="716" ht="14.25" customHeight="1">
      <c r="E716" s="315"/>
      <c r="F716" s="315"/>
      <c r="G716" s="315"/>
      <c r="H716" s="315"/>
      <c r="I716" s="318"/>
      <c r="J716" s="54"/>
      <c r="K716" s="54"/>
    </row>
    <row r="717" ht="14.25" customHeight="1">
      <c r="E717" s="315"/>
      <c r="F717" s="315"/>
      <c r="G717" s="315"/>
      <c r="H717" s="315"/>
      <c r="I717" s="318"/>
      <c r="J717" s="54"/>
      <c r="K717" s="54"/>
    </row>
    <row r="718" ht="14.25" customHeight="1">
      <c r="E718" s="315"/>
      <c r="F718" s="315"/>
      <c r="G718" s="315"/>
      <c r="H718" s="315"/>
      <c r="I718" s="318"/>
      <c r="J718" s="54"/>
      <c r="K718" s="54"/>
    </row>
    <row r="719" ht="14.25" customHeight="1">
      <c r="E719" s="315"/>
      <c r="F719" s="315"/>
      <c r="G719" s="315"/>
      <c r="H719" s="315"/>
      <c r="I719" s="318"/>
      <c r="J719" s="54"/>
      <c r="K719" s="54"/>
    </row>
    <row r="720" ht="14.25" customHeight="1">
      <c r="E720" s="315"/>
      <c r="F720" s="315"/>
      <c r="G720" s="315"/>
      <c r="H720" s="315"/>
      <c r="I720" s="318"/>
      <c r="J720" s="54"/>
      <c r="K720" s="54"/>
    </row>
    <row r="721" ht="14.25" customHeight="1">
      <c r="E721" s="315"/>
      <c r="F721" s="315"/>
      <c r="G721" s="315"/>
      <c r="H721" s="315"/>
      <c r="I721" s="318"/>
      <c r="J721" s="54"/>
      <c r="K721" s="54"/>
    </row>
    <row r="722" ht="14.25" customHeight="1">
      <c r="E722" s="315"/>
      <c r="F722" s="315"/>
      <c r="G722" s="315"/>
      <c r="H722" s="315"/>
      <c r="I722" s="318"/>
      <c r="J722" s="54"/>
      <c r="K722" s="54"/>
    </row>
    <row r="723" ht="14.25" customHeight="1">
      <c r="E723" s="315"/>
      <c r="F723" s="315"/>
      <c r="G723" s="315"/>
      <c r="H723" s="315"/>
      <c r="I723" s="318"/>
      <c r="J723" s="54"/>
      <c r="K723" s="54"/>
    </row>
    <row r="724" ht="14.25" customHeight="1">
      <c r="E724" s="315"/>
      <c r="F724" s="315"/>
      <c r="G724" s="315"/>
      <c r="H724" s="315"/>
      <c r="I724" s="318"/>
      <c r="J724" s="54"/>
      <c r="K724" s="54"/>
    </row>
    <row r="725" ht="14.25" customHeight="1">
      <c r="E725" s="315"/>
      <c r="F725" s="315"/>
      <c r="G725" s="315"/>
      <c r="H725" s="315"/>
      <c r="I725" s="318"/>
      <c r="J725" s="54"/>
      <c r="K725" s="54"/>
    </row>
    <row r="726" ht="14.25" customHeight="1">
      <c r="E726" s="315"/>
      <c r="F726" s="315"/>
      <c r="G726" s="315"/>
      <c r="H726" s="315"/>
      <c r="I726" s="318"/>
      <c r="J726" s="54"/>
      <c r="K726" s="54"/>
    </row>
    <row r="727" ht="14.25" customHeight="1">
      <c r="E727" s="315"/>
      <c r="F727" s="315"/>
      <c r="G727" s="315"/>
      <c r="H727" s="315"/>
      <c r="I727" s="318"/>
      <c r="J727" s="54"/>
      <c r="K727" s="54"/>
    </row>
    <row r="728" ht="14.25" customHeight="1">
      <c r="E728" s="315"/>
      <c r="F728" s="315"/>
      <c r="G728" s="315"/>
      <c r="H728" s="315"/>
      <c r="I728" s="318"/>
      <c r="J728" s="54"/>
      <c r="K728" s="54"/>
    </row>
    <row r="729" ht="14.25" customHeight="1">
      <c r="E729" s="315"/>
      <c r="F729" s="315"/>
      <c r="G729" s="315"/>
      <c r="H729" s="315"/>
      <c r="I729" s="318"/>
      <c r="J729" s="54"/>
      <c r="K729" s="54"/>
    </row>
    <row r="730" ht="14.25" customHeight="1">
      <c r="E730" s="315"/>
      <c r="F730" s="315"/>
      <c r="G730" s="315"/>
      <c r="H730" s="315"/>
      <c r="I730" s="318"/>
      <c r="J730" s="54"/>
      <c r="K730" s="54"/>
    </row>
    <row r="731" ht="14.25" customHeight="1">
      <c r="E731" s="315"/>
      <c r="F731" s="315"/>
      <c r="G731" s="315"/>
      <c r="H731" s="315"/>
      <c r="I731" s="318"/>
      <c r="J731" s="54"/>
      <c r="K731" s="54"/>
    </row>
    <row r="732" ht="14.25" customHeight="1">
      <c r="E732" s="315"/>
      <c r="F732" s="315"/>
      <c r="G732" s="315"/>
      <c r="H732" s="315"/>
      <c r="I732" s="318"/>
      <c r="J732" s="54"/>
      <c r="K732" s="54"/>
    </row>
    <row r="733" ht="14.25" customHeight="1">
      <c r="E733" s="315"/>
      <c r="F733" s="315"/>
      <c r="G733" s="315"/>
      <c r="H733" s="315"/>
      <c r="I733" s="318"/>
      <c r="J733" s="54"/>
      <c r="K733" s="54"/>
    </row>
    <row r="734" ht="14.25" customHeight="1">
      <c r="E734" s="315"/>
      <c r="F734" s="315"/>
      <c r="G734" s="315"/>
      <c r="H734" s="315"/>
      <c r="I734" s="318"/>
      <c r="J734" s="54"/>
      <c r="K734" s="54"/>
    </row>
    <row r="735" ht="14.25" customHeight="1">
      <c r="E735" s="315"/>
      <c r="F735" s="315"/>
      <c r="G735" s="315"/>
      <c r="H735" s="315"/>
      <c r="I735" s="318"/>
      <c r="J735" s="54"/>
      <c r="K735" s="54"/>
    </row>
    <row r="736" ht="14.25" customHeight="1">
      <c r="E736" s="315"/>
      <c r="F736" s="315"/>
      <c r="G736" s="315"/>
      <c r="H736" s="315"/>
      <c r="I736" s="318"/>
      <c r="J736" s="54"/>
      <c r="K736" s="54"/>
    </row>
    <row r="737" ht="14.25" customHeight="1">
      <c r="E737" s="315"/>
      <c r="F737" s="315"/>
      <c r="G737" s="315"/>
      <c r="H737" s="315"/>
      <c r="I737" s="318"/>
      <c r="J737" s="54"/>
      <c r="K737" s="54"/>
    </row>
    <row r="738" ht="14.25" customHeight="1">
      <c r="E738" s="315"/>
      <c r="F738" s="315"/>
      <c r="G738" s="315"/>
      <c r="H738" s="315"/>
      <c r="I738" s="318"/>
      <c r="J738" s="54"/>
      <c r="K738" s="54"/>
    </row>
    <row r="739" ht="14.25" customHeight="1">
      <c r="E739" s="315"/>
      <c r="F739" s="315"/>
      <c r="G739" s="315"/>
      <c r="H739" s="315"/>
      <c r="I739" s="318"/>
      <c r="J739" s="54"/>
      <c r="K739" s="54"/>
    </row>
    <row r="740" ht="14.25" customHeight="1">
      <c r="E740" s="315"/>
      <c r="F740" s="315"/>
      <c r="G740" s="315"/>
      <c r="H740" s="315"/>
      <c r="I740" s="318"/>
      <c r="J740" s="54"/>
      <c r="K740" s="54"/>
    </row>
    <row r="741" ht="14.25" customHeight="1">
      <c r="E741" s="315"/>
      <c r="F741" s="315"/>
      <c r="G741" s="315"/>
      <c r="H741" s="315"/>
      <c r="I741" s="318"/>
      <c r="J741" s="54"/>
      <c r="K741" s="54"/>
    </row>
    <row r="742" ht="14.25" customHeight="1">
      <c r="E742" s="315"/>
      <c r="F742" s="315"/>
      <c r="G742" s="315"/>
      <c r="H742" s="315"/>
      <c r="I742" s="318"/>
      <c r="J742" s="54"/>
      <c r="K742" s="54"/>
    </row>
    <row r="743" ht="14.25" customHeight="1">
      <c r="E743" s="315"/>
      <c r="F743" s="315"/>
      <c r="G743" s="315"/>
      <c r="H743" s="315"/>
      <c r="I743" s="318"/>
      <c r="J743" s="54"/>
      <c r="K743" s="54"/>
    </row>
    <row r="744" ht="14.25" customHeight="1">
      <c r="E744" s="315"/>
      <c r="F744" s="315"/>
      <c r="G744" s="315"/>
      <c r="H744" s="315"/>
      <c r="I744" s="318"/>
      <c r="J744" s="54"/>
      <c r="K744" s="54"/>
    </row>
    <row r="745" ht="14.25" customHeight="1">
      <c r="E745" s="315"/>
      <c r="F745" s="315"/>
      <c r="G745" s="315"/>
      <c r="H745" s="315"/>
      <c r="I745" s="318"/>
      <c r="J745" s="54"/>
      <c r="K745" s="54"/>
    </row>
    <row r="746" ht="14.25" customHeight="1">
      <c r="E746" s="315"/>
      <c r="F746" s="315"/>
      <c r="G746" s="315"/>
      <c r="H746" s="315"/>
      <c r="I746" s="318"/>
      <c r="J746" s="54"/>
      <c r="K746" s="54"/>
    </row>
    <row r="747" ht="14.25" customHeight="1">
      <c r="E747" s="315"/>
      <c r="F747" s="315"/>
      <c r="G747" s="315"/>
      <c r="H747" s="315"/>
      <c r="I747" s="318"/>
      <c r="J747" s="54"/>
      <c r="K747" s="54"/>
    </row>
    <row r="748" ht="14.25" customHeight="1">
      <c r="E748" s="315"/>
      <c r="F748" s="315"/>
      <c r="G748" s="315"/>
      <c r="H748" s="315"/>
      <c r="I748" s="318"/>
      <c r="J748" s="54"/>
      <c r="K748" s="54"/>
    </row>
    <row r="749" ht="14.25" customHeight="1">
      <c r="E749" s="315"/>
      <c r="F749" s="315"/>
      <c r="G749" s="315"/>
      <c r="H749" s="315"/>
      <c r="I749" s="318"/>
      <c r="J749" s="54"/>
      <c r="K749" s="54"/>
    </row>
    <row r="750" ht="14.25" customHeight="1">
      <c r="E750" s="315"/>
      <c r="F750" s="315"/>
      <c r="G750" s="315"/>
      <c r="H750" s="315"/>
      <c r="I750" s="318"/>
      <c r="J750" s="54"/>
      <c r="K750" s="54"/>
    </row>
    <row r="751" ht="14.25" customHeight="1">
      <c r="E751" s="315"/>
      <c r="F751" s="315"/>
      <c r="G751" s="315"/>
      <c r="H751" s="315"/>
      <c r="I751" s="318"/>
      <c r="J751" s="54"/>
      <c r="K751" s="54"/>
    </row>
    <row r="752" ht="14.25" customHeight="1">
      <c r="E752" s="315"/>
      <c r="F752" s="315"/>
      <c r="G752" s="315"/>
      <c r="H752" s="315"/>
      <c r="I752" s="318"/>
      <c r="J752" s="54"/>
      <c r="K752" s="54"/>
    </row>
    <row r="753" ht="14.25" customHeight="1">
      <c r="E753" s="315"/>
      <c r="F753" s="315"/>
      <c r="G753" s="315"/>
      <c r="H753" s="315"/>
      <c r="I753" s="318"/>
      <c r="J753" s="54"/>
      <c r="K753" s="54"/>
    </row>
    <row r="754" ht="14.25" customHeight="1">
      <c r="E754" s="315"/>
      <c r="F754" s="315"/>
      <c r="G754" s="315"/>
      <c r="H754" s="315"/>
      <c r="I754" s="318"/>
      <c r="J754" s="54"/>
      <c r="K754" s="54"/>
    </row>
    <row r="755" ht="14.25" customHeight="1">
      <c r="E755" s="315"/>
      <c r="F755" s="315"/>
      <c r="G755" s="315"/>
      <c r="H755" s="315"/>
      <c r="I755" s="318"/>
      <c r="J755" s="54"/>
      <c r="K755" s="54"/>
    </row>
    <row r="756" ht="14.25" customHeight="1">
      <c r="E756" s="315"/>
      <c r="F756" s="315"/>
      <c r="G756" s="315"/>
      <c r="H756" s="315"/>
      <c r="I756" s="318"/>
      <c r="J756" s="54"/>
      <c r="K756" s="54"/>
    </row>
    <row r="757" ht="14.25" customHeight="1">
      <c r="E757" s="315"/>
      <c r="F757" s="315"/>
      <c r="G757" s="315"/>
      <c r="H757" s="315"/>
      <c r="I757" s="318"/>
      <c r="J757" s="54"/>
      <c r="K757" s="54"/>
    </row>
    <row r="758" ht="14.25" customHeight="1">
      <c r="E758" s="315"/>
      <c r="F758" s="315"/>
      <c r="G758" s="315"/>
      <c r="H758" s="315"/>
      <c r="I758" s="318"/>
      <c r="J758" s="54"/>
      <c r="K758" s="54"/>
    </row>
    <row r="759" ht="14.25" customHeight="1">
      <c r="E759" s="315"/>
      <c r="F759" s="315"/>
      <c r="G759" s="315"/>
      <c r="H759" s="315"/>
      <c r="I759" s="318"/>
      <c r="J759" s="54"/>
      <c r="K759" s="54"/>
    </row>
    <row r="760" ht="14.25" customHeight="1">
      <c r="E760" s="315"/>
      <c r="F760" s="315"/>
      <c r="G760" s="315"/>
      <c r="H760" s="315"/>
      <c r="I760" s="318"/>
      <c r="J760" s="54"/>
      <c r="K760" s="54"/>
    </row>
    <row r="761" ht="14.25" customHeight="1">
      <c r="E761" s="315"/>
      <c r="F761" s="315"/>
      <c r="G761" s="315"/>
      <c r="H761" s="315"/>
      <c r="I761" s="318"/>
      <c r="J761" s="54"/>
      <c r="K761" s="54"/>
    </row>
    <row r="762" ht="14.25" customHeight="1">
      <c r="E762" s="315"/>
      <c r="F762" s="315"/>
      <c r="G762" s="315"/>
      <c r="H762" s="315"/>
      <c r="I762" s="318"/>
      <c r="J762" s="54"/>
      <c r="K762" s="54"/>
    </row>
    <row r="763" ht="14.25" customHeight="1">
      <c r="E763" s="315"/>
      <c r="F763" s="315"/>
      <c r="G763" s="315"/>
      <c r="H763" s="315"/>
      <c r="I763" s="318"/>
      <c r="J763" s="54"/>
      <c r="K763" s="54"/>
    </row>
    <row r="764" ht="14.25" customHeight="1">
      <c r="E764" s="315"/>
      <c r="F764" s="315"/>
      <c r="G764" s="315"/>
      <c r="H764" s="315"/>
      <c r="I764" s="318"/>
      <c r="J764" s="54"/>
      <c r="K764" s="54"/>
    </row>
    <row r="765" ht="14.25" customHeight="1">
      <c r="E765" s="315"/>
      <c r="F765" s="315"/>
      <c r="G765" s="315"/>
      <c r="H765" s="315"/>
      <c r="I765" s="318"/>
      <c r="J765" s="54"/>
      <c r="K765" s="54"/>
    </row>
    <row r="766" ht="14.25" customHeight="1">
      <c r="E766" s="315"/>
      <c r="F766" s="315"/>
      <c r="G766" s="315"/>
      <c r="H766" s="315"/>
      <c r="I766" s="318"/>
      <c r="J766" s="54"/>
      <c r="K766" s="54"/>
    </row>
    <row r="767" ht="14.25" customHeight="1">
      <c r="E767" s="315"/>
      <c r="F767" s="315"/>
      <c r="G767" s="315"/>
      <c r="H767" s="315"/>
      <c r="I767" s="318"/>
      <c r="J767" s="54"/>
      <c r="K767" s="54"/>
    </row>
    <row r="768" ht="14.25" customHeight="1">
      <c r="E768" s="315"/>
      <c r="F768" s="315"/>
      <c r="G768" s="315"/>
      <c r="H768" s="315"/>
      <c r="I768" s="318"/>
      <c r="J768" s="54"/>
      <c r="K768" s="54"/>
    </row>
    <row r="769" ht="14.25" customHeight="1">
      <c r="E769" s="315"/>
      <c r="F769" s="315"/>
      <c r="G769" s="315"/>
      <c r="H769" s="315"/>
      <c r="I769" s="318"/>
      <c r="J769" s="54"/>
      <c r="K769" s="54"/>
    </row>
    <row r="770" ht="14.25" customHeight="1">
      <c r="E770" s="315"/>
      <c r="F770" s="315"/>
      <c r="G770" s="315"/>
      <c r="H770" s="315"/>
      <c r="I770" s="318"/>
      <c r="J770" s="54"/>
      <c r="K770" s="54"/>
    </row>
    <row r="771" ht="14.25" customHeight="1">
      <c r="E771" s="315"/>
      <c r="F771" s="315"/>
      <c r="G771" s="315"/>
      <c r="H771" s="315"/>
      <c r="I771" s="318"/>
      <c r="J771" s="54"/>
      <c r="K771" s="54"/>
    </row>
    <row r="772" ht="14.25" customHeight="1">
      <c r="E772" s="315"/>
      <c r="F772" s="315"/>
      <c r="G772" s="315"/>
      <c r="H772" s="315"/>
      <c r="I772" s="318"/>
      <c r="J772" s="54"/>
      <c r="K772" s="54"/>
    </row>
    <row r="773" ht="14.25" customHeight="1">
      <c r="E773" s="315"/>
      <c r="F773" s="315"/>
      <c r="G773" s="315"/>
      <c r="H773" s="315"/>
      <c r="I773" s="318"/>
      <c r="J773" s="54"/>
      <c r="K773" s="54"/>
    </row>
    <row r="774" ht="14.25" customHeight="1">
      <c r="E774" s="315"/>
      <c r="F774" s="315"/>
      <c r="G774" s="315"/>
      <c r="H774" s="315"/>
      <c r="I774" s="318"/>
      <c r="J774" s="54"/>
      <c r="K774" s="54"/>
    </row>
    <row r="775" ht="14.25" customHeight="1">
      <c r="E775" s="315"/>
      <c r="F775" s="315"/>
      <c r="G775" s="315"/>
      <c r="H775" s="315"/>
      <c r="I775" s="318"/>
      <c r="J775" s="54"/>
      <c r="K775" s="54"/>
    </row>
    <row r="776" ht="14.25" customHeight="1">
      <c r="E776" s="315"/>
      <c r="F776" s="315"/>
      <c r="G776" s="315"/>
      <c r="H776" s="315"/>
      <c r="I776" s="318"/>
      <c r="J776" s="54"/>
      <c r="K776" s="54"/>
    </row>
    <row r="777" ht="14.25" customHeight="1">
      <c r="E777" s="315"/>
      <c r="F777" s="315"/>
      <c r="G777" s="315"/>
      <c r="H777" s="315"/>
      <c r="I777" s="318"/>
      <c r="J777" s="54"/>
      <c r="K777" s="54"/>
    </row>
    <row r="778" ht="14.25" customHeight="1">
      <c r="E778" s="315"/>
      <c r="F778" s="315"/>
      <c r="G778" s="315"/>
      <c r="H778" s="315"/>
      <c r="I778" s="318"/>
      <c r="J778" s="54"/>
      <c r="K778" s="54"/>
    </row>
    <row r="779" ht="14.25" customHeight="1">
      <c r="E779" s="315"/>
      <c r="F779" s="315"/>
      <c r="G779" s="315"/>
      <c r="H779" s="315"/>
      <c r="I779" s="318"/>
      <c r="J779" s="54"/>
      <c r="K779" s="54"/>
    </row>
    <row r="780" ht="14.25" customHeight="1">
      <c r="E780" s="315"/>
      <c r="F780" s="315"/>
      <c r="G780" s="315"/>
      <c r="H780" s="315"/>
      <c r="I780" s="318"/>
      <c r="J780" s="54"/>
      <c r="K780" s="54"/>
    </row>
    <row r="781" ht="14.25" customHeight="1">
      <c r="E781" s="315"/>
      <c r="F781" s="315"/>
      <c r="G781" s="315"/>
      <c r="H781" s="315"/>
      <c r="I781" s="318"/>
      <c r="J781" s="54"/>
      <c r="K781" s="54"/>
    </row>
    <row r="782" ht="14.25" customHeight="1">
      <c r="E782" s="315"/>
      <c r="F782" s="315"/>
      <c r="G782" s="315"/>
      <c r="H782" s="315"/>
      <c r="I782" s="318"/>
      <c r="J782" s="54"/>
      <c r="K782" s="54"/>
    </row>
    <row r="783" ht="14.25" customHeight="1">
      <c r="E783" s="315"/>
      <c r="F783" s="315"/>
      <c r="G783" s="315"/>
      <c r="H783" s="315"/>
      <c r="I783" s="318"/>
      <c r="J783" s="54"/>
      <c r="K783" s="54"/>
    </row>
    <row r="784" ht="14.25" customHeight="1">
      <c r="E784" s="315"/>
      <c r="F784" s="315"/>
      <c r="G784" s="315"/>
      <c r="H784" s="315"/>
      <c r="I784" s="318"/>
      <c r="J784" s="54"/>
      <c r="K784" s="54"/>
    </row>
    <row r="785" ht="14.25" customHeight="1">
      <c r="E785" s="315"/>
      <c r="F785" s="315"/>
      <c r="G785" s="315"/>
      <c r="H785" s="315"/>
      <c r="I785" s="318"/>
      <c r="J785" s="54"/>
      <c r="K785" s="54"/>
    </row>
    <row r="786" ht="14.25" customHeight="1">
      <c r="E786" s="315"/>
      <c r="F786" s="315"/>
      <c r="G786" s="315"/>
      <c r="H786" s="315"/>
      <c r="I786" s="318"/>
      <c r="J786" s="54"/>
      <c r="K786" s="54"/>
    </row>
    <row r="787" ht="14.25" customHeight="1">
      <c r="E787" s="315"/>
      <c r="F787" s="315"/>
      <c r="G787" s="315"/>
      <c r="H787" s="315"/>
      <c r="I787" s="318"/>
      <c r="J787" s="54"/>
      <c r="K787" s="54"/>
    </row>
    <row r="788" ht="14.25" customHeight="1">
      <c r="E788" s="315"/>
      <c r="F788" s="315"/>
      <c r="G788" s="315"/>
      <c r="H788" s="315"/>
      <c r="I788" s="318"/>
      <c r="J788" s="54"/>
      <c r="K788" s="54"/>
    </row>
    <row r="789" ht="14.25" customHeight="1">
      <c r="E789" s="315"/>
      <c r="F789" s="315"/>
      <c r="G789" s="315"/>
      <c r="H789" s="315"/>
      <c r="I789" s="318"/>
      <c r="J789" s="54"/>
      <c r="K789" s="54"/>
    </row>
    <row r="790" ht="14.25" customHeight="1">
      <c r="E790" s="315"/>
      <c r="F790" s="315"/>
      <c r="G790" s="315"/>
      <c r="H790" s="315"/>
      <c r="I790" s="318"/>
      <c r="J790" s="54"/>
      <c r="K790" s="54"/>
    </row>
    <row r="791" ht="14.25" customHeight="1">
      <c r="E791" s="315"/>
      <c r="F791" s="315"/>
      <c r="G791" s="315"/>
      <c r="H791" s="315"/>
      <c r="I791" s="318"/>
      <c r="J791" s="54"/>
      <c r="K791" s="54"/>
    </row>
    <row r="792" ht="14.25" customHeight="1">
      <c r="E792" s="315"/>
      <c r="F792" s="315"/>
      <c r="G792" s="315"/>
      <c r="H792" s="315"/>
      <c r="I792" s="318"/>
      <c r="J792" s="54"/>
      <c r="K792" s="54"/>
    </row>
    <row r="793" ht="14.25" customHeight="1">
      <c r="E793" s="315"/>
      <c r="F793" s="315"/>
      <c r="G793" s="315"/>
      <c r="H793" s="315"/>
      <c r="I793" s="318"/>
      <c r="J793" s="54"/>
      <c r="K793" s="54"/>
    </row>
    <row r="794" ht="14.25" customHeight="1">
      <c r="E794" s="315"/>
      <c r="F794" s="315"/>
      <c r="G794" s="315"/>
      <c r="H794" s="315"/>
      <c r="I794" s="318"/>
      <c r="J794" s="54"/>
      <c r="K794" s="54"/>
    </row>
    <row r="795" ht="14.25" customHeight="1">
      <c r="E795" s="315"/>
      <c r="F795" s="315"/>
      <c r="G795" s="315"/>
      <c r="H795" s="315"/>
      <c r="I795" s="318"/>
      <c r="J795" s="54"/>
      <c r="K795" s="54"/>
    </row>
    <row r="796" ht="14.25" customHeight="1">
      <c r="E796" s="315"/>
      <c r="F796" s="315"/>
      <c r="G796" s="315"/>
      <c r="H796" s="315"/>
      <c r="I796" s="318"/>
      <c r="J796" s="54"/>
      <c r="K796" s="54"/>
    </row>
    <row r="797" ht="14.25" customHeight="1">
      <c r="E797" s="315"/>
      <c r="F797" s="315"/>
      <c r="G797" s="315"/>
      <c r="H797" s="315"/>
      <c r="I797" s="318"/>
      <c r="J797" s="54"/>
      <c r="K797" s="54"/>
    </row>
    <row r="798" ht="14.25" customHeight="1">
      <c r="E798" s="315"/>
      <c r="F798" s="315"/>
      <c r="G798" s="315"/>
      <c r="H798" s="315"/>
      <c r="I798" s="318"/>
      <c r="J798" s="54"/>
      <c r="K798" s="54"/>
    </row>
    <row r="799" ht="14.25" customHeight="1">
      <c r="E799" s="315"/>
      <c r="F799" s="315"/>
      <c r="G799" s="315"/>
      <c r="H799" s="315"/>
      <c r="I799" s="318"/>
      <c r="J799" s="54"/>
      <c r="K799" s="54"/>
    </row>
    <row r="800" ht="14.25" customHeight="1">
      <c r="E800" s="315"/>
      <c r="F800" s="315"/>
      <c r="G800" s="315"/>
      <c r="H800" s="315"/>
      <c r="I800" s="318"/>
      <c r="J800" s="54"/>
      <c r="K800" s="54"/>
    </row>
    <row r="801" ht="14.25" customHeight="1">
      <c r="E801" s="315"/>
      <c r="F801" s="315"/>
      <c r="G801" s="315"/>
      <c r="H801" s="315"/>
      <c r="I801" s="318"/>
      <c r="J801" s="54"/>
      <c r="K801" s="54"/>
    </row>
    <row r="802" ht="14.25" customHeight="1">
      <c r="E802" s="315"/>
      <c r="F802" s="315"/>
      <c r="G802" s="315"/>
      <c r="H802" s="315"/>
      <c r="I802" s="318"/>
      <c r="J802" s="54"/>
      <c r="K802" s="54"/>
    </row>
    <row r="803" ht="14.25" customHeight="1">
      <c r="E803" s="315"/>
      <c r="F803" s="315"/>
      <c r="G803" s="315"/>
      <c r="H803" s="315"/>
      <c r="I803" s="318"/>
      <c r="J803" s="54"/>
      <c r="K803" s="54"/>
    </row>
    <row r="804" ht="14.25" customHeight="1">
      <c r="E804" s="315"/>
      <c r="F804" s="315"/>
      <c r="G804" s="315"/>
      <c r="H804" s="315"/>
      <c r="I804" s="318"/>
      <c r="J804" s="54"/>
      <c r="K804" s="54"/>
    </row>
    <row r="805" ht="14.25" customHeight="1">
      <c r="E805" s="315"/>
      <c r="F805" s="315"/>
      <c r="G805" s="315"/>
      <c r="H805" s="315"/>
      <c r="I805" s="318"/>
      <c r="J805" s="54"/>
      <c r="K805" s="54"/>
    </row>
    <row r="806" ht="14.25" customHeight="1">
      <c r="E806" s="315"/>
      <c r="F806" s="315"/>
      <c r="G806" s="315"/>
      <c r="H806" s="315"/>
      <c r="I806" s="318"/>
      <c r="J806" s="54"/>
      <c r="K806" s="54"/>
    </row>
    <row r="807" ht="14.25" customHeight="1">
      <c r="E807" s="315"/>
      <c r="F807" s="315"/>
      <c r="G807" s="315"/>
      <c r="H807" s="315"/>
      <c r="I807" s="318"/>
      <c r="J807" s="54"/>
      <c r="K807" s="54"/>
    </row>
    <row r="808" ht="14.25" customHeight="1">
      <c r="E808" s="315"/>
      <c r="F808" s="315"/>
      <c r="G808" s="315"/>
      <c r="H808" s="315"/>
      <c r="I808" s="318"/>
      <c r="J808" s="54"/>
      <c r="K808" s="54"/>
    </row>
    <row r="809" ht="14.25" customHeight="1">
      <c r="E809" s="315"/>
      <c r="F809" s="315"/>
      <c r="G809" s="315"/>
      <c r="H809" s="315"/>
      <c r="I809" s="318"/>
      <c r="J809" s="54"/>
      <c r="K809" s="54"/>
    </row>
    <row r="810" ht="14.25" customHeight="1">
      <c r="E810" s="315"/>
      <c r="F810" s="315"/>
      <c r="G810" s="315"/>
      <c r="H810" s="315"/>
      <c r="I810" s="318"/>
      <c r="J810" s="54"/>
      <c r="K810" s="54"/>
    </row>
    <row r="811" ht="14.25" customHeight="1">
      <c r="E811" s="315"/>
      <c r="F811" s="315"/>
      <c r="G811" s="315"/>
      <c r="H811" s="315"/>
      <c r="I811" s="318"/>
      <c r="J811" s="54"/>
      <c r="K811" s="54"/>
    </row>
    <row r="812" ht="14.25" customHeight="1">
      <c r="E812" s="315"/>
      <c r="F812" s="315"/>
      <c r="G812" s="315"/>
      <c r="H812" s="315"/>
      <c r="I812" s="318"/>
      <c r="J812" s="54"/>
      <c r="K812" s="54"/>
    </row>
    <row r="813" ht="14.25" customHeight="1">
      <c r="E813" s="315"/>
      <c r="F813" s="315"/>
      <c r="G813" s="315"/>
      <c r="H813" s="315"/>
      <c r="I813" s="318"/>
      <c r="J813" s="54"/>
      <c r="K813" s="54"/>
    </row>
    <row r="814" ht="14.25" customHeight="1">
      <c r="E814" s="315"/>
      <c r="F814" s="315"/>
      <c r="G814" s="315"/>
      <c r="H814" s="315"/>
      <c r="I814" s="318"/>
      <c r="J814" s="54"/>
      <c r="K814" s="54"/>
    </row>
    <row r="815" ht="14.25" customHeight="1">
      <c r="E815" s="315"/>
      <c r="F815" s="315"/>
      <c r="G815" s="315"/>
      <c r="H815" s="315"/>
      <c r="I815" s="318"/>
      <c r="J815" s="54"/>
      <c r="K815" s="54"/>
    </row>
    <row r="816" ht="14.25" customHeight="1">
      <c r="E816" s="315"/>
      <c r="F816" s="315"/>
      <c r="G816" s="315"/>
      <c r="H816" s="315"/>
      <c r="I816" s="318"/>
      <c r="J816" s="54"/>
      <c r="K816" s="54"/>
    </row>
    <row r="817" ht="14.25" customHeight="1">
      <c r="E817" s="315"/>
      <c r="F817" s="315"/>
      <c r="G817" s="315"/>
      <c r="H817" s="315"/>
      <c r="I817" s="318"/>
      <c r="J817" s="54"/>
      <c r="K817" s="54"/>
    </row>
    <row r="818" ht="14.25" customHeight="1">
      <c r="E818" s="315"/>
      <c r="F818" s="315"/>
      <c r="G818" s="315"/>
      <c r="H818" s="315"/>
      <c r="I818" s="318"/>
      <c r="J818" s="54"/>
      <c r="K818" s="54"/>
    </row>
    <row r="819" ht="14.25" customHeight="1">
      <c r="E819" s="315"/>
      <c r="F819" s="315"/>
      <c r="G819" s="315"/>
      <c r="H819" s="315"/>
      <c r="I819" s="318"/>
      <c r="J819" s="54"/>
      <c r="K819" s="54"/>
    </row>
    <row r="820" ht="14.25" customHeight="1">
      <c r="E820" s="315"/>
      <c r="F820" s="315"/>
      <c r="G820" s="315"/>
      <c r="H820" s="315"/>
      <c r="I820" s="318"/>
      <c r="J820" s="54"/>
      <c r="K820" s="54"/>
    </row>
    <row r="821" ht="14.25" customHeight="1">
      <c r="E821" s="315"/>
      <c r="F821" s="315"/>
      <c r="G821" s="315"/>
      <c r="H821" s="315"/>
      <c r="I821" s="318"/>
      <c r="J821" s="54"/>
      <c r="K821" s="54"/>
    </row>
    <row r="822" ht="14.25" customHeight="1">
      <c r="E822" s="315"/>
      <c r="F822" s="315"/>
      <c r="G822" s="315"/>
      <c r="H822" s="315"/>
      <c r="I822" s="318"/>
      <c r="J822" s="54"/>
      <c r="K822" s="54"/>
    </row>
    <row r="823" ht="14.25" customHeight="1">
      <c r="E823" s="315"/>
      <c r="F823" s="315"/>
      <c r="G823" s="315"/>
      <c r="H823" s="315"/>
      <c r="I823" s="318"/>
      <c r="J823" s="54"/>
      <c r="K823" s="54"/>
    </row>
    <row r="824" ht="14.25" customHeight="1">
      <c r="E824" s="315"/>
      <c r="F824" s="315"/>
      <c r="G824" s="315"/>
      <c r="H824" s="315"/>
      <c r="I824" s="318"/>
      <c r="J824" s="54"/>
      <c r="K824" s="54"/>
    </row>
    <row r="825" ht="14.25" customHeight="1">
      <c r="E825" s="315"/>
      <c r="F825" s="315"/>
      <c r="G825" s="315"/>
      <c r="H825" s="315"/>
      <c r="I825" s="318"/>
      <c r="J825" s="54"/>
      <c r="K825" s="54"/>
    </row>
    <row r="826" ht="14.25" customHeight="1">
      <c r="E826" s="315"/>
      <c r="F826" s="315"/>
      <c r="G826" s="315"/>
      <c r="H826" s="315"/>
      <c r="I826" s="318"/>
      <c r="J826" s="54"/>
      <c r="K826" s="54"/>
    </row>
    <row r="827" ht="14.25" customHeight="1">
      <c r="E827" s="315"/>
      <c r="F827" s="315"/>
      <c r="G827" s="315"/>
      <c r="H827" s="315"/>
      <c r="I827" s="318"/>
      <c r="J827" s="54"/>
      <c r="K827" s="54"/>
    </row>
    <row r="828" ht="14.25" customHeight="1">
      <c r="E828" s="315"/>
      <c r="F828" s="315"/>
      <c r="G828" s="315"/>
      <c r="H828" s="315"/>
      <c r="I828" s="318"/>
      <c r="J828" s="54"/>
      <c r="K828" s="54"/>
    </row>
    <row r="829" ht="14.25" customHeight="1">
      <c r="E829" s="315"/>
      <c r="F829" s="315"/>
      <c r="G829" s="315"/>
      <c r="H829" s="315"/>
      <c r="I829" s="318"/>
      <c r="J829" s="54"/>
      <c r="K829" s="54"/>
    </row>
    <row r="830" ht="14.25" customHeight="1">
      <c r="E830" s="315"/>
      <c r="F830" s="315"/>
      <c r="G830" s="315"/>
      <c r="H830" s="315"/>
      <c r="I830" s="318"/>
      <c r="J830" s="54"/>
      <c r="K830" s="54"/>
    </row>
    <row r="831" ht="14.25" customHeight="1">
      <c r="E831" s="315"/>
      <c r="F831" s="315"/>
      <c r="G831" s="315"/>
      <c r="H831" s="315"/>
      <c r="I831" s="318"/>
      <c r="J831" s="54"/>
      <c r="K831" s="54"/>
    </row>
    <row r="832" ht="14.25" customHeight="1">
      <c r="E832" s="315"/>
      <c r="F832" s="315"/>
      <c r="G832" s="315"/>
      <c r="H832" s="315"/>
      <c r="I832" s="318"/>
      <c r="J832" s="54"/>
      <c r="K832" s="54"/>
    </row>
    <row r="833" ht="14.25" customHeight="1">
      <c r="E833" s="315"/>
      <c r="F833" s="315"/>
      <c r="G833" s="315"/>
      <c r="H833" s="315"/>
      <c r="I833" s="318"/>
      <c r="J833" s="54"/>
      <c r="K833" s="54"/>
    </row>
    <row r="834" ht="14.25" customHeight="1">
      <c r="E834" s="315"/>
      <c r="F834" s="315"/>
      <c r="G834" s="315"/>
      <c r="H834" s="315"/>
      <c r="I834" s="318"/>
      <c r="J834" s="54"/>
      <c r="K834" s="54"/>
    </row>
    <row r="835" ht="14.25" customHeight="1">
      <c r="E835" s="315"/>
      <c r="F835" s="315"/>
      <c r="G835" s="315"/>
      <c r="H835" s="315"/>
      <c r="I835" s="318"/>
      <c r="J835" s="54"/>
      <c r="K835" s="54"/>
    </row>
    <row r="836" ht="14.25" customHeight="1">
      <c r="E836" s="315"/>
      <c r="F836" s="315"/>
      <c r="G836" s="315"/>
      <c r="H836" s="315"/>
      <c r="I836" s="318"/>
      <c r="J836" s="54"/>
      <c r="K836" s="54"/>
    </row>
    <row r="837" ht="14.25" customHeight="1">
      <c r="E837" s="315"/>
      <c r="F837" s="315"/>
      <c r="G837" s="315"/>
      <c r="H837" s="315"/>
      <c r="I837" s="318"/>
      <c r="J837" s="54"/>
      <c r="K837" s="54"/>
    </row>
    <row r="838" ht="14.25" customHeight="1">
      <c r="E838" s="315"/>
      <c r="F838" s="315"/>
      <c r="G838" s="315"/>
      <c r="H838" s="315"/>
      <c r="I838" s="318"/>
      <c r="J838" s="54"/>
      <c r="K838" s="54"/>
    </row>
    <row r="839" ht="14.25" customHeight="1">
      <c r="E839" s="315"/>
      <c r="F839" s="315"/>
      <c r="G839" s="315"/>
      <c r="H839" s="315"/>
      <c r="I839" s="318"/>
      <c r="J839" s="54"/>
      <c r="K839" s="54"/>
    </row>
    <row r="840" ht="14.25" customHeight="1">
      <c r="E840" s="315"/>
      <c r="F840" s="315"/>
      <c r="G840" s="315"/>
      <c r="H840" s="315"/>
      <c r="I840" s="318"/>
      <c r="J840" s="54"/>
      <c r="K840" s="54"/>
    </row>
    <row r="841" ht="14.25" customHeight="1">
      <c r="E841" s="315"/>
      <c r="F841" s="315"/>
      <c r="G841" s="315"/>
      <c r="H841" s="315"/>
      <c r="I841" s="318"/>
      <c r="J841" s="54"/>
      <c r="K841" s="54"/>
    </row>
    <row r="842" ht="14.25" customHeight="1">
      <c r="E842" s="315"/>
      <c r="F842" s="315"/>
      <c r="G842" s="315"/>
      <c r="H842" s="315"/>
      <c r="I842" s="318"/>
      <c r="J842" s="54"/>
      <c r="K842" s="54"/>
    </row>
    <row r="843" ht="14.25" customHeight="1">
      <c r="E843" s="315"/>
      <c r="F843" s="315"/>
      <c r="G843" s="315"/>
      <c r="H843" s="315"/>
      <c r="I843" s="318"/>
      <c r="J843" s="54"/>
      <c r="K843" s="54"/>
    </row>
    <row r="844" ht="14.25" customHeight="1">
      <c r="E844" s="315"/>
      <c r="F844" s="315"/>
      <c r="G844" s="315"/>
      <c r="H844" s="315"/>
      <c r="I844" s="318"/>
      <c r="J844" s="54"/>
      <c r="K844" s="54"/>
    </row>
    <row r="845" ht="14.25" customHeight="1">
      <c r="E845" s="315"/>
      <c r="F845" s="315"/>
      <c r="G845" s="315"/>
      <c r="H845" s="315"/>
      <c r="I845" s="318"/>
      <c r="J845" s="54"/>
      <c r="K845" s="54"/>
    </row>
    <row r="846" ht="14.25" customHeight="1">
      <c r="E846" s="315"/>
      <c r="F846" s="315"/>
      <c r="G846" s="315"/>
      <c r="H846" s="315"/>
      <c r="I846" s="318"/>
      <c r="J846" s="54"/>
      <c r="K846" s="54"/>
    </row>
    <row r="847" ht="14.25" customHeight="1">
      <c r="E847" s="315"/>
      <c r="F847" s="315"/>
      <c r="G847" s="315"/>
      <c r="H847" s="315"/>
      <c r="I847" s="318"/>
      <c r="J847" s="54"/>
      <c r="K847" s="54"/>
    </row>
    <row r="848" ht="14.25" customHeight="1">
      <c r="E848" s="315"/>
      <c r="F848" s="315"/>
      <c r="G848" s="315"/>
      <c r="H848" s="315"/>
      <c r="I848" s="318"/>
      <c r="J848" s="54"/>
      <c r="K848" s="54"/>
    </row>
    <row r="849" ht="14.25" customHeight="1">
      <c r="E849" s="315"/>
      <c r="F849" s="315"/>
      <c r="G849" s="315"/>
      <c r="H849" s="315"/>
      <c r="I849" s="318"/>
      <c r="J849" s="54"/>
      <c r="K849" s="54"/>
    </row>
    <row r="850" ht="14.25" customHeight="1">
      <c r="E850" s="315"/>
      <c r="F850" s="315"/>
      <c r="G850" s="315"/>
      <c r="H850" s="315"/>
      <c r="I850" s="318"/>
      <c r="J850" s="54"/>
      <c r="K850" s="54"/>
    </row>
    <row r="851" ht="14.25" customHeight="1">
      <c r="E851" s="315"/>
      <c r="F851" s="315"/>
      <c r="G851" s="315"/>
      <c r="H851" s="315"/>
      <c r="I851" s="318"/>
      <c r="J851" s="54"/>
      <c r="K851" s="54"/>
    </row>
    <row r="852" ht="14.25" customHeight="1">
      <c r="E852" s="315"/>
      <c r="F852" s="315"/>
      <c r="G852" s="315"/>
      <c r="H852" s="315"/>
      <c r="I852" s="318"/>
      <c r="J852" s="54"/>
      <c r="K852" s="54"/>
    </row>
    <row r="853" ht="14.25" customHeight="1">
      <c r="E853" s="315"/>
      <c r="F853" s="315"/>
      <c r="G853" s="315"/>
      <c r="H853" s="315"/>
      <c r="I853" s="318"/>
      <c r="J853" s="54"/>
      <c r="K853" s="54"/>
    </row>
    <row r="854" ht="14.25" customHeight="1">
      <c r="E854" s="315"/>
      <c r="F854" s="315"/>
      <c r="G854" s="315"/>
      <c r="H854" s="315"/>
      <c r="I854" s="318"/>
      <c r="J854" s="54"/>
      <c r="K854" s="54"/>
    </row>
    <row r="855" ht="14.25" customHeight="1">
      <c r="E855" s="315"/>
      <c r="F855" s="315"/>
      <c r="G855" s="315"/>
      <c r="H855" s="315"/>
      <c r="I855" s="318"/>
      <c r="J855" s="54"/>
      <c r="K855" s="54"/>
    </row>
    <row r="856" ht="14.25" customHeight="1">
      <c r="E856" s="315"/>
      <c r="F856" s="315"/>
      <c r="G856" s="315"/>
      <c r="H856" s="315"/>
      <c r="I856" s="318"/>
      <c r="J856" s="54"/>
      <c r="K856" s="54"/>
    </row>
    <row r="857" ht="14.25" customHeight="1">
      <c r="E857" s="315"/>
      <c r="F857" s="315"/>
      <c r="G857" s="315"/>
      <c r="H857" s="315"/>
      <c r="I857" s="318"/>
      <c r="J857" s="54"/>
      <c r="K857" s="54"/>
    </row>
    <row r="858" ht="14.25" customHeight="1">
      <c r="E858" s="315"/>
      <c r="F858" s="315"/>
      <c r="G858" s="315"/>
      <c r="H858" s="315"/>
      <c r="I858" s="318"/>
      <c r="J858" s="54"/>
      <c r="K858" s="54"/>
    </row>
    <row r="859" ht="14.25" customHeight="1">
      <c r="E859" s="315"/>
      <c r="F859" s="315"/>
      <c r="G859" s="315"/>
      <c r="H859" s="315"/>
      <c r="I859" s="318"/>
      <c r="J859" s="54"/>
      <c r="K859" s="54"/>
    </row>
    <row r="860" ht="14.25" customHeight="1">
      <c r="E860" s="315"/>
      <c r="F860" s="315"/>
      <c r="G860" s="315"/>
      <c r="H860" s="315"/>
      <c r="I860" s="318"/>
      <c r="J860" s="54"/>
      <c r="K860" s="54"/>
    </row>
    <row r="861" ht="14.25" customHeight="1">
      <c r="E861" s="315"/>
      <c r="F861" s="315"/>
      <c r="G861" s="315"/>
      <c r="H861" s="315"/>
      <c r="I861" s="318"/>
      <c r="J861" s="54"/>
      <c r="K861" s="54"/>
    </row>
    <row r="862" ht="14.25" customHeight="1">
      <c r="E862" s="315"/>
      <c r="F862" s="315"/>
      <c r="G862" s="315"/>
      <c r="H862" s="315"/>
      <c r="I862" s="318"/>
      <c r="J862" s="54"/>
      <c r="K862" s="54"/>
    </row>
    <row r="863" ht="14.25" customHeight="1">
      <c r="E863" s="315"/>
      <c r="F863" s="315"/>
      <c r="G863" s="315"/>
      <c r="H863" s="315"/>
      <c r="I863" s="318"/>
      <c r="J863" s="54"/>
      <c r="K863" s="54"/>
    </row>
    <row r="864" ht="14.25" customHeight="1">
      <c r="E864" s="315"/>
      <c r="F864" s="315"/>
      <c r="G864" s="315"/>
      <c r="H864" s="315"/>
      <c r="I864" s="318"/>
      <c r="J864" s="54"/>
      <c r="K864" s="54"/>
    </row>
    <row r="865" ht="14.25" customHeight="1">
      <c r="E865" s="315"/>
      <c r="F865" s="315"/>
      <c r="G865" s="315"/>
      <c r="H865" s="315"/>
      <c r="I865" s="318"/>
      <c r="J865" s="54"/>
      <c r="K865" s="54"/>
    </row>
    <row r="866" ht="14.25" customHeight="1">
      <c r="E866" s="315"/>
      <c r="F866" s="315"/>
      <c r="G866" s="315"/>
      <c r="H866" s="315"/>
      <c r="I866" s="318"/>
      <c r="J866" s="54"/>
      <c r="K866" s="54"/>
    </row>
    <row r="867" ht="14.25" customHeight="1">
      <c r="E867" s="315"/>
      <c r="F867" s="315"/>
      <c r="G867" s="315"/>
      <c r="H867" s="315"/>
      <c r="I867" s="318"/>
      <c r="J867" s="54"/>
      <c r="K867" s="54"/>
    </row>
    <row r="868" ht="14.25" customHeight="1">
      <c r="E868" s="315"/>
      <c r="F868" s="315"/>
      <c r="G868" s="315"/>
      <c r="H868" s="315"/>
      <c r="I868" s="318"/>
      <c r="J868" s="54"/>
      <c r="K868" s="54"/>
    </row>
    <row r="869" ht="14.25" customHeight="1">
      <c r="E869" s="315"/>
      <c r="F869" s="315"/>
      <c r="G869" s="315"/>
      <c r="H869" s="315"/>
      <c r="I869" s="318"/>
      <c r="J869" s="54"/>
      <c r="K869" s="54"/>
    </row>
    <row r="870" ht="14.25" customHeight="1">
      <c r="E870" s="315"/>
      <c r="F870" s="315"/>
      <c r="G870" s="315"/>
      <c r="H870" s="315"/>
      <c r="I870" s="318"/>
      <c r="J870" s="54"/>
      <c r="K870" s="54"/>
    </row>
    <row r="871" ht="14.25" customHeight="1">
      <c r="E871" s="315"/>
      <c r="F871" s="315"/>
      <c r="G871" s="315"/>
      <c r="H871" s="315"/>
      <c r="I871" s="318"/>
      <c r="J871" s="54"/>
      <c r="K871" s="54"/>
    </row>
    <row r="872" ht="14.25" customHeight="1">
      <c r="E872" s="315"/>
      <c r="F872" s="315"/>
      <c r="G872" s="315"/>
      <c r="H872" s="315"/>
      <c r="I872" s="318"/>
      <c r="J872" s="54"/>
      <c r="K872" s="54"/>
    </row>
    <row r="873" ht="14.25" customHeight="1">
      <c r="E873" s="315"/>
      <c r="F873" s="315"/>
      <c r="G873" s="315"/>
      <c r="H873" s="315"/>
      <c r="I873" s="318"/>
      <c r="J873" s="54"/>
      <c r="K873" s="54"/>
    </row>
    <row r="874" ht="14.25" customHeight="1">
      <c r="E874" s="315"/>
      <c r="F874" s="315"/>
      <c r="G874" s="315"/>
      <c r="H874" s="315"/>
      <c r="I874" s="318"/>
      <c r="J874" s="54"/>
      <c r="K874" s="54"/>
    </row>
    <row r="875" ht="14.25" customHeight="1">
      <c r="E875" s="315"/>
      <c r="F875" s="315"/>
      <c r="G875" s="315"/>
      <c r="H875" s="315"/>
      <c r="I875" s="318"/>
      <c r="J875" s="54"/>
      <c r="K875" s="54"/>
    </row>
    <row r="876" ht="14.25" customHeight="1">
      <c r="E876" s="315"/>
      <c r="F876" s="315"/>
      <c r="G876" s="315"/>
      <c r="H876" s="315"/>
      <c r="I876" s="318"/>
      <c r="J876" s="54"/>
      <c r="K876" s="54"/>
    </row>
    <row r="877" ht="14.25" customHeight="1">
      <c r="E877" s="315"/>
      <c r="F877" s="315"/>
      <c r="G877" s="315"/>
      <c r="H877" s="315"/>
      <c r="I877" s="318"/>
      <c r="J877" s="54"/>
      <c r="K877" s="54"/>
    </row>
    <row r="878" ht="14.25" customHeight="1">
      <c r="E878" s="315"/>
      <c r="F878" s="315"/>
      <c r="G878" s="315"/>
      <c r="H878" s="315"/>
      <c r="I878" s="318"/>
      <c r="J878" s="54"/>
      <c r="K878" s="54"/>
    </row>
    <row r="879" ht="14.25" customHeight="1">
      <c r="E879" s="315"/>
      <c r="F879" s="315"/>
      <c r="G879" s="315"/>
      <c r="H879" s="315"/>
      <c r="I879" s="318"/>
      <c r="J879" s="54"/>
      <c r="K879" s="54"/>
    </row>
    <row r="880" ht="14.25" customHeight="1">
      <c r="E880" s="315"/>
      <c r="F880" s="315"/>
      <c r="G880" s="315"/>
      <c r="H880" s="315"/>
      <c r="I880" s="318"/>
      <c r="J880" s="54"/>
      <c r="K880" s="54"/>
    </row>
    <row r="881" ht="14.25" customHeight="1">
      <c r="E881" s="315"/>
      <c r="F881" s="315"/>
      <c r="G881" s="315"/>
      <c r="H881" s="315"/>
      <c r="I881" s="318"/>
      <c r="J881" s="54"/>
      <c r="K881" s="54"/>
    </row>
    <row r="882" ht="14.25" customHeight="1">
      <c r="E882" s="315"/>
      <c r="F882" s="315"/>
      <c r="G882" s="315"/>
      <c r="H882" s="315"/>
      <c r="I882" s="318"/>
      <c r="J882" s="54"/>
      <c r="K882" s="54"/>
    </row>
    <row r="883" ht="14.25" customHeight="1">
      <c r="E883" s="315"/>
      <c r="F883" s="315"/>
      <c r="G883" s="315"/>
      <c r="H883" s="315"/>
      <c r="I883" s="318"/>
      <c r="J883" s="54"/>
      <c r="K883" s="54"/>
    </row>
    <row r="884" ht="14.25" customHeight="1">
      <c r="E884" s="315"/>
      <c r="F884" s="315"/>
      <c r="G884" s="315"/>
      <c r="H884" s="315"/>
      <c r="I884" s="318"/>
      <c r="J884" s="54"/>
      <c r="K884" s="54"/>
    </row>
    <row r="885" ht="14.25" customHeight="1">
      <c r="E885" s="315"/>
      <c r="F885" s="315"/>
      <c r="G885" s="315"/>
      <c r="H885" s="315"/>
      <c r="I885" s="318"/>
      <c r="J885" s="54"/>
      <c r="K885" s="54"/>
    </row>
    <row r="886" ht="14.25" customHeight="1">
      <c r="E886" s="315"/>
      <c r="F886" s="315"/>
      <c r="G886" s="315"/>
      <c r="H886" s="315"/>
      <c r="I886" s="318"/>
      <c r="J886" s="54"/>
      <c r="K886" s="54"/>
    </row>
    <row r="887" ht="14.25" customHeight="1">
      <c r="E887" s="315"/>
      <c r="F887" s="315"/>
      <c r="G887" s="315"/>
      <c r="H887" s="315"/>
      <c r="I887" s="318"/>
      <c r="J887" s="54"/>
      <c r="K887" s="54"/>
    </row>
    <row r="888" ht="14.25" customHeight="1">
      <c r="E888" s="315"/>
      <c r="F888" s="315"/>
      <c r="G888" s="315"/>
      <c r="H888" s="315"/>
      <c r="I888" s="318"/>
      <c r="J888" s="54"/>
      <c r="K888" s="54"/>
    </row>
    <row r="889" ht="14.25" customHeight="1">
      <c r="E889" s="315"/>
      <c r="F889" s="315"/>
      <c r="G889" s="315"/>
      <c r="H889" s="315"/>
      <c r="I889" s="318"/>
      <c r="J889" s="54"/>
      <c r="K889" s="54"/>
    </row>
    <row r="890" ht="14.25" customHeight="1">
      <c r="E890" s="315"/>
      <c r="F890" s="315"/>
      <c r="G890" s="315"/>
      <c r="H890" s="315"/>
      <c r="I890" s="318"/>
      <c r="J890" s="54"/>
      <c r="K890" s="54"/>
    </row>
    <row r="891" ht="14.25" customHeight="1">
      <c r="E891" s="315"/>
      <c r="F891" s="315"/>
      <c r="G891" s="315"/>
      <c r="H891" s="315"/>
      <c r="I891" s="318"/>
      <c r="J891" s="54"/>
      <c r="K891" s="54"/>
    </row>
    <row r="892" ht="14.25" customHeight="1">
      <c r="E892" s="315"/>
      <c r="F892" s="315"/>
      <c r="G892" s="315"/>
      <c r="H892" s="315"/>
      <c r="I892" s="318"/>
      <c r="J892" s="54"/>
      <c r="K892" s="54"/>
    </row>
    <row r="893" ht="14.25" customHeight="1">
      <c r="E893" s="315"/>
      <c r="F893" s="315"/>
      <c r="G893" s="315"/>
      <c r="H893" s="315"/>
      <c r="I893" s="318"/>
      <c r="J893" s="54"/>
      <c r="K893" s="54"/>
    </row>
    <row r="894" ht="14.25" customHeight="1">
      <c r="E894" s="315"/>
      <c r="F894" s="315"/>
      <c r="G894" s="315"/>
      <c r="H894" s="315"/>
      <c r="I894" s="318"/>
      <c r="J894" s="54"/>
      <c r="K894" s="54"/>
    </row>
    <row r="895" ht="14.25" customHeight="1">
      <c r="E895" s="315"/>
      <c r="F895" s="315"/>
      <c r="G895" s="315"/>
      <c r="H895" s="315"/>
      <c r="I895" s="318"/>
      <c r="J895" s="54"/>
      <c r="K895" s="54"/>
    </row>
    <row r="896" ht="14.25" customHeight="1">
      <c r="E896" s="315"/>
      <c r="F896" s="315"/>
      <c r="G896" s="315"/>
      <c r="H896" s="315"/>
      <c r="I896" s="318"/>
      <c r="J896" s="54"/>
      <c r="K896" s="54"/>
    </row>
    <row r="897" ht="14.25" customHeight="1">
      <c r="E897" s="315"/>
      <c r="F897" s="315"/>
      <c r="G897" s="315"/>
      <c r="H897" s="315"/>
      <c r="I897" s="318"/>
      <c r="J897" s="54"/>
      <c r="K897" s="54"/>
    </row>
    <row r="898" ht="14.25" customHeight="1">
      <c r="E898" s="315"/>
      <c r="F898" s="315"/>
      <c r="G898" s="315"/>
      <c r="H898" s="315"/>
      <c r="I898" s="318"/>
      <c r="J898" s="54"/>
      <c r="K898" s="54"/>
    </row>
    <row r="899" ht="14.25" customHeight="1">
      <c r="E899" s="315"/>
      <c r="F899" s="315"/>
      <c r="G899" s="315"/>
      <c r="H899" s="315"/>
      <c r="I899" s="318"/>
      <c r="J899" s="54"/>
      <c r="K899" s="54"/>
    </row>
    <row r="900" ht="14.25" customHeight="1">
      <c r="E900" s="315"/>
      <c r="F900" s="315"/>
      <c r="G900" s="315"/>
      <c r="H900" s="315"/>
      <c r="I900" s="318"/>
      <c r="J900" s="54"/>
      <c r="K900" s="54"/>
    </row>
    <row r="901" ht="14.25" customHeight="1">
      <c r="E901" s="315"/>
      <c r="F901" s="315"/>
      <c r="G901" s="315"/>
      <c r="H901" s="315"/>
      <c r="I901" s="318"/>
      <c r="J901" s="54"/>
      <c r="K901" s="54"/>
    </row>
    <row r="902" ht="14.25" customHeight="1">
      <c r="E902" s="315"/>
      <c r="F902" s="315"/>
      <c r="G902" s="315"/>
      <c r="H902" s="315"/>
      <c r="I902" s="318"/>
      <c r="J902" s="54"/>
      <c r="K902" s="54"/>
    </row>
    <row r="903" ht="14.25" customHeight="1">
      <c r="E903" s="315"/>
      <c r="F903" s="315"/>
      <c r="G903" s="315"/>
      <c r="H903" s="315"/>
      <c r="I903" s="318"/>
      <c r="J903" s="54"/>
      <c r="K903" s="54"/>
    </row>
    <row r="904" ht="14.25" customHeight="1">
      <c r="E904" s="315"/>
      <c r="F904" s="315"/>
      <c r="G904" s="315"/>
      <c r="H904" s="315"/>
      <c r="I904" s="318"/>
      <c r="J904" s="54"/>
      <c r="K904" s="54"/>
    </row>
    <row r="905" ht="14.25" customHeight="1">
      <c r="E905" s="315"/>
      <c r="F905" s="315"/>
      <c r="G905" s="315"/>
      <c r="H905" s="315"/>
      <c r="I905" s="318"/>
      <c r="J905" s="54"/>
      <c r="K905" s="54"/>
    </row>
    <row r="906" ht="14.25" customHeight="1">
      <c r="E906" s="315"/>
      <c r="F906" s="315"/>
      <c r="G906" s="315"/>
      <c r="H906" s="315"/>
      <c r="I906" s="318"/>
      <c r="J906" s="54"/>
      <c r="K906" s="54"/>
    </row>
    <row r="907" ht="14.25" customHeight="1">
      <c r="E907" s="315"/>
      <c r="F907" s="315"/>
      <c r="G907" s="315"/>
      <c r="H907" s="315"/>
      <c r="I907" s="318"/>
      <c r="J907" s="54"/>
      <c r="K907" s="54"/>
    </row>
    <row r="908" ht="14.25" customHeight="1">
      <c r="E908" s="315"/>
      <c r="F908" s="315"/>
      <c r="G908" s="315"/>
      <c r="H908" s="315"/>
      <c r="I908" s="318"/>
      <c r="J908" s="54"/>
      <c r="K908" s="54"/>
    </row>
    <row r="909" ht="14.25" customHeight="1">
      <c r="E909" s="315"/>
      <c r="F909" s="315"/>
      <c r="G909" s="315"/>
      <c r="H909" s="315"/>
      <c r="I909" s="318"/>
      <c r="J909" s="54"/>
      <c r="K909" s="54"/>
    </row>
    <row r="910" ht="14.25" customHeight="1">
      <c r="E910" s="315"/>
      <c r="F910" s="315"/>
      <c r="G910" s="315"/>
      <c r="H910" s="315"/>
      <c r="I910" s="318"/>
      <c r="J910" s="54"/>
      <c r="K910" s="54"/>
    </row>
    <row r="911" ht="14.25" customHeight="1">
      <c r="E911" s="315"/>
      <c r="F911" s="315"/>
      <c r="G911" s="315"/>
      <c r="H911" s="315"/>
      <c r="I911" s="318"/>
      <c r="J911" s="54"/>
      <c r="K911" s="54"/>
    </row>
    <row r="912" ht="14.25" customHeight="1">
      <c r="E912" s="315"/>
      <c r="F912" s="315"/>
      <c r="G912" s="315"/>
      <c r="H912" s="315"/>
      <c r="I912" s="318"/>
      <c r="J912" s="54"/>
      <c r="K912" s="54"/>
    </row>
    <row r="913" ht="14.25" customHeight="1">
      <c r="E913" s="315"/>
      <c r="F913" s="315"/>
      <c r="G913" s="315"/>
      <c r="H913" s="315"/>
      <c r="I913" s="318"/>
      <c r="J913" s="54"/>
      <c r="K913" s="54"/>
    </row>
    <row r="914" ht="14.25" customHeight="1">
      <c r="E914" s="315"/>
      <c r="F914" s="315"/>
      <c r="G914" s="315"/>
      <c r="H914" s="315"/>
      <c r="I914" s="318"/>
      <c r="J914" s="54"/>
      <c r="K914" s="54"/>
    </row>
    <row r="915" ht="14.25" customHeight="1">
      <c r="E915" s="315"/>
      <c r="F915" s="315"/>
      <c r="G915" s="315"/>
      <c r="H915" s="315"/>
      <c r="I915" s="318"/>
      <c r="J915" s="54"/>
      <c r="K915" s="54"/>
    </row>
    <row r="916" ht="14.25" customHeight="1">
      <c r="E916" s="315"/>
      <c r="F916" s="315"/>
      <c r="G916" s="315"/>
      <c r="H916" s="315"/>
      <c r="I916" s="318"/>
      <c r="J916" s="54"/>
      <c r="K916" s="54"/>
    </row>
    <row r="917" ht="14.25" customHeight="1">
      <c r="E917" s="315"/>
      <c r="F917" s="315"/>
      <c r="G917" s="315"/>
      <c r="H917" s="315"/>
      <c r="I917" s="318"/>
      <c r="J917" s="54"/>
      <c r="K917" s="54"/>
    </row>
    <row r="918" ht="14.25" customHeight="1">
      <c r="E918" s="315"/>
      <c r="F918" s="315"/>
      <c r="G918" s="315"/>
      <c r="H918" s="315"/>
      <c r="I918" s="318"/>
      <c r="J918" s="54"/>
      <c r="K918" s="54"/>
    </row>
    <row r="919" ht="14.25" customHeight="1">
      <c r="E919" s="315"/>
      <c r="F919" s="315"/>
      <c r="G919" s="315"/>
      <c r="H919" s="315"/>
      <c r="I919" s="318"/>
      <c r="J919" s="54"/>
      <c r="K919" s="54"/>
    </row>
    <row r="920" ht="14.25" customHeight="1">
      <c r="E920" s="315"/>
      <c r="F920" s="315"/>
      <c r="G920" s="315"/>
      <c r="H920" s="315"/>
      <c r="I920" s="318"/>
      <c r="J920" s="54"/>
      <c r="K920" s="54"/>
    </row>
    <row r="921" ht="14.25" customHeight="1">
      <c r="E921" s="315"/>
      <c r="F921" s="315"/>
      <c r="G921" s="315"/>
      <c r="H921" s="315"/>
      <c r="I921" s="318"/>
      <c r="J921" s="54"/>
      <c r="K921" s="54"/>
    </row>
    <row r="922" ht="14.25" customHeight="1">
      <c r="E922" s="315"/>
      <c r="F922" s="315"/>
      <c r="G922" s="315"/>
      <c r="H922" s="315"/>
      <c r="I922" s="318"/>
      <c r="J922" s="54"/>
      <c r="K922" s="54"/>
    </row>
    <row r="923" ht="14.25" customHeight="1">
      <c r="E923" s="315"/>
      <c r="F923" s="315"/>
      <c r="G923" s="315"/>
      <c r="H923" s="315"/>
      <c r="I923" s="318"/>
      <c r="J923" s="54"/>
      <c r="K923" s="54"/>
    </row>
    <row r="924" ht="14.25" customHeight="1">
      <c r="E924" s="315"/>
      <c r="F924" s="315"/>
      <c r="G924" s="315"/>
      <c r="H924" s="315"/>
      <c r="I924" s="318"/>
      <c r="J924" s="54"/>
      <c r="K924" s="54"/>
    </row>
    <row r="925" ht="14.25" customHeight="1">
      <c r="E925" s="315"/>
      <c r="F925" s="315"/>
      <c r="G925" s="315"/>
      <c r="H925" s="315"/>
      <c r="I925" s="318"/>
      <c r="J925" s="54"/>
      <c r="K925" s="54"/>
    </row>
    <row r="926" ht="14.25" customHeight="1">
      <c r="E926" s="315"/>
      <c r="F926" s="315"/>
      <c r="G926" s="315"/>
      <c r="H926" s="315"/>
      <c r="I926" s="318"/>
      <c r="J926" s="54"/>
      <c r="K926" s="54"/>
    </row>
    <row r="927" ht="14.25" customHeight="1">
      <c r="E927" s="315"/>
      <c r="F927" s="315"/>
      <c r="G927" s="315"/>
      <c r="H927" s="315"/>
      <c r="I927" s="318"/>
      <c r="J927" s="54"/>
      <c r="K927" s="54"/>
    </row>
    <row r="928" ht="14.25" customHeight="1">
      <c r="E928" s="315"/>
      <c r="F928" s="315"/>
      <c r="G928" s="315"/>
      <c r="H928" s="315"/>
      <c r="I928" s="318"/>
      <c r="J928" s="54"/>
      <c r="K928" s="54"/>
    </row>
    <row r="929" ht="14.25" customHeight="1">
      <c r="E929" s="315"/>
      <c r="F929" s="315"/>
      <c r="G929" s="315"/>
      <c r="H929" s="315"/>
      <c r="I929" s="318"/>
      <c r="J929" s="54"/>
      <c r="K929" s="54"/>
    </row>
    <row r="930" ht="14.25" customHeight="1">
      <c r="E930" s="315"/>
      <c r="F930" s="315"/>
      <c r="G930" s="315"/>
      <c r="H930" s="315"/>
      <c r="I930" s="318"/>
      <c r="J930" s="54"/>
      <c r="K930" s="54"/>
    </row>
    <row r="931" ht="14.25" customHeight="1">
      <c r="E931" s="315"/>
      <c r="F931" s="315"/>
      <c r="G931" s="315"/>
      <c r="H931" s="315"/>
      <c r="I931" s="318"/>
      <c r="J931" s="54"/>
      <c r="K931" s="54"/>
    </row>
    <row r="932" ht="14.25" customHeight="1">
      <c r="E932" s="315"/>
      <c r="F932" s="315"/>
      <c r="G932" s="315"/>
      <c r="H932" s="315"/>
      <c r="I932" s="318"/>
      <c r="J932" s="54"/>
      <c r="K932" s="54"/>
    </row>
    <row r="933" ht="14.25" customHeight="1">
      <c r="E933" s="315"/>
      <c r="F933" s="315"/>
      <c r="G933" s="315"/>
      <c r="H933" s="315"/>
      <c r="I933" s="318"/>
      <c r="J933" s="54"/>
      <c r="K933" s="54"/>
    </row>
    <row r="934" ht="14.25" customHeight="1">
      <c r="E934" s="315"/>
      <c r="F934" s="315"/>
      <c r="G934" s="315"/>
      <c r="H934" s="315"/>
      <c r="I934" s="318"/>
      <c r="J934" s="54"/>
      <c r="K934" s="54"/>
    </row>
    <row r="935" ht="14.25" customHeight="1">
      <c r="E935" s="315"/>
      <c r="F935" s="315"/>
      <c r="G935" s="315"/>
      <c r="H935" s="315"/>
      <c r="I935" s="318"/>
      <c r="J935" s="54"/>
      <c r="K935" s="54"/>
    </row>
    <row r="936" ht="14.25" customHeight="1">
      <c r="E936" s="315"/>
      <c r="F936" s="315"/>
      <c r="G936" s="315"/>
      <c r="H936" s="315"/>
      <c r="I936" s="318"/>
      <c r="J936" s="54"/>
      <c r="K936" s="54"/>
    </row>
    <row r="937" ht="14.25" customHeight="1">
      <c r="E937" s="315"/>
      <c r="F937" s="315"/>
      <c r="G937" s="315"/>
      <c r="H937" s="315"/>
      <c r="I937" s="318"/>
      <c r="J937" s="54"/>
      <c r="K937" s="54"/>
    </row>
    <row r="938" ht="14.25" customHeight="1">
      <c r="E938" s="315"/>
      <c r="F938" s="315"/>
      <c r="G938" s="315"/>
      <c r="H938" s="315"/>
      <c r="I938" s="318"/>
      <c r="J938" s="54"/>
      <c r="K938" s="54"/>
    </row>
    <row r="939" ht="14.25" customHeight="1">
      <c r="E939" s="315"/>
      <c r="F939" s="315"/>
      <c r="G939" s="315"/>
      <c r="H939" s="315"/>
      <c r="I939" s="318"/>
      <c r="J939" s="54"/>
      <c r="K939" s="54"/>
    </row>
    <row r="940" ht="14.25" customHeight="1">
      <c r="E940" s="315"/>
      <c r="F940" s="315"/>
      <c r="G940" s="315"/>
      <c r="H940" s="315"/>
      <c r="I940" s="318"/>
      <c r="J940" s="54"/>
      <c r="K940" s="54"/>
    </row>
    <row r="941" ht="14.25" customHeight="1">
      <c r="E941" s="315"/>
      <c r="F941" s="315"/>
      <c r="G941" s="315"/>
      <c r="H941" s="315"/>
      <c r="I941" s="318"/>
      <c r="J941" s="54"/>
      <c r="K941" s="54"/>
    </row>
    <row r="942" ht="14.25" customHeight="1">
      <c r="E942" s="315"/>
      <c r="F942" s="315"/>
      <c r="G942" s="315"/>
      <c r="H942" s="315"/>
      <c r="I942" s="318"/>
      <c r="J942" s="54"/>
      <c r="K942" s="54"/>
    </row>
    <row r="943" ht="14.25" customHeight="1">
      <c r="E943" s="315"/>
      <c r="F943" s="315"/>
      <c r="G943" s="315"/>
      <c r="H943" s="315"/>
      <c r="I943" s="318"/>
      <c r="J943" s="54"/>
      <c r="K943" s="54"/>
    </row>
    <row r="944" ht="14.25" customHeight="1">
      <c r="E944" s="315"/>
      <c r="F944" s="315"/>
      <c r="G944" s="315"/>
      <c r="H944" s="315"/>
      <c r="I944" s="318"/>
      <c r="J944" s="54"/>
      <c r="K944" s="54"/>
    </row>
    <row r="945" ht="14.25" customHeight="1">
      <c r="E945" s="315"/>
      <c r="F945" s="315"/>
      <c r="G945" s="315"/>
      <c r="H945" s="315"/>
      <c r="I945" s="318"/>
      <c r="J945" s="54"/>
      <c r="K945" s="54"/>
    </row>
    <row r="946" ht="14.25" customHeight="1">
      <c r="E946" s="315"/>
      <c r="F946" s="315"/>
      <c r="G946" s="315"/>
      <c r="H946" s="315"/>
      <c r="I946" s="318"/>
      <c r="J946" s="54"/>
      <c r="K946" s="54"/>
    </row>
    <row r="947" ht="14.25" customHeight="1">
      <c r="E947" s="315"/>
      <c r="F947" s="315"/>
      <c r="G947" s="315"/>
      <c r="H947" s="315"/>
      <c r="I947" s="318"/>
      <c r="J947" s="54"/>
      <c r="K947" s="54"/>
    </row>
    <row r="948" ht="14.25" customHeight="1">
      <c r="E948" s="315"/>
      <c r="F948" s="315"/>
      <c r="G948" s="315"/>
      <c r="H948" s="315"/>
      <c r="I948" s="318"/>
      <c r="J948" s="54"/>
      <c r="K948" s="54"/>
    </row>
    <row r="949" ht="14.25" customHeight="1">
      <c r="E949" s="315"/>
      <c r="F949" s="315"/>
      <c r="G949" s="315"/>
      <c r="H949" s="315"/>
      <c r="I949" s="318"/>
      <c r="J949" s="54"/>
      <c r="K949" s="54"/>
    </row>
    <row r="950" ht="14.25" customHeight="1">
      <c r="E950" s="315"/>
      <c r="F950" s="315"/>
      <c r="G950" s="315"/>
      <c r="H950" s="315"/>
      <c r="I950" s="318"/>
      <c r="J950" s="54"/>
      <c r="K950" s="54"/>
    </row>
    <row r="951" ht="14.25" customHeight="1">
      <c r="E951" s="315"/>
      <c r="F951" s="315"/>
      <c r="G951" s="315"/>
      <c r="H951" s="315"/>
      <c r="I951" s="318"/>
      <c r="J951" s="54"/>
      <c r="K951" s="54"/>
    </row>
    <row r="952" ht="14.25" customHeight="1">
      <c r="E952" s="315"/>
      <c r="F952" s="315"/>
      <c r="G952" s="315"/>
      <c r="H952" s="315"/>
      <c r="I952" s="318"/>
      <c r="J952" s="54"/>
      <c r="K952" s="54"/>
    </row>
    <row r="953" ht="14.25" customHeight="1">
      <c r="E953" s="315"/>
      <c r="F953" s="315"/>
      <c r="G953" s="315"/>
      <c r="H953" s="315"/>
      <c r="I953" s="318"/>
      <c r="J953" s="54"/>
      <c r="K953" s="54"/>
    </row>
    <row r="954" ht="14.25" customHeight="1">
      <c r="E954" s="315"/>
      <c r="F954" s="315"/>
      <c r="G954" s="315"/>
      <c r="H954" s="315"/>
      <c r="I954" s="318"/>
      <c r="J954" s="54"/>
      <c r="K954" s="54"/>
    </row>
    <row r="955" ht="14.25" customHeight="1">
      <c r="E955" s="315"/>
      <c r="F955" s="315"/>
      <c r="G955" s="315"/>
      <c r="H955" s="315"/>
      <c r="I955" s="318"/>
      <c r="J955" s="54"/>
      <c r="K955" s="54"/>
    </row>
    <row r="956" ht="14.25" customHeight="1">
      <c r="E956" s="315"/>
      <c r="F956" s="315"/>
      <c r="G956" s="315"/>
      <c r="H956" s="315"/>
      <c r="I956" s="318"/>
      <c r="J956" s="54"/>
      <c r="K956" s="54"/>
    </row>
    <row r="957" ht="14.25" customHeight="1">
      <c r="E957" s="315"/>
      <c r="F957" s="315"/>
      <c r="G957" s="315"/>
      <c r="H957" s="315"/>
      <c r="I957" s="318"/>
      <c r="J957" s="54"/>
      <c r="K957" s="54"/>
    </row>
    <row r="958" ht="14.25" customHeight="1">
      <c r="E958" s="315"/>
      <c r="F958" s="315"/>
      <c r="G958" s="315"/>
      <c r="H958" s="315"/>
      <c r="I958" s="318"/>
      <c r="J958" s="54"/>
      <c r="K958" s="54"/>
    </row>
    <row r="959" ht="14.25" customHeight="1">
      <c r="E959" s="315"/>
      <c r="F959" s="315"/>
      <c r="G959" s="315"/>
      <c r="H959" s="315"/>
      <c r="I959" s="318"/>
      <c r="J959" s="54"/>
      <c r="K959" s="54"/>
    </row>
    <row r="960" ht="14.25" customHeight="1">
      <c r="E960" s="315"/>
      <c r="F960" s="315"/>
      <c r="G960" s="315"/>
      <c r="H960" s="315"/>
      <c r="I960" s="318"/>
      <c r="J960" s="54"/>
      <c r="K960" s="54"/>
    </row>
    <row r="961" ht="14.25" customHeight="1">
      <c r="E961" s="315"/>
      <c r="F961" s="315"/>
      <c r="G961" s="315"/>
      <c r="H961" s="315"/>
      <c r="I961" s="318"/>
      <c r="J961" s="54"/>
      <c r="K961" s="54"/>
    </row>
    <row r="962" ht="14.25" customHeight="1">
      <c r="E962" s="315"/>
      <c r="F962" s="315"/>
      <c r="G962" s="315"/>
      <c r="H962" s="315"/>
      <c r="I962" s="318"/>
      <c r="J962" s="54"/>
      <c r="K962" s="54"/>
    </row>
    <row r="963" ht="14.25" customHeight="1">
      <c r="E963" s="315"/>
      <c r="F963" s="315"/>
      <c r="G963" s="315"/>
      <c r="H963" s="315"/>
      <c r="I963" s="318"/>
      <c r="J963" s="54"/>
      <c r="K963" s="54"/>
    </row>
    <row r="964" ht="14.25" customHeight="1">
      <c r="E964" s="315"/>
      <c r="F964" s="315"/>
      <c r="G964" s="315"/>
      <c r="H964" s="315"/>
      <c r="I964" s="318"/>
      <c r="J964" s="54"/>
      <c r="K964" s="54"/>
    </row>
    <row r="965" ht="14.25" customHeight="1">
      <c r="E965" s="315"/>
      <c r="F965" s="315"/>
      <c r="G965" s="315"/>
      <c r="H965" s="315"/>
      <c r="I965" s="318"/>
      <c r="J965" s="54"/>
      <c r="K965" s="54"/>
    </row>
    <row r="966" ht="14.25" customHeight="1">
      <c r="E966" s="315"/>
      <c r="F966" s="315"/>
      <c r="G966" s="315"/>
      <c r="H966" s="315"/>
      <c r="I966" s="318"/>
      <c r="J966" s="54"/>
      <c r="K966" s="54"/>
    </row>
    <row r="967" ht="14.25" customHeight="1">
      <c r="E967" s="315"/>
      <c r="F967" s="315"/>
      <c r="G967" s="315"/>
      <c r="H967" s="315"/>
      <c r="I967" s="318"/>
      <c r="J967" s="54"/>
      <c r="K967" s="54"/>
    </row>
    <row r="968" ht="14.25" customHeight="1">
      <c r="E968" s="315"/>
      <c r="F968" s="315"/>
      <c r="G968" s="315"/>
      <c r="H968" s="315"/>
      <c r="I968" s="318"/>
      <c r="J968" s="54"/>
      <c r="K968" s="54"/>
    </row>
    <row r="969" ht="14.25" customHeight="1">
      <c r="E969" s="315"/>
      <c r="F969" s="315"/>
      <c r="G969" s="315"/>
      <c r="H969" s="315"/>
      <c r="I969" s="318"/>
      <c r="J969" s="54"/>
      <c r="K969" s="54"/>
    </row>
    <row r="970" ht="14.25" customHeight="1">
      <c r="E970" s="315"/>
      <c r="F970" s="315"/>
      <c r="G970" s="315"/>
      <c r="H970" s="315"/>
      <c r="I970" s="318"/>
      <c r="J970" s="54"/>
      <c r="K970" s="54"/>
    </row>
    <row r="971" ht="14.25" customHeight="1">
      <c r="E971" s="315"/>
      <c r="F971" s="315"/>
      <c r="G971" s="315"/>
      <c r="H971" s="315"/>
      <c r="I971" s="318"/>
      <c r="J971" s="54"/>
      <c r="K971" s="54"/>
    </row>
    <row r="972" ht="14.25" customHeight="1">
      <c r="E972" s="315"/>
      <c r="F972" s="315"/>
      <c r="G972" s="315"/>
      <c r="H972" s="315"/>
      <c r="I972" s="318"/>
      <c r="J972" s="54"/>
      <c r="K972" s="54"/>
    </row>
    <row r="973" ht="14.25" customHeight="1">
      <c r="E973" s="315"/>
      <c r="F973" s="315"/>
      <c r="G973" s="315"/>
      <c r="H973" s="315"/>
      <c r="I973" s="318"/>
      <c r="J973" s="54"/>
      <c r="K973" s="54"/>
    </row>
    <row r="974" ht="14.25" customHeight="1">
      <c r="E974" s="315"/>
      <c r="F974" s="315"/>
      <c r="G974" s="315"/>
      <c r="H974" s="315"/>
      <c r="I974" s="318"/>
      <c r="J974" s="54"/>
      <c r="K974" s="54"/>
    </row>
    <row r="975" ht="14.25" customHeight="1">
      <c r="E975" s="315"/>
      <c r="F975" s="315"/>
      <c r="G975" s="315"/>
      <c r="H975" s="315"/>
      <c r="I975" s="318"/>
      <c r="J975" s="54"/>
      <c r="K975" s="54"/>
    </row>
    <row r="976" ht="14.25" customHeight="1">
      <c r="E976" s="315"/>
      <c r="F976" s="315"/>
      <c r="G976" s="315"/>
      <c r="H976" s="315"/>
      <c r="I976" s="318"/>
      <c r="J976" s="54"/>
      <c r="K976" s="54"/>
    </row>
    <row r="977" ht="14.25" customHeight="1">
      <c r="E977" s="315"/>
      <c r="F977" s="315"/>
      <c r="G977" s="315"/>
      <c r="H977" s="315"/>
      <c r="I977" s="318"/>
      <c r="J977" s="54"/>
      <c r="K977" s="54"/>
    </row>
    <row r="978" ht="14.25" customHeight="1">
      <c r="E978" s="315"/>
      <c r="F978" s="315"/>
      <c r="G978" s="315"/>
      <c r="H978" s="315"/>
      <c r="I978" s="318"/>
      <c r="J978" s="54"/>
      <c r="K978" s="54"/>
    </row>
    <row r="979" ht="14.25" customHeight="1">
      <c r="E979" s="315"/>
      <c r="F979" s="315"/>
      <c r="G979" s="315"/>
      <c r="H979" s="315"/>
      <c r="I979" s="318"/>
      <c r="J979" s="54"/>
      <c r="K979" s="54"/>
    </row>
    <row r="980" ht="14.25" customHeight="1">
      <c r="E980" s="315"/>
      <c r="F980" s="315"/>
      <c r="G980" s="315"/>
      <c r="H980" s="315"/>
      <c r="I980" s="318"/>
      <c r="J980" s="54"/>
      <c r="K980" s="54"/>
    </row>
    <row r="981" ht="14.25" customHeight="1">
      <c r="E981" s="315"/>
      <c r="F981" s="315"/>
      <c r="G981" s="315"/>
      <c r="H981" s="315"/>
      <c r="I981" s="318"/>
      <c r="J981" s="54"/>
      <c r="K981" s="54"/>
    </row>
    <row r="982" ht="14.25" customHeight="1">
      <c r="E982" s="315"/>
      <c r="F982" s="315"/>
      <c r="G982" s="315"/>
      <c r="H982" s="315"/>
      <c r="I982" s="318"/>
      <c r="J982" s="54"/>
      <c r="K982" s="54"/>
    </row>
    <row r="983" ht="14.25" customHeight="1">
      <c r="E983" s="315"/>
      <c r="F983" s="315"/>
      <c r="G983" s="315"/>
      <c r="H983" s="315"/>
      <c r="I983" s="318"/>
      <c r="J983" s="54"/>
      <c r="K983" s="54"/>
    </row>
    <row r="984" ht="14.25" customHeight="1">
      <c r="E984" s="315"/>
      <c r="F984" s="315"/>
      <c r="G984" s="315"/>
      <c r="H984" s="315"/>
      <c r="I984" s="318"/>
      <c r="J984" s="54"/>
      <c r="K984" s="54"/>
    </row>
    <row r="985" ht="14.25" customHeight="1">
      <c r="E985" s="315"/>
      <c r="F985" s="315"/>
      <c r="G985" s="315"/>
      <c r="H985" s="315"/>
      <c r="I985" s="318"/>
      <c r="J985" s="54"/>
      <c r="K985" s="54"/>
    </row>
    <row r="986" ht="14.25" customHeight="1">
      <c r="E986" s="315"/>
      <c r="F986" s="315"/>
      <c r="G986" s="315"/>
      <c r="H986" s="315"/>
      <c r="I986" s="318"/>
      <c r="J986" s="54"/>
      <c r="K986" s="54"/>
    </row>
    <row r="987" ht="14.25" customHeight="1">
      <c r="E987" s="315"/>
      <c r="F987" s="315"/>
      <c r="G987" s="315"/>
      <c r="H987" s="315"/>
      <c r="I987" s="318"/>
      <c r="J987" s="54"/>
      <c r="K987" s="54"/>
    </row>
    <row r="988" ht="14.25" customHeight="1">
      <c r="E988" s="315"/>
      <c r="F988" s="315"/>
      <c r="G988" s="315"/>
      <c r="H988" s="315"/>
      <c r="I988" s="318"/>
      <c r="J988" s="54"/>
      <c r="K988" s="54"/>
    </row>
    <row r="989" ht="14.25" customHeight="1">
      <c r="E989" s="315"/>
      <c r="F989" s="315"/>
      <c r="G989" s="315"/>
      <c r="H989" s="315"/>
      <c r="I989" s="318"/>
      <c r="J989" s="54"/>
      <c r="K989" s="54"/>
    </row>
    <row r="990" ht="14.25" customHeight="1">
      <c r="E990" s="315"/>
      <c r="F990" s="315"/>
      <c r="G990" s="315"/>
      <c r="H990" s="315"/>
      <c r="I990" s="318"/>
      <c r="J990" s="54"/>
      <c r="K990" s="54"/>
    </row>
    <row r="991" ht="14.25" customHeight="1">
      <c r="E991" s="315"/>
      <c r="F991" s="315"/>
      <c r="G991" s="315"/>
      <c r="H991" s="315"/>
      <c r="I991" s="318"/>
      <c r="J991" s="54"/>
      <c r="K991" s="54"/>
    </row>
    <row r="992" ht="14.25" customHeight="1">
      <c r="E992" s="315"/>
      <c r="F992" s="315"/>
      <c r="G992" s="315"/>
      <c r="H992" s="315"/>
      <c r="I992" s="318"/>
      <c r="J992" s="54"/>
      <c r="K992" s="54"/>
    </row>
    <row r="993" ht="14.25" customHeight="1">
      <c r="E993" s="315"/>
      <c r="F993" s="315"/>
      <c r="G993" s="315"/>
      <c r="H993" s="315"/>
      <c r="I993" s="318"/>
      <c r="J993" s="54"/>
      <c r="K993" s="54"/>
    </row>
    <row r="994" ht="14.25" customHeight="1">
      <c r="E994" s="315"/>
      <c r="F994" s="315"/>
      <c r="G994" s="315"/>
      <c r="H994" s="315"/>
      <c r="I994" s="318"/>
      <c r="J994" s="54"/>
      <c r="K994" s="54"/>
    </row>
    <row r="995" ht="14.25" customHeight="1">
      <c r="E995" s="315"/>
      <c r="F995" s="315"/>
      <c r="G995" s="315"/>
      <c r="H995" s="315"/>
      <c r="I995" s="318"/>
      <c r="J995" s="54"/>
      <c r="K995" s="54"/>
    </row>
    <row r="996" ht="14.25" customHeight="1">
      <c r="E996" s="315"/>
      <c r="F996" s="315"/>
      <c r="G996" s="315"/>
      <c r="H996" s="315"/>
      <c r="I996" s="318"/>
      <c r="J996" s="54"/>
      <c r="K996" s="54"/>
    </row>
    <row r="997" ht="14.25" customHeight="1">
      <c r="E997" s="315"/>
      <c r="F997" s="315"/>
      <c r="G997" s="315"/>
      <c r="H997" s="315"/>
      <c r="I997" s="318"/>
      <c r="J997" s="54"/>
      <c r="K997" s="54"/>
    </row>
    <row r="998" ht="14.25" customHeight="1">
      <c r="E998" s="315"/>
      <c r="F998" s="315"/>
      <c r="G998" s="315"/>
      <c r="H998" s="315"/>
      <c r="I998" s="318"/>
      <c r="J998" s="54"/>
      <c r="K998" s="54"/>
    </row>
    <row r="999" ht="14.25" customHeight="1">
      <c r="E999" s="315"/>
      <c r="F999" s="315"/>
      <c r="G999" s="315"/>
      <c r="H999" s="315"/>
      <c r="I999" s="318"/>
      <c r="J999" s="54"/>
      <c r="K999" s="54"/>
    </row>
    <row r="1000" ht="14.25" customHeight="1">
      <c r="E1000" s="315"/>
      <c r="F1000" s="315"/>
      <c r="G1000" s="315"/>
      <c r="H1000" s="315"/>
      <c r="I1000" s="318"/>
      <c r="J1000" s="54"/>
      <c r="K1000" s="54"/>
    </row>
  </sheetData>
  <mergeCells count="28">
    <mergeCell ref="H2:H3"/>
    <mergeCell ref="I2:I3"/>
    <mergeCell ref="J2:J3"/>
    <mergeCell ref="K2:K3"/>
    <mergeCell ref="L2:M2"/>
    <mergeCell ref="N2:N3"/>
    <mergeCell ref="O2:O3"/>
    <mergeCell ref="A2:A3"/>
    <mergeCell ref="B2:B3"/>
    <mergeCell ref="C2:C3"/>
    <mergeCell ref="D2:D3"/>
    <mergeCell ref="E2:E3"/>
    <mergeCell ref="F2:F3"/>
    <mergeCell ref="G2:G3"/>
    <mergeCell ref="G39:I40"/>
    <mergeCell ref="J39:J40"/>
    <mergeCell ref="K39:K40"/>
    <mergeCell ref="L39:L40"/>
    <mergeCell ref="M39:M40"/>
    <mergeCell ref="N39:N40"/>
    <mergeCell ref="O39:O40"/>
    <mergeCell ref="B4:F4"/>
    <mergeCell ref="B7:F7"/>
    <mergeCell ref="B10:F10"/>
    <mergeCell ref="B18:F18"/>
    <mergeCell ref="B20:F20"/>
    <mergeCell ref="B33:F33"/>
    <mergeCell ref="B35:F35"/>
  </mergeCells>
  <printOptions/>
  <pageMargins bottom="0.22" footer="0.0" header="0.0" left="0.7" right="0.7" top="0.17"/>
  <pageSetup paperSize="14" scale="90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1.14"/>
    <col customWidth="1" min="3" max="3" width="11.43"/>
    <col customWidth="1" min="4" max="4" width="12.0"/>
    <col customWidth="1" min="5" max="5" width="13.29"/>
    <col customWidth="1" min="6" max="6" width="11.57"/>
    <col customWidth="1" min="7" max="7" width="10.57"/>
    <col customWidth="1" min="8" max="26" width="9.0"/>
  </cols>
  <sheetData>
    <row r="1" ht="14.25" customHeight="1">
      <c r="A1" s="84" t="s">
        <v>6187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</row>
    <row r="2" ht="14.25" customHeight="1">
      <c r="A2" s="84" t="s">
        <v>6188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</row>
    <row r="3" ht="14.25" customHeight="1">
      <c r="A3" s="84" t="s">
        <v>6189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</row>
    <row r="4" ht="14.25" customHeight="1"/>
    <row r="5" ht="14.25" customHeight="1">
      <c r="A5" s="84" t="s">
        <v>6190</v>
      </c>
    </row>
    <row r="6" ht="14.25" customHeight="1">
      <c r="A6" s="17">
        <f>1</f>
        <v>1</v>
      </c>
      <c r="B6" s="15" t="s">
        <v>428</v>
      </c>
      <c r="C6" s="15" t="s">
        <v>429</v>
      </c>
      <c r="D6" s="15" t="s">
        <v>430</v>
      </c>
      <c r="E6" s="86" t="s">
        <v>433</v>
      </c>
      <c r="F6" s="86"/>
      <c r="G6" s="86"/>
    </row>
    <row r="7" ht="14.25" customHeight="1">
      <c r="A7" s="17">
        <f t="shared" ref="A7:A14" si="1">A6+1</f>
        <v>2</v>
      </c>
      <c r="B7" s="15" t="s">
        <v>92</v>
      </c>
      <c r="C7" s="15" t="s">
        <v>434</v>
      </c>
      <c r="D7" s="15" t="s">
        <v>435</v>
      </c>
      <c r="E7" s="86" t="s">
        <v>57</v>
      </c>
      <c r="F7" s="86"/>
      <c r="G7" s="86"/>
    </row>
    <row r="8" ht="14.25" customHeight="1">
      <c r="A8" s="17">
        <f t="shared" si="1"/>
        <v>3</v>
      </c>
      <c r="B8" s="15" t="s">
        <v>447</v>
      </c>
      <c r="C8" s="15" t="s">
        <v>448</v>
      </c>
      <c r="D8" s="15" t="s">
        <v>449</v>
      </c>
      <c r="E8" s="86" t="s">
        <v>57</v>
      </c>
      <c r="F8" s="86"/>
      <c r="G8" s="86"/>
    </row>
    <row r="9" ht="14.25" customHeight="1">
      <c r="A9" s="17">
        <f t="shared" si="1"/>
        <v>4</v>
      </c>
      <c r="B9" s="15" t="s">
        <v>461</v>
      </c>
      <c r="C9" s="15" t="s">
        <v>462</v>
      </c>
      <c r="D9" s="15" t="s">
        <v>463</v>
      </c>
      <c r="E9" s="86" t="s">
        <v>57</v>
      </c>
      <c r="F9" s="86"/>
      <c r="G9" s="86"/>
    </row>
    <row r="10" ht="14.25" customHeight="1">
      <c r="A10" s="17">
        <f t="shared" si="1"/>
        <v>5</v>
      </c>
      <c r="B10" s="15" t="s">
        <v>489</v>
      </c>
      <c r="C10" s="15" t="s">
        <v>490</v>
      </c>
      <c r="D10" s="15" t="s">
        <v>491</v>
      </c>
      <c r="E10" s="86" t="s">
        <v>57</v>
      </c>
      <c r="F10" s="86"/>
      <c r="G10" s="86"/>
    </row>
    <row r="11" ht="14.25" customHeight="1">
      <c r="A11" s="17">
        <f t="shared" si="1"/>
        <v>6</v>
      </c>
      <c r="B11" s="15" t="s">
        <v>504</v>
      </c>
      <c r="C11" s="15" t="s">
        <v>505</v>
      </c>
      <c r="D11" s="15" t="s">
        <v>506</v>
      </c>
      <c r="E11" s="86" t="s">
        <v>57</v>
      </c>
      <c r="F11" s="86"/>
      <c r="G11" s="86"/>
    </row>
    <row r="12" ht="14.25" customHeight="1">
      <c r="A12" s="17">
        <f t="shared" si="1"/>
        <v>7</v>
      </c>
      <c r="B12" s="15" t="s">
        <v>532</v>
      </c>
      <c r="C12" s="15" t="s">
        <v>533</v>
      </c>
      <c r="D12" s="15" t="s">
        <v>534</v>
      </c>
      <c r="E12" s="86" t="s">
        <v>57</v>
      </c>
      <c r="F12" s="86"/>
      <c r="G12" s="86"/>
    </row>
    <row r="13" ht="14.25" customHeight="1">
      <c r="A13" s="17">
        <f t="shared" si="1"/>
        <v>8</v>
      </c>
      <c r="B13" s="15" t="s">
        <v>6120</v>
      </c>
      <c r="C13" s="15" t="s">
        <v>6121</v>
      </c>
      <c r="D13" s="15" t="s">
        <v>6122</v>
      </c>
      <c r="E13" s="86" t="s">
        <v>16</v>
      </c>
      <c r="F13" s="86"/>
      <c r="G13" s="20">
        <v>45482.0</v>
      </c>
    </row>
    <row r="14" ht="14.25" customHeight="1">
      <c r="A14" s="17">
        <f t="shared" si="1"/>
        <v>9</v>
      </c>
      <c r="B14" s="15" t="s">
        <v>3711</v>
      </c>
      <c r="C14" s="15" t="s">
        <v>6191</v>
      </c>
      <c r="D14" s="15" t="s">
        <v>6138</v>
      </c>
      <c r="E14" s="86" t="s">
        <v>16</v>
      </c>
      <c r="F14" s="86"/>
      <c r="G14" s="20">
        <v>45635.0</v>
      </c>
    </row>
    <row r="15" ht="14.25" customHeight="1">
      <c r="A15" s="17"/>
      <c r="B15" s="15"/>
      <c r="C15" s="15"/>
      <c r="D15" s="15"/>
      <c r="E15" s="86"/>
      <c r="F15" s="86"/>
      <c r="G15" s="86"/>
    </row>
    <row r="16" ht="14.25" customHeight="1">
      <c r="A16" s="331" t="s">
        <v>6192</v>
      </c>
      <c r="B16" s="15"/>
      <c r="C16" s="15"/>
      <c r="D16" s="15"/>
      <c r="E16" s="86"/>
      <c r="F16" s="86"/>
      <c r="G16" s="86"/>
    </row>
    <row r="17" ht="14.25" customHeight="1">
      <c r="A17" s="17">
        <f>A14+1</f>
        <v>10</v>
      </c>
      <c r="B17" s="15" t="s">
        <v>475</v>
      </c>
      <c r="C17" s="16" t="s">
        <v>476</v>
      </c>
      <c r="D17" s="16" t="s">
        <v>477</v>
      </c>
      <c r="E17" s="86" t="s">
        <v>57</v>
      </c>
      <c r="F17" s="86"/>
      <c r="G17" s="86"/>
    </row>
    <row r="18" ht="14.25" customHeight="1">
      <c r="A18" s="17">
        <f t="shared" ref="A18:A45" si="2">+A17+1</f>
        <v>11</v>
      </c>
      <c r="B18" s="16" t="s">
        <v>558</v>
      </c>
      <c r="C18" s="26" t="s">
        <v>559</v>
      </c>
      <c r="D18" s="16" t="s">
        <v>560</v>
      </c>
      <c r="E18" s="86" t="s">
        <v>57</v>
      </c>
      <c r="F18" s="86"/>
      <c r="G18" s="86"/>
    </row>
    <row r="19" ht="14.25" customHeight="1">
      <c r="A19" s="17">
        <f t="shared" si="2"/>
        <v>12</v>
      </c>
      <c r="B19" s="15" t="s">
        <v>574</v>
      </c>
      <c r="C19" s="15" t="s">
        <v>575</v>
      </c>
      <c r="D19" s="15" t="s">
        <v>576</v>
      </c>
      <c r="E19" s="86" t="s">
        <v>57</v>
      </c>
      <c r="F19" s="86"/>
      <c r="G19" s="86"/>
    </row>
    <row r="20" ht="14.25" customHeight="1">
      <c r="A20" s="17">
        <f t="shared" si="2"/>
        <v>13</v>
      </c>
      <c r="B20" s="15" t="s">
        <v>588</v>
      </c>
      <c r="C20" s="15" t="s">
        <v>589</v>
      </c>
      <c r="D20" s="15" t="s">
        <v>590</v>
      </c>
      <c r="E20" s="86" t="s">
        <v>57</v>
      </c>
      <c r="F20" s="86"/>
      <c r="G20" s="86"/>
    </row>
    <row r="21" ht="14.25" customHeight="1">
      <c r="A21" s="17">
        <f t="shared" si="2"/>
        <v>14</v>
      </c>
      <c r="B21" s="15" t="s">
        <v>600</v>
      </c>
      <c r="C21" s="15" t="s">
        <v>601</v>
      </c>
      <c r="D21" s="15" t="s">
        <v>602</v>
      </c>
      <c r="E21" s="86" t="s">
        <v>57</v>
      </c>
      <c r="F21" s="86"/>
      <c r="G21" s="86"/>
    </row>
    <row r="22" ht="14.25" customHeight="1">
      <c r="A22" s="17">
        <f t="shared" si="2"/>
        <v>15</v>
      </c>
      <c r="B22" s="15" t="s">
        <v>405</v>
      </c>
      <c r="C22" s="15" t="s">
        <v>612</v>
      </c>
      <c r="D22" s="15" t="s">
        <v>613</v>
      </c>
      <c r="E22" s="86" t="s">
        <v>57</v>
      </c>
      <c r="F22" s="86"/>
      <c r="G22" s="86"/>
    </row>
    <row r="23" ht="14.25" customHeight="1">
      <c r="A23" s="17">
        <f t="shared" si="2"/>
        <v>16</v>
      </c>
      <c r="B23" s="15" t="s">
        <v>624</v>
      </c>
      <c r="C23" s="15" t="s">
        <v>625</v>
      </c>
      <c r="D23" s="15" t="s">
        <v>626</v>
      </c>
      <c r="E23" s="86" t="s">
        <v>57</v>
      </c>
      <c r="F23" s="86"/>
      <c r="G23" s="86"/>
    </row>
    <row r="24" ht="14.25" customHeight="1">
      <c r="A24" s="17">
        <f t="shared" si="2"/>
        <v>17</v>
      </c>
      <c r="B24" s="15" t="s">
        <v>636</v>
      </c>
      <c r="C24" s="15" t="s">
        <v>637</v>
      </c>
      <c r="D24" s="15" t="s">
        <v>638</v>
      </c>
      <c r="E24" s="86" t="s">
        <v>57</v>
      </c>
      <c r="F24" s="86"/>
      <c r="G24" s="86"/>
    </row>
    <row r="25" ht="14.25" customHeight="1">
      <c r="A25" s="17">
        <f t="shared" si="2"/>
        <v>18</v>
      </c>
      <c r="B25" s="15" t="s">
        <v>649</v>
      </c>
      <c r="C25" s="16" t="s">
        <v>650</v>
      </c>
      <c r="D25" s="16" t="s">
        <v>359</v>
      </c>
      <c r="E25" s="86" t="s">
        <v>57</v>
      </c>
      <c r="F25" s="86"/>
      <c r="G25" s="86"/>
    </row>
    <row r="26" ht="14.25" customHeight="1">
      <c r="A26" s="17">
        <f t="shared" si="2"/>
        <v>19</v>
      </c>
      <c r="B26" s="15" t="s">
        <v>664</v>
      </c>
      <c r="C26" s="16" t="s">
        <v>665</v>
      </c>
      <c r="D26" s="16" t="s">
        <v>86</v>
      </c>
      <c r="E26" s="86" t="s">
        <v>57</v>
      </c>
      <c r="F26" s="86"/>
      <c r="G26" s="86"/>
    </row>
    <row r="27" ht="14.25" customHeight="1">
      <c r="A27" s="17">
        <f t="shared" si="2"/>
        <v>20</v>
      </c>
      <c r="B27" s="15" t="s">
        <v>676</v>
      </c>
      <c r="C27" s="16" t="s">
        <v>677</v>
      </c>
      <c r="D27" s="16" t="s">
        <v>678</v>
      </c>
      <c r="E27" s="86" t="s">
        <v>57</v>
      </c>
      <c r="F27" s="86"/>
      <c r="G27" s="86"/>
    </row>
    <row r="28" ht="14.25" customHeight="1">
      <c r="A28" s="17">
        <f t="shared" si="2"/>
        <v>21</v>
      </c>
      <c r="B28" s="16" t="s">
        <v>84</v>
      </c>
      <c r="C28" s="16" t="s">
        <v>702</v>
      </c>
      <c r="D28" s="16" t="s">
        <v>703</v>
      </c>
      <c r="E28" s="86" t="s">
        <v>57</v>
      </c>
      <c r="F28" s="86"/>
      <c r="G28" s="86"/>
    </row>
    <row r="29" ht="14.25" customHeight="1">
      <c r="A29" s="17">
        <f t="shared" si="2"/>
        <v>22</v>
      </c>
      <c r="B29" s="16" t="s">
        <v>51</v>
      </c>
      <c r="C29" s="16" t="s">
        <v>52</v>
      </c>
      <c r="D29" s="16" t="s">
        <v>53</v>
      </c>
      <c r="E29" s="86" t="s">
        <v>57</v>
      </c>
      <c r="F29" s="86"/>
      <c r="G29" s="86"/>
    </row>
    <row r="30" ht="14.25" customHeight="1">
      <c r="A30" s="17">
        <f t="shared" si="2"/>
        <v>23</v>
      </c>
      <c r="B30" s="16" t="s">
        <v>714</v>
      </c>
      <c r="C30" s="16" t="s">
        <v>715</v>
      </c>
      <c r="D30" s="16" t="s">
        <v>716</v>
      </c>
      <c r="E30" s="86" t="s">
        <v>57</v>
      </c>
      <c r="F30" s="86"/>
      <c r="G30" s="86"/>
    </row>
    <row r="31" ht="14.25" customHeight="1">
      <c r="A31" s="17">
        <f t="shared" si="2"/>
        <v>24</v>
      </c>
      <c r="B31" s="16" t="s">
        <v>730</v>
      </c>
      <c r="C31" s="16" t="s">
        <v>731</v>
      </c>
      <c r="D31" s="16" t="s">
        <v>732</v>
      </c>
      <c r="E31" s="86" t="s">
        <v>57</v>
      </c>
      <c r="F31" s="86"/>
      <c r="G31" s="86"/>
    </row>
    <row r="32" ht="14.25" customHeight="1">
      <c r="A32" s="17">
        <f t="shared" si="2"/>
        <v>25</v>
      </c>
      <c r="B32" s="16" t="s">
        <v>740</v>
      </c>
      <c r="C32" s="16" t="s">
        <v>741</v>
      </c>
      <c r="D32" s="16" t="s">
        <v>742</v>
      </c>
      <c r="E32" s="86" t="s">
        <v>57</v>
      </c>
      <c r="F32" s="86"/>
      <c r="G32" s="86"/>
    </row>
    <row r="33" ht="14.25" customHeight="1">
      <c r="A33" s="17">
        <f t="shared" si="2"/>
        <v>26</v>
      </c>
      <c r="B33" s="16" t="s">
        <v>752</v>
      </c>
      <c r="C33" s="16" t="s">
        <v>753</v>
      </c>
      <c r="D33" s="16" t="s">
        <v>754</v>
      </c>
      <c r="E33" s="86" t="s">
        <v>57</v>
      </c>
      <c r="F33" s="86"/>
      <c r="G33" s="86"/>
    </row>
    <row r="34" ht="14.25" customHeight="1">
      <c r="A34" s="17">
        <f t="shared" si="2"/>
        <v>27</v>
      </c>
      <c r="B34" s="16" t="s">
        <v>779</v>
      </c>
      <c r="C34" s="16" t="s">
        <v>780</v>
      </c>
      <c r="D34" s="16" t="s">
        <v>781</v>
      </c>
      <c r="E34" s="86" t="s">
        <v>57</v>
      </c>
      <c r="F34" s="86"/>
      <c r="G34" s="86"/>
    </row>
    <row r="35" ht="14.25" customHeight="1">
      <c r="A35" s="17">
        <f t="shared" si="2"/>
        <v>28</v>
      </c>
      <c r="B35" s="16" t="s">
        <v>1082</v>
      </c>
      <c r="C35" s="16" t="s">
        <v>1083</v>
      </c>
      <c r="D35" s="16" t="s">
        <v>1084</v>
      </c>
      <c r="E35" s="86" t="s">
        <v>57</v>
      </c>
      <c r="F35" s="86"/>
      <c r="G35" s="86"/>
    </row>
    <row r="36" ht="14.25" customHeight="1">
      <c r="A36" s="17">
        <f t="shared" si="2"/>
        <v>29</v>
      </c>
      <c r="B36" s="16" t="s">
        <v>815</v>
      </c>
      <c r="C36" s="16" t="s">
        <v>816</v>
      </c>
      <c r="D36" s="16" t="s">
        <v>78</v>
      </c>
      <c r="E36" s="86" t="s">
        <v>57</v>
      </c>
      <c r="F36" s="86"/>
      <c r="G36" s="86"/>
    </row>
    <row r="37" ht="14.25" customHeight="1">
      <c r="A37" s="17">
        <f t="shared" si="2"/>
        <v>30</v>
      </c>
      <c r="B37" s="16" t="s">
        <v>319</v>
      </c>
      <c r="C37" s="16" t="s">
        <v>320</v>
      </c>
      <c r="D37" s="16" t="s">
        <v>321</v>
      </c>
      <c r="E37" s="86" t="s">
        <v>57</v>
      </c>
      <c r="F37" s="86"/>
      <c r="G37" s="86"/>
    </row>
    <row r="38" ht="14.25" customHeight="1">
      <c r="A38" s="17">
        <f t="shared" si="2"/>
        <v>31</v>
      </c>
      <c r="B38" s="16" t="s">
        <v>836</v>
      </c>
      <c r="C38" s="16" t="s">
        <v>837</v>
      </c>
      <c r="D38" s="16" t="s">
        <v>838</v>
      </c>
      <c r="E38" s="86" t="s">
        <v>57</v>
      </c>
      <c r="F38" s="86"/>
      <c r="G38" s="20">
        <v>45410.0</v>
      </c>
    </row>
    <row r="39" ht="14.25" customHeight="1">
      <c r="A39" s="17">
        <f t="shared" si="2"/>
        <v>32</v>
      </c>
      <c r="B39" s="15" t="s">
        <v>847</v>
      </c>
      <c r="C39" s="16" t="s">
        <v>52</v>
      </c>
      <c r="D39" s="16" t="s">
        <v>1191</v>
      </c>
      <c r="E39" s="86" t="s">
        <v>57</v>
      </c>
      <c r="F39" s="86"/>
      <c r="G39" s="20">
        <v>45420.0</v>
      </c>
    </row>
    <row r="40" ht="14.25" customHeight="1">
      <c r="A40" s="17">
        <f t="shared" si="2"/>
        <v>33</v>
      </c>
      <c r="B40" s="16" t="s">
        <v>857</v>
      </c>
      <c r="C40" s="16" t="s">
        <v>858</v>
      </c>
      <c r="D40" s="16" t="s">
        <v>859</v>
      </c>
      <c r="E40" s="86" t="s">
        <v>57</v>
      </c>
      <c r="F40" s="86"/>
      <c r="G40" s="20">
        <v>45438.0</v>
      </c>
    </row>
    <row r="41" ht="14.25" customHeight="1">
      <c r="A41" s="17">
        <f t="shared" si="2"/>
        <v>34</v>
      </c>
      <c r="B41" s="16" t="s">
        <v>1648</v>
      </c>
      <c r="C41" s="16" t="s">
        <v>1649</v>
      </c>
      <c r="D41" s="16" t="s">
        <v>1650</v>
      </c>
      <c r="E41" s="86" t="s">
        <v>16</v>
      </c>
      <c r="F41" s="86"/>
      <c r="G41" s="20">
        <v>45507.0</v>
      </c>
    </row>
    <row r="42" ht="14.25" customHeight="1">
      <c r="A42" s="17">
        <f t="shared" si="2"/>
        <v>35</v>
      </c>
      <c r="B42" s="16" t="s">
        <v>6162</v>
      </c>
      <c r="C42" s="16" t="s">
        <v>837</v>
      </c>
      <c r="D42" s="16" t="s">
        <v>6163</v>
      </c>
      <c r="E42" s="86" t="s">
        <v>16</v>
      </c>
      <c r="F42" s="86"/>
      <c r="G42" s="20">
        <v>45512.0</v>
      </c>
    </row>
    <row r="43" ht="14.25" customHeight="1">
      <c r="A43" s="17">
        <f t="shared" si="2"/>
        <v>36</v>
      </c>
      <c r="B43" s="15" t="s">
        <v>6157</v>
      </c>
      <c r="C43" s="15" t="s">
        <v>6158</v>
      </c>
      <c r="D43" s="15" t="s">
        <v>6159</v>
      </c>
      <c r="E43" s="86" t="s">
        <v>16</v>
      </c>
      <c r="F43" s="86"/>
      <c r="G43" s="20">
        <v>45541.0</v>
      </c>
    </row>
    <row r="44" ht="14.25" customHeight="1">
      <c r="A44" s="17">
        <f t="shared" si="2"/>
        <v>37</v>
      </c>
      <c r="B44" s="16" t="s">
        <v>1244</v>
      </c>
      <c r="C44" s="16" t="s">
        <v>1245</v>
      </c>
      <c r="D44" s="16" t="s">
        <v>1246</v>
      </c>
      <c r="E44" s="86" t="s">
        <v>419</v>
      </c>
      <c r="F44" s="86"/>
      <c r="G44" s="20">
        <v>45651.0</v>
      </c>
    </row>
    <row r="45" ht="14.25" customHeight="1">
      <c r="A45" s="17">
        <f t="shared" si="2"/>
        <v>38</v>
      </c>
      <c r="B45" s="16" t="s">
        <v>6164</v>
      </c>
      <c r="C45" s="16" t="s">
        <v>6165</v>
      </c>
      <c r="D45" s="16" t="s">
        <v>84</v>
      </c>
      <c r="E45" s="86" t="s">
        <v>419</v>
      </c>
      <c r="F45" s="86"/>
      <c r="G45" s="20">
        <v>45652.0</v>
      </c>
    </row>
    <row r="46" ht="14.25" customHeight="1">
      <c r="B46" s="332"/>
      <c r="C46" s="332"/>
      <c r="D46" s="332"/>
    </row>
    <row r="47" ht="14.25" customHeight="1">
      <c r="B47" s="332"/>
      <c r="C47" s="332"/>
      <c r="D47" s="332"/>
    </row>
    <row r="48" ht="14.25" customHeight="1">
      <c r="A48" s="84" t="s">
        <v>6193</v>
      </c>
    </row>
    <row r="49" ht="14.25" customHeight="1">
      <c r="A49" s="19">
        <f>A45+1</f>
        <v>39</v>
      </c>
      <c r="B49" s="16" t="s">
        <v>99</v>
      </c>
      <c r="C49" s="16" t="s">
        <v>100</v>
      </c>
      <c r="D49" s="16" t="s">
        <v>101</v>
      </c>
      <c r="E49" s="86" t="s">
        <v>57</v>
      </c>
      <c r="F49" s="86"/>
      <c r="G49" s="86"/>
    </row>
    <row r="50" ht="14.25" customHeight="1">
      <c r="A50" s="19">
        <f t="shared" ref="A50:A74" si="3">+A49+1</f>
        <v>40</v>
      </c>
      <c r="B50" s="26" t="s">
        <v>118</v>
      </c>
      <c r="C50" s="26" t="s">
        <v>119</v>
      </c>
      <c r="D50" s="26" t="s">
        <v>120</v>
      </c>
      <c r="E50" s="86" t="s">
        <v>57</v>
      </c>
      <c r="F50" s="86"/>
      <c r="G50" s="86"/>
    </row>
    <row r="51" ht="14.25" customHeight="1">
      <c r="A51" s="19">
        <f t="shared" si="3"/>
        <v>41</v>
      </c>
      <c r="B51" s="16" t="s">
        <v>129</v>
      </c>
      <c r="C51" s="26" t="s">
        <v>130</v>
      </c>
      <c r="D51" s="16" t="s">
        <v>131</v>
      </c>
      <c r="E51" s="86" t="s">
        <v>57</v>
      </c>
      <c r="F51" s="86"/>
      <c r="G51" s="86"/>
    </row>
    <row r="52" ht="14.25" customHeight="1">
      <c r="A52" s="19">
        <f t="shared" si="3"/>
        <v>42</v>
      </c>
      <c r="B52" s="16" t="s">
        <v>145</v>
      </c>
      <c r="C52" s="16" t="s">
        <v>146</v>
      </c>
      <c r="D52" s="16" t="s">
        <v>147</v>
      </c>
      <c r="E52" s="86" t="s">
        <v>57</v>
      </c>
      <c r="F52" s="86"/>
      <c r="G52" s="86"/>
    </row>
    <row r="53" ht="14.25" customHeight="1">
      <c r="A53" s="19">
        <f t="shared" si="3"/>
        <v>43</v>
      </c>
      <c r="B53" s="16" t="s">
        <v>74</v>
      </c>
      <c r="C53" s="16" t="s">
        <v>1712</v>
      </c>
      <c r="D53" s="16" t="s">
        <v>847</v>
      </c>
      <c r="E53" s="86" t="s">
        <v>57</v>
      </c>
      <c r="F53" s="86"/>
      <c r="G53" s="86"/>
    </row>
    <row r="54" ht="14.25" customHeight="1">
      <c r="A54" s="19">
        <f t="shared" si="3"/>
        <v>44</v>
      </c>
      <c r="B54" s="16" t="s">
        <v>5840</v>
      </c>
      <c r="C54" s="16" t="s">
        <v>5841</v>
      </c>
      <c r="D54" s="16" t="s">
        <v>6175</v>
      </c>
      <c r="E54" s="86" t="s">
        <v>57</v>
      </c>
      <c r="F54" s="86"/>
      <c r="G54" s="86"/>
    </row>
    <row r="55" ht="14.25" customHeight="1">
      <c r="A55" s="19">
        <f t="shared" si="3"/>
        <v>45</v>
      </c>
      <c r="B55" s="16" t="s">
        <v>157</v>
      </c>
      <c r="C55" s="16" t="s">
        <v>158</v>
      </c>
      <c r="D55" s="16" t="s">
        <v>159</v>
      </c>
      <c r="E55" s="86" t="s">
        <v>57</v>
      </c>
      <c r="F55" s="86"/>
      <c r="G55" s="86"/>
    </row>
    <row r="56" ht="14.25" customHeight="1">
      <c r="A56" s="19">
        <f t="shared" si="3"/>
        <v>46</v>
      </c>
      <c r="B56" s="16" t="s">
        <v>1673</v>
      </c>
      <c r="C56" s="16" t="s">
        <v>1674</v>
      </c>
      <c r="D56" s="16" t="s">
        <v>1675</v>
      </c>
      <c r="E56" s="86" t="s">
        <v>57</v>
      </c>
      <c r="F56" s="86"/>
      <c r="G56" s="86"/>
    </row>
    <row r="57" ht="14.25" customHeight="1">
      <c r="A57" s="19">
        <f t="shared" si="3"/>
        <v>47</v>
      </c>
      <c r="B57" s="16" t="s">
        <v>173</v>
      </c>
      <c r="C57" s="16" t="s">
        <v>174</v>
      </c>
      <c r="D57" s="16" t="s">
        <v>175</v>
      </c>
      <c r="E57" s="86" t="s">
        <v>57</v>
      </c>
      <c r="F57" s="86"/>
      <c r="G57" s="86"/>
    </row>
    <row r="58" ht="14.25" customHeight="1">
      <c r="A58" s="19">
        <f t="shared" si="3"/>
        <v>48</v>
      </c>
      <c r="B58" s="16" t="s">
        <v>187</v>
      </c>
      <c r="C58" s="16" t="s">
        <v>188</v>
      </c>
      <c r="D58" s="16" t="s">
        <v>189</v>
      </c>
      <c r="E58" s="86" t="s">
        <v>57</v>
      </c>
      <c r="F58" s="86"/>
      <c r="G58" s="86"/>
    </row>
    <row r="59" ht="14.25" customHeight="1">
      <c r="A59" s="19">
        <f t="shared" si="3"/>
        <v>49</v>
      </c>
      <c r="B59" s="16" t="s">
        <v>202</v>
      </c>
      <c r="C59" s="16" t="s">
        <v>203</v>
      </c>
      <c r="D59" s="16" t="s">
        <v>204</v>
      </c>
      <c r="E59" s="86" t="s">
        <v>57</v>
      </c>
      <c r="F59" s="86"/>
      <c r="G59" s="86"/>
    </row>
    <row r="60" ht="14.25" customHeight="1">
      <c r="A60" s="19">
        <f t="shared" si="3"/>
        <v>50</v>
      </c>
      <c r="B60" s="16" t="s">
        <v>6148</v>
      </c>
      <c r="C60" s="16" t="s">
        <v>6149</v>
      </c>
      <c r="D60" s="16" t="s">
        <v>6150</v>
      </c>
      <c r="E60" s="86" t="s">
        <v>57</v>
      </c>
      <c r="F60" s="86"/>
      <c r="G60" s="86"/>
    </row>
    <row r="61" ht="14.25" customHeight="1">
      <c r="A61" s="19">
        <f t="shared" si="3"/>
        <v>51</v>
      </c>
      <c r="B61" s="16" t="s">
        <v>1746</v>
      </c>
      <c r="C61" s="16" t="s">
        <v>1747</v>
      </c>
      <c r="D61" s="16" t="s">
        <v>1748</v>
      </c>
      <c r="E61" s="86" t="s">
        <v>57</v>
      </c>
      <c r="F61" s="86"/>
      <c r="G61" s="86"/>
    </row>
    <row r="62" ht="14.25" customHeight="1">
      <c r="A62" s="19">
        <f t="shared" si="3"/>
        <v>52</v>
      </c>
      <c r="B62" s="16" t="s">
        <v>1590</v>
      </c>
      <c r="C62" s="16" t="s">
        <v>1591</v>
      </c>
      <c r="D62" s="16" t="s">
        <v>532</v>
      </c>
      <c r="E62" s="86" t="s">
        <v>57</v>
      </c>
      <c r="F62" s="86"/>
      <c r="G62" s="86"/>
    </row>
    <row r="63" ht="14.25" customHeight="1">
      <c r="A63" s="19">
        <f t="shared" si="3"/>
        <v>53</v>
      </c>
      <c r="B63" s="16" t="s">
        <v>1573</v>
      </c>
      <c r="C63" s="16" t="s">
        <v>1574</v>
      </c>
      <c r="D63" s="16" t="s">
        <v>1575</v>
      </c>
      <c r="E63" s="86" t="s">
        <v>57</v>
      </c>
      <c r="F63" s="86"/>
      <c r="G63" s="86"/>
    </row>
    <row r="64" ht="14.25" customHeight="1">
      <c r="A64" s="19">
        <f t="shared" si="3"/>
        <v>54</v>
      </c>
      <c r="B64" s="16" t="s">
        <v>1497</v>
      </c>
      <c r="C64" s="16" t="s">
        <v>1498</v>
      </c>
      <c r="D64" s="16" t="s">
        <v>1499</v>
      </c>
      <c r="E64" s="86" t="s">
        <v>57</v>
      </c>
      <c r="F64" s="86"/>
      <c r="G64" s="86"/>
    </row>
    <row r="65" ht="14.25" customHeight="1">
      <c r="A65" s="19">
        <f t="shared" si="3"/>
        <v>55</v>
      </c>
      <c r="B65" s="16" t="s">
        <v>1560</v>
      </c>
      <c r="C65" s="16" t="s">
        <v>1561</v>
      </c>
      <c r="D65" s="16" t="s">
        <v>1562</v>
      </c>
      <c r="E65" s="86" t="s">
        <v>57</v>
      </c>
      <c r="F65" s="86"/>
      <c r="G65" s="86"/>
    </row>
    <row r="66" ht="14.25" customHeight="1">
      <c r="A66" s="19">
        <f t="shared" si="3"/>
        <v>56</v>
      </c>
      <c r="B66" s="16" t="s">
        <v>359</v>
      </c>
      <c r="C66" s="16" t="s">
        <v>3718</v>
      </c>
      <c r="D66" s="16" t="s">
        <v>361</v>
      </c>
      <c r="E66" s="86" t="s">
        <v>57</v>
      </c>
      <c r="F66" s="86"/>
      <c r="G66" s="86">
        <v>45317.0</v>
      </c>
    </row>
    <row r="67" ht="14.25" customHeight="1">
      <c r="A67" s="19">
        <f t="shared" si="3"/>
        <v>57</v>
      </c>
      <c r="B67" s="16" t="s">
        <v>6153</v>
      </c>
      <c r="C67" s="16" t="s">
        <v>6154</v>
      </c>
      <c r="D67" s="16" t="s">
        <v>84</v>
      </c>
      <c r="E67" s="86" t="s">
        <v>57</v>
      </c>
      <c r="F67" s="86"/>
      <c r="G67" s="86">
        <v>45317.0</v>
      </c>
    </row>
    <row r="68" ht="14.25" customHeight="1">
      <c r="A68" s="19">
        <f t="shared" si="3"/>
        <v>58</v>
      </c>
      <c r="B68" s="16" t="s">
        <v>214</v>
      </c>
      <c r="C68" s="16" t="s">
        <v>215</v>
      </c>
      <c r="D68" s="16" t="s">
        <v>216</v>
      </c>
      <c r="E68" s="86" t="s">
        <v>57</v>
      </c>
      <c r="F68" s="86"/>
      <c r="G68" s="86">
        <v>45360.0</v>
      </c>
    </row>
    <row r="69" ht="14.25" customHeight="1">
      <c r="A69" s="19">
        <f t="shared" si="3"/>
        <v>59</v>
      </c>
      <c r="B69" s="16" t="s">
        <v>228</v>
      </c>
      <c r="C69" s="16" t="s">
        <v>229</v>
      </c>
      <c r="D69" s="16" t="s">
        <v>230</v>
      </c>
      <c r="E69" s="86" t="s">
        <v>57</v>
      </c>
      <c r="F69" s="86"/>
      <c r="G69" s="86">
        <v>45380.0</v>
      </c>
    </row>
    <row r="70" ht="14.25" customHeight="1">
      <c r="A70" s="19">
        <f t="shared" si="3"/>
        <v>60</v>
      </c>
      <c r="B70" s="16" t="s">
        <v>1636</v>
      </c>
      <c r="C70" s="16" t="s">
        <v>1637</v>
      </c>
      <c r="D70" s="16" t="s">
        <v>1638</v>
      </c>
      <c r="E70" s="86" t="s">
        <v>57</v>
      </c>
      <c r="F70" s="86"/>
      <c r="G70" s="86">
        <v>45441.0</v>
      </c>
    </row>
    <row r="71" ht="14.25" customHeight="1">
      <c r="A71" s="19">
        <f t="shared" si="3"/>
        <v>61</v>
      </c>
      <c r="B71" s="16" t="s">
        <v>242</v>
      </c>
      <c r="C71" s="16" t="s">
        <v>243</v>
      </c>
      <c r="D71" s="16" t="s">
        <v>244</v>
      </c>
      <c r="E71" s="86" t="s">
        <v>57</v>
      </c>
      <c r="F71" s="86"/>
      <c r="G71" s="86">
        <v>45452.0</v>
      </c>
    </row>
    <row r="72" ht="14.25" customHeight="1">
      <c r="A72" s="19">
        <f t="shared" si="3"/>
        <v>62</v>
      </c>
      <c r="B72" s="16" t="s">
        <v>254</v>
      </c>
      <c r="C72" s="16" t="s">
        <v>255</v>
      </c>
      <c r="D72" s="16" t="s">
        <v>256</v>
      </c>
      <c r="E72" s="86" t="s">
        <v>16</v>
      </c>
      <c r="F72" s="86"/>
      <c r="G72" s="86">
        <v>45527.0</v>
      </c>
    </row>
    <row r="73" ht="14.25" customHeight="1">
      <c r="A73" s="19">
        <f t="shared" si="3"/>
        <v>63</v>
      </c>
      <c r="B73" s="16" t="s">
        <v>1510</v>
      </c>
      <c r="C73" s="16" t="s">
        <v>1511</v>
      </c>
      <c r="D73" s="16" t="s">
        <v>1512</v>
      </c>
      <c r="E73" s="86" t="s">
        <v>16</v>
      </c>
      <c r="F73" s="86"/>
      <c r="G73" s="86">
        <v>45602.0</v>
      </c>
    </row>
    <row r="74" ht="14.25" customHeight="1">
      <c r="A74" s="19">
        <f t="shared" si="3"/>
        <v>64</v>
      </c>
      <c r="B74" s="16" t="s">
        <v>1423</v>
      </c>
      <c r="C74" s="16" t="s">
        <v>1424</v>
      </c>
      <c r="D74" s="16" t="s">
        <v>1425</v>
      </c>
      <c r="E74" s="86" t="s">
        <v>16</v>
      </c>
      <c r="F74" s="86"/>
      <c r="G74" s="86">
        <v>45610.0</v>
      </c>
    </row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rowBreaks count="1" manualBreakCount="1">
    <brk id="45" man="1"/>
  </rowBreak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1.14"/>
    <col customWidth="1" min="3" max="3" width="11.43"/>
    <col customWidth="1" min="4" max="4" width="12.0"/>
    <col customWidth="1" min="5" max="5" width="11.57"/>
    <col customWidth="1" min="6" max="6" width="10.57"/>
    <col customWidth="1" min="7" max="26" width="9.0"/>
  </cols>
  <sheetData>
    <row r="1" ht="14.25" customHeight="1">
      <c r="A1" s="84" t="s">
        <v>6187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</row>
    <row r="2" ht="14.25" customHeight="1">
      <c r="A2" s="84" t="s">
        <v>6188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</row>
    <row r="3" ht="14.25" customHeight="1">
      <c r="A3" s="84" t="s">
        <v>6189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</row>
    <row r="4" ht="14.25" customHeight="1"/>
    <row r="5" ht="14.25" customHeight="1">
      <c r="A5" s="84" t="s">
        <v>6190</v>
      </c>
    </row>
    <row r="6" ht="14.25" customHeight="1">
      <c r="A6" s="17">
        <v>1.0</v>
      </c>
      <c r="B6" s="15" t="s">
        <v>428</v>
      </c>
      <c r="C6" s="15" t="s">
        <v>429</v>
      </c>
      <c r="D6" s="15" t="s">
        <v>430</v>
      </c>
      <c r="E6" s="86" t="s">
        <v>433</v>
      </c>
      <c r="F6" s="86"/>
    </row>
    <row r="7" ht="14.25" customHeight="1">
      <c r="A7" s="17">
        <f t="shared" ref="A7:A15" si="1">+A6+1</f>
        <v>2</v>
      </c>
      <c r="B7" s="15" t="s">
        <v>92</v>
      </c>
      <c r="C7" s="15" t="s">
        <v>434</v>
      </c>
      <c r="D7" s="15" t="s">
        <v>435</v>
      </c>
      <c r="E7" s="86" t="s">
        <v>57</v>
      </c>
      <c r="F7" s="86"/>
    </row>
    <row r="8" ht="14.25" customHeight="1">
      <c r="A8" s="17">
        <f t="shared" si="1"/>
        <v>3</v>
      </c>
      <c r="B8" s="15" t="s">
        <v>447</v>
      </c>
      <c r="C8" s="15" t="s">
        <v>448</v>
      </c>
      <c r="D8" s="15" t="s">
        <v>449</v>
      </c>
      <c r="E8" s="86" t="s">
        <v>57</v>
      </c>
      <c r="F8" s="86"/>
    </row>
    <row r="9" ht="14.25" customHeight="1">
      <c r="A9" s="17">
        <f t="shared" si="1"/>
        <v>4</v>
      </c>
      <c r="B9" s="15" t="s">
        <v>461</v>
      </c>
      <c r="C9" s="15" t="s">
        <v>462</v>
      </c>
      <c r="D9" s="15" t="s">
        <v>463</v>
      </c>
      <c r="E9" s="86" t="s">
        <v>57</v>
      </c>
      <c r="F9" s="86"/>
    </row>
    <row r="10" ht="14.25" customHeight="1">
      <c r="A10" s="17">
        <f t="shared" si="1"/>
        <v>5</v>
      </c>
      <c r="B10" s="15" t="s">
        <v>489</v>
      </c>
      <c r="C10" s="15" t="s">
        <v>490</v>
      </c>
      <c r="D10" s="15" t="s">
        <v>491</v>
      </c>
      <c r="E10" s="86" t="s">
        <v>57</v>
      </c>
      <c r="F10" s="86"/>
    </row>
    <row r="11" ht="14.25" customHeight="1">
      <c r="A11" s="17">
        <f t="shared" si="1"/>
        <v>6</v>
      </c>
      <c r="B11" s="15" t="s">
        <v>519</v>
      </c>
      <c r="C11" s="15" t="s">
        <v>520</v>
      </c>
      <c r="D11" s="15" t="s">
        <v>521</v>
      </c>
      <c r="E11" s="86" t="s">
        <v>57</v>
      </c>
      <c r="F11" s="86"/>
    </row>
    <row r="12" ht="14.25" customHeight="1">
      <c r="A12" s="17">
        <f t="shared" si="1"/>
        <v>7</v>
      </c>
      <c r="B12" s="15" t="s">
        <v>504</v>
      </c>
      <c r="C12" s="15" t="s">
        <v>505</v>
      </c>
      <c r="D12" s="15" t="s">
        <v>506</v>
      </c>
      <c r="E12" s="86" t="s">
        <v>57</v>
      </c>
      <c r="F12" s="86"/>
    </row>
    <row r="13" ht="14.25" customHeight="1">
      <c r="A13" s="17">
        <f t="shared" si="1"/>
        <v>8</v>
      </c>
      <c r="B13" s="15" t="s">
        <v>532</v>
      </c>
      <c r="C13" s="15" t="s">
        <v>533</v>
      </c>
      <c r="D13" s="15" t="s">
        <v>534</v>
      </c>
      <c r="E13" s="86" t="s">
        <v>57</v>
      </c>
      <c r="F13" s="86"/>
    </row>
    <row r="14" ht="14.25" customHeight="1">
      <c r="A14" s="17">
        <f t="shared" si="1"/>
        <v>9</v>
      </c>
      <c r="B14" s="15" t="s">
        <v>824</v>
      </c>
      <c r="C14" s="15" t="s">
        <v>825</v>
      </c>
      <c r="D14" s="15" t="s">
        <v>826</v>
      </c>
      <c r="E14" s="86" t="s">
        <v>57</v>
      </c>
      <c r="F14" s="86"/>
    </row>
    <row r="15" ht="14.25" customHeight="1">
      <c r="A15" s="17">
        <f t="shared" si="1"/>
        <v>10</v>
      </c>
      <c r="B15" s="15" t="s">
        <v>6120</v>
      </c>
      <c r="C15" s="15" t="s">
        <v>6121</v>
      </c>
      <c r="D15" s="15" t="s">
        <v>6122</v>
      </c>
      <c r="E15" s="86" t="s">
        <v>16</v>
      </c>
      <c r="F15" s="20">
        <v>45482.0</v>
      </c>
    </row>
    <row r="16" ht="14.25" customHeight="1">
      <c r="A16" s="17">
        <v>11.0</v>
      </c>
      <c r="B16" s="15" t="s">
        <v>3711</v>
      </c>
      <c r="C16" s="15" t="s">
        <v>6191</v>
      </c>
      <c r="D16" s="15" t="s">
        <v>6138</v>
      </c>
      <c r="E16" s="86" t="s">
        <v>16</v>
      </c>
      <c r="F16" s="20">
        <v>45635.0</v>
      </c>
    </row>
    <row r="17" ht="14.25" customHeight="1">
      <c r="A17" s="17"/>
      <c r="B17" s="15"/>
      <c r="C17" s="15"/>
      <c r="D17" s="15"/>
      <c r="E17" s="86"/>
      <c r="F17" s="86"/>
    </row>
    <row r="18" ht="14.25" customHeight="1">
      <c r="A18" s="331" t="s">
        <v>6192</v>
      </c>
      <c r="B18" s="15"/>
      <c r="C18" s="15"/>
      <c r="D18" s="15"/>
      <c r="E18" s="86"/>
      <c r="F18" s="86"/>
    </row>
    <row r="19" ht="14.25" customHeight="1">
      <c r="A19" s="17">
        <f>A16+1</f>
        <v>12</v>
      </c>
      <c r="B19" s="15" t="s">
        <v>475</v>
      </c>
      <c r="C19" s="16" t="s">
        <v>476</v>
      </c>
      <c r="D19" s="16" t="s">
        <v>477</v>
      </c>
      <c r="E19" s="86" t="s">
        <v>57</v>
      </c>
      <c r="F19" s="86"/>
    </row>
    <row r="20" ht="14.25" customHeight="1">
      <c r="A20" s="17">
        <f t="shared" ref="A20:A47" si="2">+A19+1</f>
        <v>13</v>
      </c>
      <c r="B20" s="16" t="s">
        <v>558</v>
      </c>
      <c r="C20" s="26" t="s">
        <v>559</v>
      </c>
      <c r="D20" s="16" t="s">
        <v>560</v>
      </c>
      <c r="E20" s="86" t="s">
        <v>57</v>
      </c>
      <c r="F20" s="86"/>
    </row>
    <row r="21" ht="14.25" customHeight="1">
      <c r="A21" s="17">
        <f t="shared" si="2"/>
        <v>14</v>
      </c>
      <c r="B21" s="15" t="s">
        <v>574</v>
      </c>
      <c r="C21" s="15" t="s">
        <v>575</v>
      </c>
      <c r="D21" s="15" t="s">
        <v>576</v>
      </c>
      <c r="E21" s="86" t="s">
        <v>57</v>
      </c>
      <c r="F21" s="86"/>
    </row>
    <row r="22" ht="14.25" customHeight="1">
      <c r="A22" s="17">
        <f t="shared" si="2"/>
        <v>15</v>
      </c>
      <c r="B22" s="15" t="s">
        <v>588</v>
      </c>
      <c r="C22" s="15" t="s">
        <v>589</v>
      </c>
      <c r="D22" s="15" t="s">
        <v>590</v>
      </c>
      <c r="E22" s="86" t="s">
        <v>57</v>
      </c>
      <c r="F22" s="86"/>
    </row>
    <row r="23" ht="14.25" customHeight="1">
      <c r="A23" s="17">
        <f t="shared" si="2"/>
        <v>16</v>
      </c>
      <c r="B23" s="15" t="s">
        <v>600</v>
      </c>
      <c r="C23" s="15" t="s">
        <v>601</v>
      </c>
      <c r="D23" s="15" t="s">
        <v>602</v>
      </c>
      <c r="E23" s="86" t="s">
        <v>57</v>
      </c>
      <c r="F23" s="86"/>
    </row>
    <row r="24" ht="14.25" customHeight="1">
      <c r="A24" s="17">
        <f t="shared" si="2"/>
        <v>17</v>
      </c>
      <c r="B24" s="15" t="s">
        <v>405</v>
      </c>
      <c r="C24" s="15" t="s">
        <v>612</v>
      </c>
      <c r="D24" s="15" t="s">
        <v>613</v>
      </c>
      <c r="E24" s="86" t="s">
        <v>57</v>
      </c>
      <c r="F24" s="86"/>
    </row>
    <row r="25" ht="14.25" customHeight="1">
      <c r="A25" s="17">
        <f t="shared" si="2"/>
        <v>18</v>
      </c>
      <c r="B25" s="15" t="s">
        <v>624</v>
      </c>
      <c r="C25" s="15" t="s">
        <v>625</v>
      </c>
      <c r="D25" s="15" t="s">
        <v>626</v>
      </c>
      <c r="E25" s="86" t="s">
        <v>57</v>
      </c>
      <c r="F25" s="86"/>
    </row>
    <row r="26" ht="14.25" customHeight="1">
      <c r="A26" s="17">
        <f t="shared" si="2"/>
        <v>19</v>
      </c>
      <c r="B26" s="15" t="s">
        <v>636</v>
      </c>
      <c r="C26" s="15" t="s">
        <v>637</v>
      </c>
      <c r="D26" s="15" t="s">
        <v>638</v>
      </c>
      <c r="E26" s="86" t="s">
        <v>57</v>
      </c>
      <c r="F26" s="86"/>
    </row>
    <row r="27" ht="14.25" customHeight="1">
      <c r="A27" s="17">
        <f t="shared" si="2"/>
        <v>20</v>
      </c>
      <c r="B27" s="15" t="s">
        <v>649</v>
      </c>
      <c r="C27" s="16" t="s">
        <v>650</v>
      </c>
      <c r="D27" s="16" t="s">
        <v>359</v>
      </c>
      <c r="E27" s="86" t="s">
        <v>57</v>
      </c>
      <c r="F27" s="86"/>
    </row>
    <row r="28" ht="14.25" customHeight="1">
      <c r="A28" s="17">
        <f t="shared" si="2"/>
        <v>21</v>
      </c>
      <c r="B28" s="15" t="s">
        <v>664</v>
      </c>
      <c r="C28" s="16" t="s">
        <v>665</v>
      </c>
      <c r="D28" s="16" t="s">
        <v>86</v>
      </c>
      <c r="E28" s="86" t="s">
        <v>57</v>
      </c>
      <c r="F28" s="86"/>
    </row>
    <row r="29" ht="14.25" customHeight="1">
      <c r="A29" s="17">
        <f t="shared" si="2"/>
        <v>22</v>
      </c>
      <c r="B29" s="15" t="s">
        <v>676</v>
      </c>
      <c r="C29" s="16" t="s">
        <v>677</v>
      </c>
      <c r="D29" s="16" t="s">
        <v>678</v>
      </c>
      <c r="E29" s="86" t="s">
        <v>57</v>
      </c>
      <c r="F29" s="86"/>
    </row>
    <row r="30" ht="14.25" customHeight="1">
      <c r="A30" s="17">
        <f t="shared" si="2"/>
        <v>23</v>
      </c>
      <c r="B30" s="16" t="s">
        <v>84</v>
      </c>
      <c r="C30" s="16" t="s">
        <v>702</v>
      </c>
      <c r="D30" s="16" t="s">
        <v>703</v>
      </c>
      <c r="E30" s="86" t="s">
        <v>57</v>
      </c>
      <c r="F30" s="86"/>
    </row>
    <row r="31" ht="14.25" customHeight="1">
      <c r="A31" s="17">
        <f t="shared" si="2"/>
        <v>24</v>
      </c>
      <c r="B31" s="16" t="s">
        <v>51</v>
      </c>
      <c r="C31" s="16" t="s">
        <v>52</v>
      </c>
      <c r="D31" s="16" t="s">
        <v>53</v>
      </c>
      <c r="E31" s="86" t="s">
        <v>57</v>
      </c>
      <c r="F31" s="86"/>
    </row>
    <row r="32" ht="14.25" customHeight="1">
      <c r="A32" s="17">
        <f t="shared" si="2"/>
        <v>25</v>
      </c>
      <c r="B32" s="16" t="s">
        <v>714</v>
      </c>
      <c r="C32" s="16" t="s">
        <v>715</v>
      </c>
      <c r="D32" s="16" t="s">
        <v>716</v>
      </c>
      <c r="E32" s="86" t="s">
        <v>57</v>
      </c>
      <c r="F32" s="86"/>
    </row>
    <row r="33" ht="14.25" customHeight="1">
      <c r="A33" s="17">
        <f t="shared" si="2"/>
        <v>26</v>
      </c>
      <c r="B33" s="16" t="s">
        <v>730</v>
      </c>
      <c r="C33" s="16" t="s">
        <v>731</v>
      </c>
      <c r="D33" s="16" t="s">
        <v>732</v>
      </c>
      <c r="E33" s="86" t="s">
        <v>57</v>
      </c>
      <c r="F33" s="86"/>
    </row>
    <row r="34" ht="14.25" customHeight="1">
      <c r="A34" s="17">
        <f t="shared" si="2"/>
        <v>27</v>
      </c>
      <c r="B34" s="16" t="s">
        <v>740</v>
      </c>
      <c r="C34" s="16" t="s">
        <v>741</v>
      </c>
      <c r="D34" s="16" t="s">
        <v>742</v>
      </c>
      <c r="E34" s="86" t="s">
        <v>57</v>
      </c>
      <c r="F34" s="86"/>
    </row>
    <row r="35" ht="14.25" customHeight="1">
      <c r="A35" s="17">
        <f t="shared" si="2"/>
        <v>28</v>
      </c>
      <c r="B35" s="16" t="s">
        <v>752</v>
      </c>
      <c r="C35" s="16" t="s">
        <v>753</v>
      </c>
      <c r="D35" s="16" t="s">
        <v>754</v>
      </c>
      <c r="E35" s="86" t="s">
        <v>57</v>
      </c>
      <c r="F35" s="86"/>
    </row>
    <row r="36" ht="14.25" customHeight="1">
      <c r="A36" s="17">
        <f t="shared" si="2"/>
        <v>29</v>
      </c>
      <c r="B36" s="16" t="s">
        <v>779</v>
      </c>
      <c r="C36" s="16" t="s">
        <v>780</v>
      </c>
      <c r="D36" s="16" t="s">
        <v>781</v>
      </c>
      <c r="E36" s="86" t="s">
        <v>57</v>
      </c>
      <c r="F36" s="86"/>
    </row>
    <row r="37" ht="14.25" customHeight="1">
      <c r="A37" s="17">
        <f t="shared" si="2"/>
        <v>30</v>
      </c>
      <c r="B37" s="16" t="s">
        <v>1082</v>
      </c>
      <c r="C37" s="16" t="s">
        <v>1083</v>
      </c>
      <c r="D37" s="16" t="s">
        <v>1084</v>
      </c>
      <c r="E37" s="86" t="s">
        <v>57</v>
      </c>
      <c r="F37" s="86"/>
    </row>
    <row r="38" ht="14.25" customHeight="1">
      <c r="A38" s="17">
        <f t="shared" si="2"/>
        <v>31</v>
      </c>
      <c r="B38" s="16" t="s">
        <v>815</v>
      </c>
      <c r="C38" s="16" t="s">
        <v>816</v>
      </c>
      <c r="D38" s="16" t="s">
        <v>78</v>
      </c>
      <c r="E38" s="86" t="s">
        <v>57</v>
      </c>
      <c r="F38" s="86"/>
    </row>
    <row r="39" ht="14.25" customHeight="1">
      <c r="A39" s="17">
        <f t="shared" si="2"/>
        <v>32</v>
      </c>
      <c r="B39" s="16" t="s">
        <v>319</v>
      </c>
      <c r="C39" s="16" t="s">
        <v>320</v>
      </c>
      <c r="D39" s="16" t="s">
        <v>321</v>
      </c>
      <c r="E39" s="86" t="s">
        <v>57</v>
      </c>
      <c r="F39" s="86"/>
    </row>
    <row r="40" ht="14.25" customHeight="1">
      <c r="A40" s="17">
        <f t="shared" si="2"/>
        <v>33</v>
      </c>
      <c r="B40" s="16" t="s">
        <v>836</v>
      </c>
      <c r="C40" s="16" t="s">
        <v>837</v>
      </c>
      <c r="D40" s="16" t="s">
        <v>838</v>
      </c>
      <c r="E40" s="86" t="s">
        <v>57</v>
      </c>
      <c r="F40" s="20">
        <v>45410.0</v>
      </c>
    </row>
    <row r="41" ht="14.25" customHeight="1">
      <c r="A41" s="17">
        <f t="shared" si="2"/>
        <v>34</v>
      </c>
      <c r="B41" s="15" t="s">
        <v>847</v>
      </c>
      <c r="C41" s="16" t="s">
        <v>52</v>
      </c>
      <c r="D41" s="16" t="s">
        <v>1191</v>
      </c>
      <c r="E41" s="86" t="s">
        <v>57</v>
      </c>
      <c r="F41" s="20">
        <v>45420.0</v>
      </c>
    </row>
    <row r="42" ht="14.25" customHeight="1">
      <c r="A42" s="17">
        <f t="shared" si="2"/>
        <v>35</v>
      </c>
      <c r="B42" s="16" t="s">
        <v>857</v>
      </c>
      <c r="C42" s="16" t="s">
        <v>858</v>
      </c>
      <c r="D42" s="16" t="s">
        <v>859</v>
      </c>
      <c r="E42" s="86" t="s">
        <v>57</v>
      </c>
      <c r="F42" s="20">
        <v>45438.0</v>
      </c>
    </row>
    <row r="43" ht="14.25" customHeight="1">
      <c r="A43" s="17">
        <f t="shared" si="2"/>
        <v>36</v>
      </c>
      <c r="B43" s="16" t="s">
        <v>1648</v>
      </c>
      <c r="C43" s="16" t="s">
        <v>1649</v>
      </c>
      <c r="D43" s="16" t="s">
        <v>1650</v>
      </c>
      <c r="E43" s="86" t="s">
        <v>16</v>
      </c>
      <c r="F43" s="20">
        <v>45507.0</v>
      </c>
    </row>
    <row r="44" ht="14.25" customHeight="1">
      <c r="A44" s="17">
        <f t="shared" si="2"/>
        <v>37</v>
      </c>
      <c r="B44" s="16" t="s">
        <v>6162</v>
      </c>
      <c r="C44" s="16" t="s">
        <v>837</v>
      </c>
      <c r="D44" s="16" t="s">
        <v>6163</v>
      </c>
      <c r="E44" s="86" t="s">
        <v>16</v>
      </c>
      <c r="F44" s="20">
        <v>45512.0</v>
      </c>
    </row>
    <row r="45" ht="14.25" customHeight="1">
      <c r="A45" s="17">
        <f t="shared" si="2"/>
        <v>38</v>
      </c>
      <c r="B45" s="15" t="s">
        <v>6157</v>
      </c>
      <c r="C45" s="15" t="s">
        <v>6158</v>
      </c>
      <c r="D45" s="15" t="s">
        <v>6159</v>
      </c>
      <c r="E45" s="86" t="s">
        <v>16</v>
      </c>
      <c r="F45" s="20">
        <v>45541.0</v>
      </c>
    </row>
    <row r="46" ht="14.25" customHeight="1">
      <c r="A46" s="17">
        <f t="shared" si="2"/>
        <v>39</v>
      </c>
      <c r="B46" s="16" t="s">
        <v>1244</v>
      </c>
      <c r="C46" s="16" t="s">
        <v>1245</v>
      </c>
      <c r="D46" s="16" t="s">
        <v>1246</v>
      </c>
      <c r="E46" s="86" t="s">
        <v>419</v>
      </c>
      <c r="F46" s="20">
        <v>45651.0</v>
      </c>
    </row>
    <row r="47" ht="14.25" customHeight="1">
      <c r="A47" s="17">
        <f t="shared" si="2"/>
        <v>40</v>
      </c>
      <c r="B47" s="16" t="s">
        <v>6164</v>
      </c>
      <c r="C47" s="16" t="s">
        <v>6165</v>
      </c>
      <c r="D47" s="16" t="s">
        <v>84</v>
      </c>
      <c r="E47" s="86" t="s">
        <v>419</v>
      </c>
      <c r="F47" s="20">
        <v>45652.0</v>
      </c>
    </row>
    <row r="48" ht="14.25" customHeight="1">
      <c r="B48" s="332"/>
      <c r="C48" s="332"/>
      <c r="D48" s="332"/>
    </row>
    <row r="49" ht="14.25" customHeight="1">
      <c r="B49" s="332"/>
      <c r="C49" s="332"/>
      <c r="D49" s="332"/>
    </row>
    <row r="50" ht="14.25" customHeight="1">
      <c r="A50" s="84" t="s">
        <v>6193</v>
      </c>
    </row>
    <row r="51" ht="14.25" customHeight="1">
      <c r="A51" s="19">
        <f>A47+1</f>
        <v>41</v>
      </c>
      <c r="B51" s="16" t="s">
        <v>99</v>
      </c>
      <c r="C51" s="16" t="s">
        <v>100</v>
      </c>
      <c r="D51" s="16" t="s">
        <v>101</v>
      </c>
      <c r="E51" s="86" t="s">
        <v>57</v>
      </c>
      <c r="F51" s="86"/>
    </row>
    <row r="52" ht="14.25" customHeight="1">
      <c r="A52" s="19">
        <f t="shared" ref="A52:A76" si="3">+A51+1</f>
        <v>42</v>
      </c>
      <c r="B52" s="26" t="s">
        <v>118</v>
      </c>
      <c r="C52" s="26" t="s">
        <v>119</v>
      </c>
      <c r="D52" s="26" t="s">
        <v>120</v>
      </c>
      <c r="E52" s="86" t="s">
        <v>57</v>
      </c>
      <c r="F52" s="86"/>
    </row>
    <row r="53" ht="14.25" customHeight="1">
      <c r="A53" s="19">
        <f t="shared" si="3"/>
        <v>43</v>
      </c>
      <c r="B53" s="16" t="s">
        <v>129</v>
      </c>
      <c r="C53" s="26" t="s">
        <v>130</v>
      </c>
      <c r="D53" s="16" t="s">
        <v>131</v>
      </c>
      <c r="E53" s="86" t="s">
        <v>57</v>
      </c>
      <c r="F53" s="86"/>
    </row>
    <row r="54" ht="14.25" customHeight="1">
      <c r="A54" s="19">
        <f t="shared" si="3"/>
        <v>44</v>
      </c>
      <c r="B54" s="16" t="s">
        <v>145</v>
      </c>
      <c r="C54" s="16" t="s">
        <v>146</v>
      </c>
      <c r="D54" s="16" t="s">
        <v>147</v>
      </c>
      <c r="E54" s="86" t="s">
        <v>57</v>
      </c>
      <c r="F54" s="86"/>
    </row>
    <row r="55" ht="14.25" customHeight="1">
      <c r="A55" s="19">
        <f t="shared" si="3"/>
        <v>45</v>
      </c>
      <c r="B55" s="16" t="s">
        <v>74</v>
      </c>
      <c r="C55" s="16" t="s">
        <v>1712</v>
      </c>
      <c r="D55" s="16" t="s">
        <v>847</v>
      </c>
      <c r="E55" s="86" t="s">
        <v>57</v>
      </c>
      <c r="F55" s="86"/>
    </row>
    <row r="56" ht="14.25" customHeight="1">
      <c r="A56" s="19">
        <f t="shared" si="3"/>
        <v>46</v>
      </c>
      <c r="B56" s="16" t="s">
        <v>5840</v>
      </c>
      <c r="C56" s="16" t="s">
        <v>5841</v>
      </c>
      <c r="D56" s="16" t="s">
        <v>6175</v>
      </c>
      <c r="E56" s="86" t="s">
        <v>57</v>
      </c>
      <c r="F56" s="86"/>
    </row>
    <row r="57" ht="14.25" customHeight="1">
      <c r="A57" s="19">
        <f t="shared" si="3"/>
        <v>47</v>
      </c>
      <c r="B57" s="16" t="s">
        <v>157</v>
      </c>
      <c r="C57" s="16" t="s">
        <v>158</v>
      </c>
      <c r="D57" s="16" t="s">
        <v>159</v>
      </c>
      <c r="E57" s="86" t="s">
        <v>57</v>
      </c>
      <c r="F57" s="86"/>
    </row>
    <row r="58" ht="14.25" customHeight="1">
      <c r="A58" s="19">
        <f t="shared" si="3"/>
        <v>48</v>
      </c>
      <c r="B58" s="16" t="s">
        <v>1673</v>
      </c>
      <c r="C58" s="16" t="s">
        <v>1674</v>
      </c>
      <c r="D58" s="16" t="s">
        <v>1675</v>
      </c>
      <c r="E58" s="86" t="s">
        <v>57</v>
      </c>
      <c r="F58" s="86"/>
    </row>
    <row r="59" ht="14.25" customHeight="1">
      <c r="A59" s="19">
        <f t="shared" si="3"/>
        <v>49</v>
      </c>
      <c r="B59" s="16" t="s">
        <v>173</v>
      </c>
      <c r="C59" s="16" t="s">
        <v>174</v>
      </c>
      <c r="D59" s="16" t="s">
        <v>175</v>
      </c>
      <c r="E59" s="86" t="s">
        <v>57</v>
      </c>
      <c r="F59" s="86"/>
    </row>
    <row r="60" ht="14.25" customHeight="1">
      <c r="A60" s="19">
        <f t="shared" si="3"/>
        <v>50</v>
      </c>
      <c r="B60" s="16" t="s">
        <v>187</v>
      </c>
      <c r="C60" s="16" t="s">
        <v>188</v>
      </c>
      <c r="D60" s="16" t="s">
        <v>189</v>
      </c>
      <c r="E60" s="86" t="s">
        <v>57</v>
      </c>
      <c r="F60" s="86"/>
    </row>
    <row r="61" ht="14.25" customHeight="1">
      <c r="A61" s="19">
        <f t="shared" si="3"/>
        <v>51</v>
      </c>
      <c r="B61" s="16" t="s">
        <v>202</v>
      </c>
      <c r="C61" s="16" t="s">
        <v>203</v>
      </c>
      <c r="D61" s="16" t="s">
        <v>204</v>
      </c>
      <c r="E61" s="86" t="s">
        <v>57</v>
      </c>
      <c r="F61" s="86"/>
    </row>
    <row r="62" ht="14.25" customHeight="1">
      <c r="A62" s="19">
        <f t="shared" si="3"/>
        <v>52</v>
      </c>
      <c r="B62" s="16" t="s">
        <v>6148</v>
      </c>
      <c r="C62" s="16" t="s">
        <v>6149</v>
      </c>
      <c r="D62" s="16" t="s">
        <v>6150</v>
      </c>
      <c r="E62" s="86" t="s">
        <v>57</v>
      </c>
      <c r="F62" s="86"/>
    </row>
    <row r="63" ht="14.25" customHeight="1">
      <c r="A63" s="19">
        <f t="shared" si="3"/>
        <v>53</v>
      </c>
      <c r="B63" s="16" t="s">
        <v>1746</v>
      </c>
      <c r="C63" s="16" t="s">
        <v>1747</v>
      </c>
      <c r="D63" s="16" t="s">
        <v>1748</v>
      </c>
      <c r="E63" s="86" t="s">
        <v>57</v>
      </c>
      <c r="F63" s="86"/>
    </row>
    <row r="64" ht="14.25" customHeight="1">
      <c r="A64" s="19">
        <f t="shared" si="3"/>
        <v>54</v>
      </c>
      <c r="B64" s="16" t="s">
        <v>1590</v>
      </c>
      <c r="C64" s="16" t="s">
        <v>1591</v>
      </c>
      <c r="D64" s="16" t="s">
        <v>532</v>
      </c>
      <c r="E64" s="86" t="s">
        <v>57</v>
      </c>
      <c r="F64" s="86"/>
    </row>
    <row r="65" ht="14.25" customHeight="1">
      <c r="A65" s="19">
        <f t="shared" si="3"/>
        <v>55</v>
      </c>
      <c r="B65" s="16" t="s">
        <v>1573</v>
      </c>
      <c r="C65" s="16" t="s">
        <v>1574</v>
      </c>
      <c r="D65" s="16" t="s">
        <v>1575</v>
      </c>
      <c r="E65" s="86" t="s">
        <v>57</v>
      </c>
      <c r="F65" s="86"/>
    </row>
    <row r="66" ht="14.25" customHeight="1">
      <c r="A66" s="19">
        <f t="shared" si="3"/>
        <v>56</v>
      </c>
      <c r="B66" s="16" t="s">
        <v>1497</v>
      </c>
      <c r="C66" s="16" t="s">
        <v>1498</v>
      </c>
      <c r="D66" s="16" t="s">
        <v>1499</v>
      </c>
      <c r="E66" s="86" t="s">
        <v>57</v>
      </c>
      <c r="F66" s="86"/>
    </row>
    <row r="67" ht="14.25" customHeight="1">
      <c r="A67" s="19">
        <f t="shared" si="3"/>
        <v>57</v>
      </c>
      <c r="B67" s="16" t="s">
        <v>1560</v>
      </c>
      <c r="C67" s="16" t="s">
        <v>1561</v>
      </c>
      <c r="D67" s="16" t="s">
        <v>1562</v>
      </c>
      <c r="E67" s="86" t="s">
        <v>57</v>
      </c>
      <c r="F67" s="86"/>
    </row>
    <row r="68" ht="14.25" customHeight="1">
      <c r="A68" s="19">
        <f t="shared" si="3"/>
        <v>58</v>
      </c>
      <c r="B68" s="16" t="s">
        <v>359</v>
      </c>
      <c r="C68" s="16" t="s">
        <v>3718</v>
      </c>
      <c r="D68" s="16" t="s">
        <v>361</v>
      </c>
      <c r="E68" s="86" t="s">
        <v>57</v>
      </c>
      <c r="F68" s="86">
        <v>45317.0</v>
      </c>
    </row>
    <row r="69" ht="14.25" customHeight="1">
      <c r="A69" s="19">
        <f t="shared" si="3"/>
        <v>59</v>
      </c>
      <c r="B69" s="16" t="s">
        <v>6153</v>
      </c>
      <c r="C69" s="16" t="s">
        <v>6154</v>
      </c>
      <c r="D69" s="16" t="s">
        <v>84</v>
      </c>
      <c r="E69" s="86" t="s">
        <v>57</v>
      </c>
      <c r="F69" s="86">
        <v>45317.0</v>
      </c>
    </row>
    <row r="70" ht="14.25" customHeight="1">
      <c r="A70" s="19">
        <f t="shared" si="3"/>
        <v>60</v>
      </c>
      <c r="B70" s="16" t="s">
        <v>214</v>
      </c>
      <c r="C70" s="16" t="s">
        <v>215</v>
      </c>
      <c r="D70" s="16" t="s">
        <v>216</v>
      </c>
      <c r="E70" s="86" t="s">
        <v>57</v>
      </c>
      <c r="F70" s="86">
        <v>45360.0</v>
      </c>
    </row>
    <row r="71" ht="14.25" customHeight="1">
      <c r="A71" s="19">
        <f t="shared" si="3"/>
        <v>61</v>
      </c>
      <c r="B71" s="16" t="s">
        <v>228</v>
      </c>
      <c r="C71" s="16" t="s">
        <v>229</v>
      </c>
      <c r="D71" s="16" t="s">
        <v>230</v>
      </c>
      <c r="E71" s="86" t="s">
        <v>57</v>
      </c>
      <c r="F71" s="86">
        <v>45380.0</v>
      </c>
    </row>
    <row r="72" ht="14.25" customHeight="1">
      <c r="A72" s="19">
        <f t="shared" si="3"/>
        <v>62</v>
      </c>
      <c r="B72" s="16" t="s">
        <v>1636</v>
      </c>
      <c r="C72" s="16" t="s">
        <v>1637</v>
      </c>
      <c r="D72" s="16" t="s">
        <v>1638</v>
      </c>
      <c r="E72" s="86" t="s">
        <v>57</v>
      </c>
      <c r="F72" s="86">
        <v>45441.0</v>
      </c>
    </row>
    <row r="73" ht="14.25" customHeight="1">
      <c r="A73" s="19">
        <f t="shared" si="3"/>
        <v>63</v>
      </c>
      <c r="B73" s="16" t="s">
        <v>242</v>
      </c>
      <c r="C73" s="16" t="s">
        <v>243</v>
      </c>
      <c r="D73" s="16" t="s">
        <v>244</v>
      </c>
      <c r="E73" s="86" t="s">
        <v>57</v>
      </c>
      <c r="F73" s="86">
        <v>45452.0</v>
      </c>
    </row>
    <row r="74" ht="14.25" customHeight="1">
      <c r="A74" s="19">
        <f t="shared" si="3"/>
        <v>64</v>
      </c>
      <c r="B74" s="16" t="s">
        <v>254</v>
      </c>
      <c r="C74" s="16" t="s">
        <v>255</v>
      </c>
      <c r="D74" s="16" t="s">
        <v>256</v>
      </c>
      <c r="E74" s="86" t="s">
        <v>16</v>
      </c>
      <c r="F74" s="86">
        <v>45527.0</v>
      </c>
    </row>
    <row r="75" ht="14.25" customHeight="1">
      <c r="A75" s="19">
        <f t="shared" si="3"/>
        <v>65</v>
      </c>
      <c r="B75" s="16" t="s">
        <v>1510</v>
      </c>
      <c r="C75" s="16" t="s">
        <v>1511</v>
      </c>
      <c r="D75" s="16" t="s">
        <v>1512</v>
      </c>
      <c r="E75" s="86" t="s">
        <v>16</v>
      </c>
      <c r="F75" s="86">
        <v>45602.0</v>
      </c>
    </row>
    <row r="76" ht="14.25" customHeight="1">
      <c r="A76" s="19">
        <f t="shared" si="3"/>
        <v>66</v>
      </c>
      <c r="B76" s="16" t="s">
        <v>1423</v>
      </c>
      <c r="C76" s="16" t="s">
        <v>1424</v>
      </c>
      <c r="D76" s="16" t="s">
        <v>1425</v>
      </c>
      <c r="E76" s="86" t="s">
        <v>16</v>
      </c>
      <c r="F76" s="86">
        <v>45610.0</v>
      </c>
    </row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rowBreaks count="1" manualBreakCount="1">
    <brk id="47" man="1"/>
  </rowBreak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4.86"/>
    <col customWidth="1" min="3" max="3" width="14.0"/>
    <col customWidth="1" min="4" max="4" width="12.86"/>
    <col customWidth="1" min="5" max="5" width="15.86"/>
    <col customWidth="1" min="6" max="6" width="11.57"/>
    <col customWidth="1" min="7" max="26" width="9.0"/>
  </cols>
  <sheetData>
    <row r="1" ht="14.25" customHeight="1">
      <c r="A1" s="333" t="s">
        <v>6194</v>
      </c>
    </row>
    <row r="2" ht="14.25" customHeight="1">
      <c r="A2" s="54"/>
      <c r="B2" s="123" t="s">
        <v>6195</v>
      </c>
    </row>
    <row r="3" ht="14.25" customHeight="1">
      <c r="A3" s="334" t="s">
        <v>6016</v>
      </c>
      <c r="B3" s="334" t="s">
        <v>6196</v>
      </c>
      <c r="C3" s="334" t="s">
        <v>6197</v>
      </c>
      <c r="D3" s="334" t="s">
        <v>6198</v>
      </c>
      <c r="E3" s="335" t="s">
        <v>6199</v>
      </c>
      <c r="F3" s="335" t="s">
        <v>6200</v>
      </c>
    </row>
    <row r="4" ht="14.25" customHeight="1">
      <c r="A4" s="183"/>
      <c r="B4" s="183"/>
      <c r="C4" s="183"/>
      <c r="D4" s="183"/>
      <c r="E4" s="183"/>
      <c r="F4" s="183"/>
    </row>
    <row r="5" ht="14.25" customHeight="1">
      <c r="A5" s="146">
        <v>1.0</v>
      </c>
      <c r="B5" s="158" t="s">
        <v>547</v>
      </c>
      <c r="C5" s="158" t="s">
        <v>548</v>
      </c>
      <c r="D5" s="109" t="s">
        <v>57</v>
      </c>
      <c r="E5" s="139">
        <f t="shared" ref="E5:E17" si="1">F5*12/365</f>
        <v>621.4993973</v>
      </c>
      <c r="F5" s="139">
        <v>18903.94</v>
      </c>
    </row>
    <row r="6" ht="14.25" customHeight="1">
      <c r="A6" s="146">
        <v>2.0</v>
      </c>
      <c r="B6" s="158" t="s">
        <v>996</v>
      </c>
      <c r="C6" s="158" t="s">
        <v>997</v>
      </c>
      <c r="D6" s="109" t="s">
        <v>57</v>
      </c>
      <c r="E6" s="139">
        <f t="shared" si="1"/>
        <v>667.5205479</v>
      </c>
      <c r="F6" s="139">
        <v>20303.75</v>
      </c>
    </row>
    <row r="7" ht="14.25" customHeight="1">
      <c r="A7" s="146">
        <v>3.0</v>
      </c>
      <c r="B7" s="158" t="s">
        <v>1031</v>
      </c>
      <c r="C7" s="158" t="s">
        <v>1032</v>
      </c>
      <c r="D7" s="109" t="s">
        <v>57</v>
      </c>
      <c r="E7" s="139">
        <f t="shared" si="1"/>
        <v>822.0410959</v>
      </c>
      <c r="F7" s="139">
        <v>25003.75</v>
      </c>
    </row>
    <row r="8" ht="14.25" customHeight="1">
      <c r="A8" s="146">
        <v>4.0</v>
      </c>
      <c r="B8" s="158" t="s">
        <v>1044</v>
      </c>
      <c r="C8" s="158" t="s">
        <v>1045</v>
      </c>
      <c r="D8" s="109" t="s">
        <v>16</v>
      </c>
      <c r="E8" s="139">
        <f t="shared" si="1"/>
        <v>575.3424658</v>
      </c>
      <c r="F8" s="139">
        <v>17500.0</v>
      </c>
    </row>
    <row r="9" ht="14.25" customHeight="1">
      <c r="A9" s="146">
        <v>5.0</v>
      </c>
      <c r="B9" s="158" t="s">
        <v>1095</v>
      </c>
      <c r="C9" s="158" t="s">
        <v>1096</v>
      </c>
      <c r="D9" s="109" t="s">
        <v>57</v>
      </c>
      <c r="E9" s="139">
        <f t="shared" si="1"/>
        <v>621.4993973</v>
      </c>
      <c r="F9" s="139">
        <v>18903.94</v>
      </c>
    </row>
    <row r="10" ht="14.25" customHeight="1">
      <c r="A10" s="146">
        <v>6.0</v>
      </c>
      <c r="B10" s="158" t="s">
        <v>532</v>
      </c>
      <c r="C10" s="158" t="s">
        <v>533</v>
      </c>
      <c r="D10" s="109" t="s">
        <v>57</v>
      </c>
      <c r="E10" s="139">
        <f t="shared" si="1"/>
        <v>619.8493151</v>
      </c>
      <c r="F10" s="139">
        <v>18853.75</v>
      </c>
    </row>
    <row r="11" ht="14.25" customHeight="1">
      <c r="A11" s="146">
        <v>7.0</v>
      </c>
      <c r="B11" s="158" t="s">
        <v>447</v>
      </c>
      <c r="C11" s="158" t="s">
        <v>75</v>
      </c>
      <c r="D11" s="109" t="s">
        <v>57</v>
      </c>
      <c r="E11" s="139">
        <f t="shared" si="1"/>
        <v>647.7945205</v>
      </c>
      <c r="F11" s="139">
        <v>19703.75</v>
      </c>
    </row>
    <row r="12" ht="14.25" customHeight="1">
      <c r="A12" s="146">
        <v>8.0</v>
      </c>
      <c r="B12" s="158" t="s">
        <v>1105</v>
      </c>
      <c r="C12" s="158" t="s">
        <v>1106</v>
      </c>
      <c r="D12" s="109" t="s">
        <v>57</v>
      </c>
      <c r="E12" s="139">
        <f t="shared" si="1"/>
        <v>887.7945205</v>
      </c>
      <c r="F12" s="139">
        <v>27003.75</v>
      </c>
    </row>
    <row r="13" ht="14.25" customHeight="1">
      <c r="A13" s="146">
        <v>9.0</v>
      </c>
      <c r="B13" s="158" t="s">
        <v>504</v>
      </c>
      <c r="C13" s="158" t="s">
        <v>505</v>
      </c>
      <c r="D13" s="109" t="s">
        <v>57</v>
      </c>
      <c r="E13" s="139">
        <f t="shared" si="1"/>
        <v>626.7534247</v>
      </c>
      <c r="F13" s="139">
        <v>19063.75</v>
      </c>
    </row>
    <row r="14" ht="14.25" customHeight="1">
      <c r="A14" s="146">
        <v>10.0</v>
      </c>
      <c r="B14" s="158" t="s">
        <v>461</v>
      </c>
      <c r="C14" s="158" t="s">
        <v>462</v>
      </c>
      <c r="D14" s="109" t="s">
        <v>57</v>
      </c>
      <c r="E14" s="139">
        <f t="shared" si="1"/>
        <v>1183.684932</v>
      </c>
      <c r="F14" s="139">
        <v>36003.75</v>
      </c>
    </row>
    <row r="15" ht="14.25" customHeight="1">
      <c r="A15" s="146">
        <v>11.0</v>
      </c>
      <c r="B15" s="158" t="s">
        <v>1132</v>
      </c>
      <c r="C15" s="158" t="s">
        <v>1133</v>
      </c>
      <c r="D15" s="109" t="s">
        <v>57</v>
      </c>
      <c r="E15" s="139">
        <f t="shared" si="1"/>
        <v>756.2876712</v>
      </c>
      <c r="F15" s="139">
        <v>23003.75</v>
      </c>
    </row>
    <row r="16" ht="14.25" customHeight="1">
      <c r="A16" s="146">
        <v>12.0</v>
      </c>
      <c r="B16" s="336" t="s">
        <v>519</v>
      </c>
      <c r="C16" s="336" t="s">
        <v>520</v>
      </c>
      <c r="D16" s="162" t="s">
        <v>57</v>
      </c>
      <c r="E16" s="139">
        <f t="shared" si="1"/>
        <v>723.4109589</v>
      </c>
      <c r="F16" s="337">
        <v>22003.75</v>
      </c>
    </row>
    <row r="17" ht="14.25" customHeight="1">
      <c r="A17" s="146">
        <v>13.0</v>
      </c>
      <c r="B17" s="338" t="s">
        <v>92</v>
      </c>
      <c r="C17" s="338" t="s">
        <v>434</v>
      </c>
      <c r="D17" s="339" t="s">
        <v>57</v>
      </c>
      <c r="E17" s="340">
        <f t="shared" si="1"/>
        <v>969.9863014</v>
      </c>
      <c r="F17" s="340">
        <v>29503.75</v>
      </c>
    </row>
    <row r="18" ht="14.25" customHeight="1">
      <c r="A18" s="54"/>
    </row>
    <row r="19" ht="14.25" customHeight="1">
      <c r="A19" s="341" t="s">
        <v>6016</v>
      </c>
      <c r="B19" s="334" t="s">
        <v>6196</v>
      </c>
      <c r="C19" s="334" t="s">
        <v>6197</v>
      </c>
      <c r="D19" s="334" t="s">
        <v>6198</v>
      </c>
      <c r="E19" s="335" t="s">
        <v>6199</v>
      </c>
      <c r="F19" s="335" t="s">
        <v>6200</v>
      </c>
    </row>
    <row r="20" ht="14.25" customHeight="1">
      <c r="A20" s="183"/>
      <c r="B20" s="183"/>
      <c r="C20" s="183"/>
      <c r="D20" s="183"/>
      <c r="E20" s="183"/>
      <c r="F20" s="183"/>
    </row>
    <row r="21" ht="14.25" customHeight="1">
      <c r="A21" s="133">
        <v>1.0</v>
      </c>
      <c r="B21" s="86" t="s">
        <v>600</v>
      </c>
      <c r="C21" s="86" t="s">
        <v>601</v>
      </c>
      <c r="D21" s="133" t="s">
        <v>57</v>
      </c>
      <c r="E21" s="160">
        <f t="shared" ref="E21:E24" si="2">F21*12/365</f>
        <v>631.3561644</v>
      </c>
      <c r="F21" s="139">
        <v>19203.75</v>
      </c>
    </row>
    <row r="22" ht="14.25" customHeight="1">
      <c r="A22" s="133">
        <v>2.0</v>
      </c>
      <c r="B22" s="86" t="s">
        <v>574</v>
      </c>
      <c r="C22" s="86" t="s">
        <v>575</v>
      </c>
      <c r="D22" s="133" t="s">
        <v>57</v>
      </c>
      <c r="E22" s="160">
        <f t="shared" si="2"/>
        <v>596.8356164</v>
      </c>
      <c r="F22" s="139">
        <v>18153.75</v>
      </c>
    </row>
    <row r="23" ht="14.25" customHeight="1">
      <c r="A23" s="133">
        <v>3.0</v>
      </c>
      <c r="B23" s="86" t="s">
        <v>688</v>
      </c>
      <c r="C23" s="86" t="s">
        <v>6201</v>
      </c>
      <c r="D23" s="133" t="s">
        <v>57</v>
      </c>
      <c r="E23" s="160">
        <f t="shared" si="2"/>
        <v>570</v>
      </c>
      <c r="F23" s="337">
        <v>17337.5</v>
      </c>
    </row>
    <row r="24" ht="14.25" customHeight="1">
      <c r="A24" s="133">
        <v>4.0</v>
      </c>
      <c r="B24" s="86" t="s">
        <v>1162</v>
      </c>
      <c r="C24" s="86" t="s">
        <v>1163</v>
      </c>
      <c r="D24" s="133" t="s">
        <v>57</v>
      </c>
      <c r="E24" s="160">
        <f t="shared" si="2"/>
        <v>570</v>
      </c>
      <c r="F24" s="337">
        <v>17337.5</v>
      </c>
    </row>
    <row r="25" ht="14.25" customHeight="1">
      <c r="A25" s="133">
        <v>5.0</v>
      </c>
      <c r="B25" s="86" t="s">
        <v>558</v>
      </c>
      <c r="C25" s="86" t="s">
        <v>559</v>
      </c>
      <c r="D25" s="133" t="s">
        <v>57</v>
      </c>
      <c r="E25" s="160">
        <v>570.0</v>
      </c>
      <c r="F25" s="139">
        <v>17337.5</v>
      </c>
    </row>
    <row r="26" ht="14.25" customHeight="1">
      <c r="A26" s="133">
        <v>6.0</v>
      </c>
      <c r="B26" s="86" t="s">
        <v>1071</v>
      </c>
      <c r="C26" s="86" t="s">
        <v>1072</v>
      </c>
      <c r="D26" s="133" t="s">
        <v>57</v>
      </c>
      <c r="E26" s="160">
        <v>570.0</v>
      </c>
      <c r="F26" s="337">
        <v>17337.5</v>
      </c>
    </row>
    <row r="27" ht="14.25" customHeight="1">
      <c r="A27" s="133">
        <v>7.0</v>
      </c>
      <c r="B27" s="342" t="s">
        <v>405</v>
      </c>
      <c r="C27" s="342" t="s">
        <v>612</v>
      </c>
      <c r="D27" s="146" t="s">
        <v>57</v>
      </c>
      <c r="E27" s="160">
        <f t="shared" ref="E27:E32" si="3">F27*12/365</f>
        <v>570</v>
      </c>
      <c r="F27" s="337">
        <v>17337.5</v>
      </c>
    </row>
    <row r="28" ht="14.25" customHeight="1">
      <c r="A28" s="133">
        <v>8.0</v>
      </c>
      <c r="B28" s="342" t="s">
        <v>588</v>
      </c>
      <c r="C28" s="342" t="s">
        <v>589</v>
      </c>
      <c r="D28" s="146" t="s">
        <v>57</v>
      </c>
      <c r="E28" s="160">
        <f t="shared" si="3"/>
        <v>598.4794521</v>
      </c>
      <c r="F28" s="337">
        <v>18203.75</v>
      </c>
    </row>
    <row r="29" ht="14.25" customHeight="1">
      <c r="A29" s="133">
        <v>9.0</v>
      </c>
      <c r="B29" s="342" t="s">
        <v>636</v>
      </c>
      <c r="C29" s="342" t="s">
        <v>637</v>
      </c>
      <c r="D29" s="146" t="s">
        <v>57</v>
      </c>
      <c r="E29" s="160">
        <f t="shared" si="3"/>
        <v>570</v>
      </c>
      <c r="F29" s="337">
        <v>17337.5</v>
      </c>
    </row>
    <row r="30" ht="14.25" customHeight="1">
      <c r="A30" s="133">
        <v>10.0</v>
      </c>
      <c r="B30" s="86" t="s">
        <v>51</v>
      </c>
      <c r="C30" s="86" t="s">
        <v>52</v>
      </c>
      <c r="D30" s="133" t="s">
        <v>57</v>
      </c>
      <c r="E30" s="160">
        <f t="shared" si="3"/>
        <v>570</v>
      </c>
      <c r="F30" s="337">
        <v>17337.5</v>
      </c>
    </row>
    <row r="31" ht="14.25" customHeight="1">
      <c r="A31" s="133">
        <v>11.0</v>
      </c>
      <c r="B31" s="342" t="s">
        <v>664</v>
      </c>
      <c r="C31" s="343" t="s">
        <v>665</v>
      </c>
      <c r="D31" s="146" t="s">
        <v>57</v>
      </c>
      <c r="E31" s="160">
        <f t="shared" si="3"/>
        <v>570</v>
      </c>
      <c r="F31" s="139">
        <v>17337.5</v>
      </c>
    </row>
    <row r="32" ht="14.25" customHeight="1">
      <c r="A32" s="133">
        <v>12.0</v>
      </c>
      <c r="B32" s="86" t="s">
        <v>740</v>
      </c>
      <c r="C32" s="86" t="s">
        <v>3345</v>
      </c>
      <c r="D32" s="133" t="s">
        <v>57</v>
      </c>
      <c r="E32" s="160">
        <f t="shared" si="3"/>
        <v>641.0958904</v>
      </c>
      <c r="F32" s="337">
        <v>19500.0</v>
      </c>
    </row>
    <row r="33" ht="14.25" customHeight="1">
      <c r="A33" s="133">
        <v>13.0</v>
      </c>
      <c r="B33" s="86" t="s">
        <v>216</v>
      </c>
      <c r="C33" s="86" t="s">
        <v>1020</v>
      </c>
      <c r="D33" s="133" t="s">
        <v>57</v>
      </c>
      <c r="E33" s="160">
        <v>570.0</v>
      </c>
      <c r="F33" s="139">
        <v>17337.5</v>
      </c>
    </row>
    <row r="34" ht="14.25" customHeight="1">
      <c r="A34" s="133">
        <v>14.0</v>
      </c>
      <c r="B34" s="86" t="s">
        <v>624</v>
      </c>
      <c r="C34" s="86" t="s">
        <v>625</v>
      </c>
      <c r="D34" s="133" t="s">
        <v>57</v>
      </c>
      <c r="E34" s="160">
        <f t="shared" ref="E34:E37" si="4">F34*12/365</f>
        <v>628.0684932</v>
      </c>
      <c r="F34" s="139">
        <v>19103.75</v>
      </c>
    </row>
    <row r="35" ht="14.25" customHeight="1">
      <c r="A35" s="133">
        <v>15.0</v>
      </c>
      <c r="B35" s="86" t="s">
        <v>489</v>
      </c>
      <c r="C35" s="86" t="s">
        <v>490</v>
      </c>
      <c r="D35" s="133" t="s">
        <v>57</v>
      </c>
      <c r="E35" s="160">
        <f t="shared" si="4"/>
        <v>641.2191781</v>
      </c>
      <c r="F35" s="337">
        <v>19503.75</v>
      </c>
    </row>
    <row r="36" ht="14.25" customHeight="1">
      <c r="A36" s="133">
        <v>16.0</v>
      </c>
      <c r="B36" s="86" t="s">
        <v>730</v>
      </c>
      <c r="C36" s="86" t="s">
        <v>731</v>
      </c>
      <c r="D36" s="133" t="s">
        <v>57</v>
      </c>
      <c r="E36" s="160">
        <f t="shared" si="4"/>
        <v>596.8356164</v>
      </c>
      <c r="F36" s="139">
        <v>18153.75</v>
      </c>
    </row>
    <row r="37" ht="14.25" customHeight="1">
      <c r="A37" s="133">
        <v>17.0</v>
      </c>
      <c r="B37" s="86" t="s">
        <v>1148</v>
      </c>
      <c r="C37" s="86" t="s">
        <v>158</v>
      </c>
      <c r="D37" s="133" t="s">
        <v>57</v>
      </c>
      <c r="E37" s="160">
        <f t="shared" si="4"/>
        <v>570</v>
      </c>
      <c r="F37" s="139">
        <v>17337.5</v>
      </c>
    </row>
    <row r="38" ht="14.25" customHeight="1">
      <c r="A38" s="133">
        <v>18.0</v>
      </c>
      <c r="B38" s="86" t="s">
        <v>1056</v>
      </c>
      <c r="C38" s="86" t="s">
        <v>1057</v>
      </c>
      <c r="D38" s="133" t="s">
        <v>57</v>
      </c>
      <c r="E38" s="160">
        <v>570.0</v>
      </c>
      <c r="F38" s="139">
        <v>17337.5</v>
      </c>
    </row>
    <row r="39" ht="14.25" customHeight="1">
      <c r="A39" s="133">
        <v>19.0</v>
      </c>
      <c r="B39" s="86" t="s">
        <v>649</v>
      </c>
      <c r="C39" s="86" t="s">
        <v>6202</v>
      </c>
      <c r="D39" s="133" t="s">
        <v>57</v>
      </c>
      <c r="E39" s="160">
        <f t="shared" ref="E39:E40" si="5">F39*12/365</f>
        <v>570</v>
      </c>
      <c r="F39" s="139">
        <v>17337.5</v>
      </c>
    </row>
    <row r="40" ht="14.25" customHeight="1">
      <c r="A40" s="133">
        <v>20.0</v>
      </c>
      <c r="B40" s="344" t="s">
        <v>475</v>
      </c>
      <c r="C40" s="344" t="s">
        <v>6203</v>
      </c>
      <c r="D40" s="345" t="s">
        <v>57</v>
      </c>
      <c r="E40" s="346">
        <f t="shared" si="5"/>
        <v>651.6082192</v>
      </c>
      <c r="F40" s="347">
        <v>19819.75</v>
      </c>
    </row>
    <row r="41" ht="14.25" customHeight="1">
      <c r="A41" s="54"/>
    </row>
    <row r="42" ht="14.25" customHeight="1">
      <c r="A42" s="54"/>
      <c r="B42" s="348" t="s">
        <v>6204</v>
      </c>
    </row>
    <row r="43" ht="14.25" customHeight="1">
      <c r="A43" s="341" t="s">
        <v>6016</v>
      </c>
      <c r="B43" s="349" t="s">
        <v>6196</v>
      </c>
      <c r="C43" s="349" t="s">
        <v>6197</v>
      </c>
      <c r="D43" s="349" t="s">
        <v>6198</v>
      </c>
      <c r="E43" s="350" t="s">
        <v>6205</v>
      </c>
      <c r="F43" s="350" t="s">
        <v>6206</v>
      </c>
    </row>
    <row r="44" ht="14.25" customHeight="1">
      <c r="A44" s="183"/>
      <c r="B44" s="183"/>
      <c r="C44" s="183"/>
      <c r="D44" s="183"/>
      <c r="E44" s="183"/>
      <c r="F44" s="183"/>
    </row>
    <row r="45" ht="14.25" customHeight="1">
      <c r="A45" s="133">
        <v>1.0</v>
      </c>
      <c r="B45" s="86" t="s">
        <v>6207</v>
      </c>
      <c r="C45" s="86" t="s">
        <v>158</v>
      </c>
      <c r="D45" s="133" t="s">
        <v>57</v>
      </c>
      <c r="E45" s="160">
        <v>605.05</v>
      </c>
      <c r="F45" s="139">
        <v>18403.75</v>
      </c>
    </row>
    <row r="46" ht="14.25" customHeight="1">
      <c r="A46" s="133">
        <v>2.0</v>
      </c>
      <c r="B46" s="86" t="s">
        <v>5840</v>
      </c>
      <c r="C46" s="86" t="s">
        <v>5841</v>
      </c>
      <c r="D46" s="133" t="s">
        <v>57</v>
      </c>
      <c r="E46" s="160">
        <v>570.0</v>
      </c>
      <c r="F46" s="139">
        <v>17337.75</v>
      </c>
    </row>
    <row r="47" ht="14.25" customHeight="1">
      <c r="A47" s="133">
        <v>3.0</v>
      </c>
      <c r="B47" s="86" t="s">
        <v>187</v>
      </c>
      <c r="C47" s="86" t="s">
        <v>188</v>
      </c>
      <c r="D47" s="133" t="s">
        <v>57</v>
      </c>
      <c r="E47" s="160">
        <v>608.34</v>
      </c>
      <c r="F47" s="139">
        <v>18503.75</v>
      </c>
    </row>
    <row r="48" ht="14.25" customHeight="1">
      <c r="A48" s="133">
        <v>4.0</v>
      </c>
      <c r="B48" s="86" t="s">
        <v>145</v>
      </c>
      <c r="C48" s="86" t="s">
        <v>146</v>
      </c>
      <c r="D48" s="133" t="s">
        <v>57</v>
      </c>
      <c r="E48" s="160">
        <v>570.0</v>
      </c>
      <c r="F48" s="139">
        <v>17337.75</v>
      </c>
    </row>
    <row r="49" ht="14.25" customHeight="1">
      <c r="A49" s="133">
        <v>5.0</v>
      </c>
      <c r="B49" s="86" t="s">
        <v>1746</v>
      </c>
      <c r="C49" s="86" t="s">
        <v>1747</v>
      </c>
      <c r="D49" s="133" t="s">
        <v>57</v>
      </c>
      <c r="E49" s="160">
        <v>570.0</v>
      </c>
      <c r="F49" s="139">
        <v>17337.75</v>
      </c>
    </row>
    <row r="50" ht="14.25" customHeight="1">
      <c r="A50" s="133">
        <v>6.0</v>
      </c>
      <c r="B50" s="86" t="s">
        <v>118</v>
      </c>
      <c r="C50" s="86" t="s">
        <v>6208</v>
      </c>
      <c r="D50" s="133" t="s">
        <v>57</v>
      </c>
      <c r="E50" s="160">
        <v>654.37</v>
      </c>
      <c r="F50" s="139">
        <v>19903.75</v>
      </c>
    </row>
    <row r="51" ht="14.25" customHeight="1">
      <c r="A51" s="133">
        <v>7.0</v>
      </c>
      <c r="B51" s="86" t="s">
        <v>99</v>
      </c>
      <c r="C51" s="86" t="s">
        <v>100</v>
      </c>
      <c r="D51" s="133" t="s">
        <v>57</v>
      </c>
      <c r="E51" s="160">
        <v>676.81</v>
      </c>
      <c r="F51" s="139">
        <v>20586.25</v>
      </c>
    </row>
    <row r="52" ht="14.25" customHeight="1">
      <c r="A52" s="133">
        <v>8.0</v>
      </c>
      <c r="B52" s="86" t="s">
        <v>129</v>
      </c>
      <c r="C52" s="86" t="s">
        <v>130</v>
      </c>
      <c r="D52" s="133" t="s">
        <v>57</v>
      </c>
      <c r="E52" s="160">
        <v>570.0</v>
      </c>
      <c r="F52" s="139">
        <v>17337.75</v>
      </c>
    </row>
    <row r="53" ht="14.25" customHeight="1">
      <c r="A53" s="133">
        <v>9.0</v>
      </c>
      <c r="B53" s="86" t="s">
        <v>1348</v>
      </c>
      <c r="C53" s="86" t="s">
        <v>1349</v>
      </c>
      <c r="D53" s="133" t="s">
        <v>57</v>
      </c>
      <c r="E53" s="160">
        <v>570.0</v>
      </c>
      <c r="F53" s="139">
        <v>17337.75</v>
      </c>
    </row>
    <row r="54" ht="14.25" customHeight="1">
      <c r="A54" s="345">
        <v>10.0</v>
      </c>
      <c r="B54" s="344" t="s">
        <v>74</v>
      </c>
      <c r="C54" s="344" t="s">
        <v>1712</v>
      </c>
      <c r="D54" s="345" t="s">
        <v>57</v>
      </c>
      <c r="E54" s="346">
        <v>570.0</v>
      </c>
      <c r="F54" s="340">
        <v>17337.75</v>
      </c>
    </row>
    <row r="55" ht="14.25" customHeight="1">
      <c r="A55" s="54"/>
    </row>
    <row r="56" ht="14.25" customHeight="1">
      <c r="A56" s="54"/>
    </row>
    <row r="57" ht="14.25" customHeight="1">
      <c r="A57" s="54"/>
    </row>
    <row r="58" ht="14.25" customHeight="1">
      <c r="A58" s="54"/>
    </row>
    <row r="59" ht="14.25" customHeight="1">
      <c r="A59" s="54"/>
    </row>
    <row r="60" ht="14.25" customHeight="1">
      <c r="A60" s="54"/>
    </row>
    <row r="61" ht="14.25" customHeight="1">
      <c r="A61" s="54"/>
    </row>
    <row r="62" ht="14.25" customHeight="1">
      <c r="A62" s="54"/>
    </row>
    <row r="63" ht="14.25" customHeight="1">
      <c r="A63" s="54"/>
    </row>
    <row r="64" ht="14.25" customHeight="1">
      <c r="A64" s="54"/>
    </row>
    <row r="65" ht="14.25" customHeight="1">
      <c r="A65" s="54"/>
    </row>
    <row r="66" ht="14.25" customHeight="1">
      <c r="A66" s="54"/>
    </row>
    <row r="67" ht="14.25" customHeight="1">
      <c r="A67" s="54"/>
    </row>
    <row r="68" ht="14.25" customHeight="1">
      <c r="A68" s="54"/>
    </row>
    <row r="69" ht="14.25" customHeight="1">
      <c r="A69" s="54"/>
    </row>
    <row r="70" ht="14.25" customHeight="1">
      <c r="A70" s="54"/>
    </row>
    <row r="71" ht="14.25" customHeight="1">
      <c r="A71" s="54"/>
    </row>
    <row r="72" ht="14.25" customHeight="1">
      <c r="A72" s="54"/>
    </row>
    <row r="73" ht="14.25" customHeight="1">
      <c r="A73" s="54"/>
    </row>
    <row r="74" ht="14.25" customHeight="1">
      <c r="A74" s="54"/>
    </row>
    <row r="75" ht="14.25" customHeight="1">
      <c r="A75" s="54"/>
    </row>
    <row r="76" ht="14.25" customHeight="1">
      <c r="A76" s="54"/>
    </row>
    <row r="77" ht="14.25" customHeight="1">
      <c r="A77" s="54"/>
    </row>
    <row r="78" ht="14.25" customHeight="1">
      <c r="A78" s="54"/>
    </row>
    <row r="79" ht="14.25" customHeight="1">
      <c r="A79" s="54"/>
    </row>
    <row r="80" ht="14.25" customHeight="1">
      <c r="A80" s="54"/>
    </row>
    <row r="81" ht="14.25" customHeight="1">
      <c r="A81" s="54"/>
    </row>
    <row r="82" ht="14.25" customHeight="1">
      <c r="A82" s="54"/>
    </row>
    <row r="83" ht="14.25" customHeight="1">
      <c r="A83" s="54"/>
    </row>
    <row r="84" ht="14.25" customHeight="1">
      <c r="A84" s="54"/>
    </row>
    <row r="85" ht="14.25" customHeight="1">
      <c r="A85" s="54"/>
    </row>
    <row r="86" ht="14.25" customHeight="1">
      <c r="A86" s="54"/>
    </row>
    <row r="87" ht="14.25" customHeight="1">
      <c r="A87" s="54"/>
    </row>
    <row r="88" ht="14.25" customHeight="1">
      <c r="A88" s="54"/>
    </row>
    <row r="89" ht="14.25" customHeight="1">
      <c r="A89" s="54"/>
    </row>
    <row r="90" ht="14.25" customHeight="1">
      <c r="A90" s="54"/>
    </row>
    <row r="91" ht="14.25" customHeight="1">
      <c r="A91" s="54"/>
    </row>
    <row r="92" ht="14.25" customHeight="1">
      <c r="A92" s="54"/>
    </row>
    <row r="93" ht="14.25" customHeight="1">
      <c r="A93" s="54"/>
    </row>
    <row r="94" ht="14.25" customHeight="1">
      <c r="A94" s="54"/>
    </row>
    <row r="95" ht="14.25" customHeight="1">
      <c r="A95" s="54"/>
    </row>
    <row r="96" ht="14.25" customHeight="1">
      <c r="A96" s="54"/>
    </row>
    <row r="97" ht="14.25" customHeight="1">
      <c r="A97" s="54"/>
    </row>
    <row r="98" ht="14.25" customHeight="1">
      <c r="A98" s="54"/>
    </row>
    <row r="99" ht="14.25" customHeight="1">
      <c r="A99" s="54"/>
    </row>
    <row r="100" ht="14.25" customHeight="1">
      <c r="A100" s="54"/>
    </row>
    <row r="101" ht="14.25" customHeight="1">
      <c r="A101" s="54"/>
    </row>
    <row r="102" ht="14.25" customHeight="1">
      <c r="A102" s="54"/>
    </row>
    <row r="103" ht="14.25" customHeight="1">
      <c r="A103" s="54"/>
    </row>
    <row r="104" ht="14.25" customHeight="1">
      <c r="A104" s="54"/>
    </row>
    <row r="105" ht="14.25" customHeight="1">
      <c r="A105" s="54"/>
    </row>
    <row r="106" ht="14.25" customHeight="1">
      <c r="A106" s="54"/>
    </row>
    <row r="107" ht="14.25" customHeight="1">
      <c r="A107" s="54"/>
    </row>
    <row r="108" ht="14.25" customHeight="1">
      <c r="A108" s="54"/>
    </row>
    <row r="109" ht="14.25" customHeight="1">
      <c r="A109" s="54"/>
    </row>
    <row r="110" ht="14.25" customHeight="1">
      <c r="A110" s="54"/>
    </row>
    <row r="111" ht="14.25" customHeight="1">
      <c r="A111" s="54"/>
    </row>
    <row r="112" ht="14.25" customHeight="1">
      <c r="A112" s="54"/>
    </row>
    <row r="113" ht="14.25" customHeight="1">
      <c r="A113" s="54"/>
    </row>
    <row r="114" ht="14.25" customHeight="1">
      <c r="A114" s="54"/>
    </row>
    <row r="115" ht="14.25" customHeight="1">
      <c r="A115" s="54"/>
    </row>
    <row r="116" ht="14.25" customHeight="1">
      <c r="A116" s="54"/>
    </row>
    <row r="117" ht="14.25" customHeight="1">
      <c r="A117" s="54"/>
    </row>
    <row r="118" ht="14.25" customHeight="1">
      <c r="A118" s="54"/>
    </row>
    <row r="119" ht="14.25" customHeight="1">
      <c r="A119" s="54"/>
    </row>
    <row r="120" ht="14.25" customHeight="1">
      <c r="A120" s="54"/>
    </row>
    <row r="121" ht="14.25" customHeight="1">
      <c r="A121" s="54"/>
    </row>
    <row r="122" ht="14.25" customHeight="1">
      <c r="A122" s="54"/>
    </row>
    <row r="123" ht="14.25" customHeight="1">
      <c r="A123" s="54"/>
    </row>
    <row r="124" ht="14.25" customHeight="1">
      <c r="A124" s="54"/>
    </row>
    <row r="125" ht="14.25" customHeight="1">
      <c r="A125" s="54"/>
    </row>
    <row r="126" ht="14.25" customHeight="1">
      <c r="A126" s="54"/>
    </row>
    <row r="127" ht="14.25" customHeight="1">
      <c r="A127" s="54"/>
    </row>
    <row r="128" ht="14.25" customHeight="1">
      <c r="A128" s="54"/>
    </row>
    <row r="129" ht="14.25" customHeight="1">
      <c r="A129" s="54"/>
    </row>
    <row r="130" ht="14.25" customHeight="1">
      <c r="A130" s="54"/>
    </row>
    <row r="131" ht="14.25" customHeight="1">
      <c r="A131" s="54"/>
    </row>
    <row r="132" ht="14.25" customHeight="1">
      <c r="A132" s="54"/>
    </row>
    <row r="133" ht="14.25" customHeight="1">
      <c r="A133" s="54"/>
    </row>
    <row r="134" ht="14.25" customHeight="1">
      <c r="A134" s="54"/>
    </row>
    <row r="135" ht="14.25" customHeight="1">
      <c r="A135" s="54"/>
    </row>
    <row r="136" ht="14.25" customHeight="1">
      <c r="A136" s="54"/>
    </row>
    <row r="137" ht="14.25" customHeight="1">
      <c r="A137" s="54"/>
    </row>
    <row r="138" ht="14.25" customHeight="1">
      <c r="A138" s="54"/>
    </row>
    <row r="139" ht="14.25" customHeight="1">
      <c r="A139" s="54"/>
    </row>
    <row r="140" ht="14.25" customHeight="1">
      <c r="A140" s="54"/>
    </row>
    <row r="141" ht="14.25" customHeight="1">
      <c r="A141" s="54"/>
    </row>
    <row r="142" ht="14.25" customHeight="1">
      <c r="A142" s="54"/>
    </row>
    <row r="143" ht="14.25" customHeight="1">
      <c r="A143" s="54"/>
    </row>
    <row r="144" ht="14.25" customHeight="1">
      <c r="A144" s="54"/>
    </row>
    <row r="145" ht="14.25" customHeight="1">
      <c r="A145" s="54"/>
    </row>
    <row r="146" ht="14.25" customHeight="1">
      <c r="A146" s="54"/>
    </row>
    <row r="147" ht="14.25" customHeight="1">
      <c r="A147" s="54"/>
    </row>
    <row r="148" ht="14.25" customHeight="1">
      <c r="A148" s="54"/>
    </row>
    <row r="149" ht="14.25" customHeight="1">
      <c r="A149" s="54"/>
    </row>
    <row r="150" ht="14.25" customHeight="1">
      <c r="A150" s="54"/>
    </row>
    <row r="151" ht="14.25" customHeight="1">
      <c r="A151" s="54"/>
    </row>
    <row r="152" ht="14.25" customHeight="1">
      <c r="A152" s="54"/>
    </row>
    <row r="153" ht="14.25" customHeight="1">
      <c r="A153" s="54"/>
    </row>
    <row r="154" ht="14.25" customHeight="1">
      <c r="A154" s="54"/>
    </row>
    <row r="155" ht="14.25" customHeight="1">
      <c r="A155" s="54"/>
    </row>
    <row r="156" ht="14.25" customHeight="1">
      <c r="A156" s="54"/>
    </row>
    <row r="157" ht="14.25" customHeight="1">
      <c r="A157" s="54"/>
    </row>
    <row r="158" ht="14.25" customHeight="1">
      <c r="A158" s="54"/>
    </row>
    <row r="159" ht="14.25" customHeight="1">
      <c r="A159" s="54"/>
    </row>
    <row r="160" ht="14.25" customHeight="1">
      <c r="A160" s="54"/>
    </row>
    <row r="161" ht="14.25" customHeight="1">
      <c r="A161" s="54"/>
    </row>
    <row r="162" ht="14.25" customHeight="1">
      <c r="A162" s="54"/>
    </row>
    <row r="163" ht="14.25" customHeight="1">
      <c r="A163" s="54"/>
    </row>
    <row r="164" ht="14.25" customHeight="1">
      <c r="A164" s="54"/>
    </row>
    <row r="165" ht="14.25" customHeight="1">
      <c r="A165" s="54"/>
    </row>
    <row r="166" ht="14.25" customHeight="1">
      <c r="A166" s="54"/>
    </row>
    <row r="167" ht="14.25" customHeight="1">
      <c r="A167" s="54"/>
    </row>
    <row r="168" ht="14.25" customHeight="1">
      <c r="A168" s="54"/>
    </row>
    <row r="169" ht="14.25" customHeight="1">
      <c r="A169" s="54"/>
    </row>
    <row r="170" ht="14.25" customHeight="1">
      <c r="A170" s="54"/>
    </row>
    <row r="171" ht="14.25" customHeight="1">
      <c r="A171" s="54"/>
    </row>
    <row r="172" ht="14.25" customHeight="1">
      <c r="A172" s="54"/>
    </row>
    <row r="173" ht="14.25" customHeight="1">
      <c r="A173" s="54"/>
    </row>
    <row r="174" ht="14.25" customHeight="1">
      <c r="A174" s="54"/>
    </row>
    <row r="175" ht="14.25" customHeight="1">
      <c r="A175" s="54"/>
    </row>
    <row r="176" ht="14.25" customHeight="1">
      <c r="A176" s="54"/>
    </row>
    <row r="177" ht="14.25" customHeight="1">
      <c r="A177" s="54"/>
    </row>
    <row r="178" ht="14.25" customHeight="1">
      <c r="A178" s="54"/>
    </row>
    <row r="179" ht="14.25" customHeight="1">
      <c r="A179" s="54"/>
    </row>
    <row r="180" ht="14.25" customHeight="1">
      <c r="A180" s="54"/>
    </row>
    <row r="181" ht="14.25" customHeight="1">
      <c r="A181" s="54"/>
    </row>
    <row r="182" ht="14.25" customHeight="1">
      <c r="A182" s="54"/>
    </row>
    <row r="183" ht="14.25" customHeight="1">
      <c r="A183" s="54"/>
    </row>
    <row r="184" ht="14.25" customHeight="1">
      <c r="A184" s="54"/>
    </row>
    <row r="185" ht="14.25" customHeight="1">
      <c r="A185" s="54"/>
    </row>
    <row r="186" ht="14.25" customHeight="1">
      <c r="A186" s="54"/>
    </row>
    <row r="187" ht="14.25" customHeight="1">
      <c r="A187" s="54"/>
    </row>
    <row r="188" ht="14.25" customHeight="1">
      <c r="A188" s="54"/>
    </row>
    <row r="189" ht="14.25" customHeight="1">
      <c r="A189" s="54"/>
    </row>
    <row r="190" ht="14.25" customHeight="1">
      <c r="A190" s="54"/>
    </row>
    <row r="191" ht="14.25" customHeight="1">
      <c r="A191" s="54"/>
    </row>
    <row r="192" ht="14.25" customHeight="1">
      <c r="A192" s="54"/>
    </row>
    <row r="193" ht="14.25" customHeight="1">
      <c r="A193" s="54"/>
    </row>
    <row r="194" ht="14.25" customHeight="1">
      <c r="A194" s="54"/>
    </row>
    <row r="195" ht="14.25" customHeight="1">
      <c r="A195" s="54"/>
    </row>
    <row r="196" ht="14.25" customHeight="1">
      <c r="A196" s="54"/>
    </row>
    <row r="197" ht="14.25" customHeight="1">
      <c r="A197" s="54"/>
    </row>
    <row r="198" ht="14.25" customHeight="1">
      <c r="A198" s="54"/>
    </row>
    <row r="199" ht="14.25" customHeight="1">
      <c r="A199" s="54"/>
    </row>
    <row r="200" ht="14.25" customHeight="1">
      <c r="A200" s="54"/>
    </row>
    <row r="201" ht="14.25" customHeight="1">
      <c r="A201" s="54"/>
    </row>
    <row r="202" ht="14.25" customHeight="1">
      <c r="A202" s="54"/>
    </row>
    <row r="203" ht="14.25" customHeight="1">
      <c r="A203" s="54"/>
    </row>
    <row r="204" ht="14.25" customHeight="1">
      <c r="A204" s="54"/>
    </row>
    <row r="205" ht="14.25" customHeight="1">
      <c r="A205" s="54"/>
    </row>
    <row r="206" ht="14.25" customHeight="1">
      <c r="A206" s="54"/>
    </row>
    <row r="207" ht="14.25" customHeight="1">
      <c r="A207" s="54"/>
    </row>
    <row r="208" ht="14.25" customHeight="1">
      <c r="A208" s="54"/>
    </row>
    <row r="209" ht="14.25" customHeight="1">
      <c r="A209" s="54"/>
    </row>
    <row r="210" ht="14.25" customHeight="1">
      <c r="A210" s="54"/>
    </row>
    <row r="211" ht="14.25" customHeight="1">
      <c r="A211" s="54"/>
    </row>
    <row r="212" ht="14.25" customHeight="1">
      <c r="A212" s="54"/>
    </row>
    <row r="213" ht="14.25" customHeight="1">
      <c r="A213" s="54"/>
    </row>
    <row r="214" ht="14.25" customHeight="1">
      <c r="A214" s="54"/>
    </row>
    <row r="215" ht="14.25" customHeight="1">
      <c r="A215" s="54"/>
    </row>
    <row r="216" ht="14.25" customHeight="1">
      <c r="A216" s="54"/>
    </row>
    <row r="217" ht="14.25" customHeight="1">
      <c r="A217" s="54"/>
    </row>
    <row r="218" ht="14.25" customHeight="1">
      <c r="A218" s="54"/>
    </row>
    <row r="219" ht="14.25" customHeight="1">
      <c r="A219" s="54"/>
    </row>
    <row r="220" ht="14.25" customHeight="1">
      <c r="A220" s="54"/>
    </row>
    <row r="221" ht="14.25" customHeight="1">
      <c r="A221" s="54"/>
    </row>
    <row r="222" ht="14.25" customHeight="1">
      <c r="A222" s="54"/>
    </row>
    <row r="223" ht="14.25" customHeight="1">
      <c r="A223" s="54"/>
    </row>
    <row r="224" ht="14.25" customHeight="1">
      <c r="A224" s="54"/>
    </row>
    <row r="225" ht="14.25" customHeight="1">
      <c r="A225" s="54"/>
    </row>
    <row r="226" ht="14.25" customHeight="1">
      <c r="A226" s="54"/>
    </row>
    <row r="227" ht="14.25" customHeight="1">
      <c r="A227" s="54"/>
    </row>
    <row r="228" ht="14.25" customHeight="1">
      <c r="A228" s="54"/>
    </row>
    <row r="229" ht="14.25" customHeight="1">
      <c r="A229" s="54"/>
    </row>
    <row r="230" ht="14.25" customHeight="1">
      <c r="A230" s="54"/>
    </row>
    <row r="231" ht="14.25" customHeight="1">
      <c r="A231" s="54"/>
    </row>
    <row r="232" ht="14.25" customHeight="1">
      <c r="A232" s="54"/>
    </row>
    <row r="233" ht="14.25" customHeight="1">
      <c r="A233" s="54"/>
    </row>
    <row r="234" ht="14.25" customHeight="1">
      <c r="A234" s="54"/>
    </row>
    <row r="235" ht="14.25" customHeight="1">
      <c r="A235" s="54"/>
    </row>
    <row r="236" ht="14.25" customHeight="1">
      <c r="A236" s="54"/>
    </row>
    <row r="237" ht="14.25" customHeight="1">
      <c r="A237" s="54"/>
    </row>
    <row r="238" ht="14.25" customHeight="1">
      <c r="A238" s="54"/>
    </row>
    <row r="239" ht="14.25" customHeight="1">
      <c r="A239" s="54"/>
    </row>
    <row r="240" ht="14.25" customHeight="1">
      <c r="A240" s="54"/>
    </row>
    <row r="241" ht="14.25" customHeight="1">
      <c r="A241" s="54"/>
    </row>
    <row r="242" ht="14.25" customHeight="1">
      <c r="A242" s="54"/>
    </row>
    <row r="243" ht="14.25" customHeight="1">
      <c r="A243" s="54"/>
    </row>
    <row r="244" ht="14.25" customHeight="1">
      <c r="A244" s="54"/>
    </row>
    <row r="245" ht="14.25" customHeight="1">
      <c r="A245" s="54"/>
    </row>
    <row r="246" ht="14.25" customHeight="1">
      <c r="A246" s="54"/>
    </row>
    <row r="247" ht="14.25" customHeight="1">
      <c r="A247" s="54"/>
    </row>
    <row r="248" ht="14.25" customHeight="1">
      <c r="A248" s="54"/>
    </row>
    <row r="249" ht="14.25" customHeight="1">
      <c r="A249" s="54"/>
    </row>
    <row r="250" ht="14.25" customHeight="1">
      <c r="A250" s="54"/>
    </row>
    <row r="251" ht="14.25" customHeight="1">
      <c r="A251" s="54"/>
    </row>
    <row r="252" ht="14.25" customHeight="1">
      <c r="A252" s="54"/>
    </row>
    <row r="253" ht="14.25" customHeight="1">
      <c r="A253" s="54"/>
    </row>
    <row r="254" ht="14.25" customHeight="1">
      <c r="A254" s="54"/>
    </row>
    <row r="255" ht="14.25" customHeight="1">
      <c r="A255" s="54"/>
    </row>
    <row r="256" ht="14.25" customHeight="1">
      <c r="A256" s="54"/>
    </row>
    <row r="257" ht="14.25" customHeight="1">
      <c r="A257" s="54"/>
    </row>
    <row r="258" ht="14.25" customHeight="1">
      <c r="A258" s="54"/>
    </row>
    <row r="259" ht="14.25" customHeight="1">
      <c r="A259" s="54"/>
    </row>
    <row r="260" ht="14.25" customHeight="1">
      <c r="A260" s="54"/>
    </row>
    <row r="261" ht="14.25" customHeight="1">
      <c r="A261" s="54"/>
    </row>
    <row r="262" ht="14.25" customHeight="1">
      <c r="A262" s="54"/>
    </row>
    <row r="263" ht="14.25" customHeight="1">
      <c r="A263" s="54"/>
    </row>
    <row r="264" ht="14.25" customHeight="1">
      <c r="A264" s="54"/>
    </row>
    <row r="265" ht="14.25" customHeight="1">
      <c r="A265" s="54"/>
    </row>
    <row r="266" ht="14.25" customHeight="1">
      <c r="A266" s="54"/>
    </row>
    <row r="267" ht="14.25" customHeight="1">
      <c r="A267" s="54"/>
    </row>
    <row r="268" ht="14.25" customHeight="1">
      <c r="A268" s="54"/>
    </row>
    <row r="269" ht="14.25" customHeight="1">
      <c r="A269" s="54"/>
    </row>
    <row r="270" ht="14.25" customHeight="1">
      <c r="A270" s="54"/>
    </row>
    <row r="271" ht="14.25" customHeight="1">
      <c r="A271" s="54"/>
    </row>
    <row r="272" ht="14.25" customHeight="1">
      <c r="A272" s="54"/>
    </row>
    <row r="273" ht="14.25" customHeight="1">
      <c r="A273" s="54"/>
    </row>
    <row r="274" ht="14.25" customHeight="1">
      <c r="A274" s="54"/>
    </row>
    <row r="275" ht="14.25" customHeight="1">
      <c r="A275" s="54"/>
    </row>
    <row r="276" ht="14.25" customHeight="1">
      <c r="A276" s="54"/>
    </row>
    <row r="277" ht="14.25" customHeight="1">
      <c r="A277" s="54"/>
    </row>
    <row r="278" ht="14.25" customHeight="1">
      <c r="A278" s="54"/>
    </row>
    <row r="279" ht="14.25" customHeight="1">
      <c r="A279" s="54"/>
    </row>
    <row r="280" ht="14.25" customHeight="1">
      <c r="A280" s="54"/>
    </row>
    <row r="281" ht="14.25" customHeight="1">
      <c r="A281" s="54"/>
    </row>
    <row r="282" ht="14.25" customHeight="1">
      <c r="A282" s="54"/>
    </row>
    <row r="283" ht="14.25" customHeight="1">
      <c r="A283" s="54"/>
    </row>
    <row r="284" ht="14.25" customHeight="1">
      <c r="A284" s="54"/>
    </row>
    <row r="285" ht="14.25" customHeight="1">
      <c r="A285" s="54"/>
    </row>
    <row r="286" ht="14.25" customHeight="1">
      <c r="A286" s="54"/>
    </row>
    <row r="287" ht="14.25" customHeight="1">
      <c r="A287" s="54"/>
    </row>
    <row r="288" ht="14.25" customHeight="1">
      <c r="A288" s="54"/>
    </row>
    <row r="289" ht="14.25" customHeight="1">
      <c r="A289" s="54"/>
    </row>
    <row r="290" ht="14.25" customHeight="1">
      <c r="A290" s="54"/>
    </row>
    <row r="291" ht="14.25" customHeight="1">
      <c r="A291" s="54"/>
    </row>
    <row r="292" ht="14.25" customHeight="1">
      <c r="A292" s="54"/>
    </row>
    <row r="293" ht="14.25" customHeight="1">
      <c r="A293" s="54"/>
    </row>
    <row r="294" ht="14.25" customHeight="1">
      <c r="A294" s="54"/>
    </row>
    <row r="295" ht="14.25" customHeight="1">
      <c r="A295" s="54"/>
    </row>
    <row r="296" ht="14.25" customHeight="1">
      <c r="A296" s="54"/>
    </row>
    <row r="297" ht="14.25" customHeight="1">
      <c r="A297" s="54"/>
    </row>
    <row r="298" ht="14.25" customHeight="1">
      <c r="A298" s="54"/>
    </row>
    <row r="299" ht="14.25" customHeight="1">
      <c r="A299" s="54"/>
    </row>
    <row r="300" ht="14.25" customHeight="1">
      <c r="A300" s="54"/>
    </row>
    <row r="301" ht="14.25" customHeight="1">
      <c r="A301" s="54"/>
    </row>
    <row r="302" ht="14.25" customHeight="1">
      <c r="A302" s="54"/>
    </row>
    <row r="303" ht="14.25" customHeight="1">
      <c r="A303" s="54"/>
    </row>
    <row r="304" ht="14.25" customHeight="1">
      <c r="A304" s="54"/>
    </row>
    <row r="305" ht="14.25" customHeight="1">
      <c r="A305" s="54"/>
    </row>
    <row r="306" ht="14.25" customHeight="1">
      <c r="A306" s="54"/>
    </row>
    <row r="307" ht="14.25" customHeight="1">
      <c r="A307" s="54"/>
    </row>
    <row r="308" ht="14.25" customHeight="1">
      <c r="A308" s="54"/>
    </row>
    <row r="309" ht="14.25" customHeight="1">
      <c r="A309" s="54"/>
    </row>
    <row r="310" ht="14.25" customHeight="1">
      <c r="A310" s="54"/>
    </row>
    <row r="311" ht="14.25" customHeight="1">
      <c r="A311" s="54"/>
    </row>
    <row r="312" ht="14.25" customHeight="1">
      <c r="A312" s="54"/>
    </row>
    <row r="313" ht="14.25" customHeight="1">
      <c r="A313" s="54"/>
    </row>
    <row r="314" ht="14.25" customHeight="1">
      <c r="A314" s="54"/>
    </row>
    <row r="315" ht="14.25" customHeight="1">
      <c r="A315" s="54"/>
    </row>
    <row r="316" ht="14.25" customHeight="1">
      <c r="A316" s="54"/>
    </row>
    <row r="317" ht="14.25" customHeight="1">
      <c r="A317" s="54"/>
    </row>
    <row r="318" ht="14.25" customHeight="1">
      <c r="A318" s="54"/>
    </row>
    <row r="319" ht="14.25" customHeight="1">
      <c r="A319" s="54"/>
    </row>
    <row r="320" ht="14.25" customHeight="1">
      <c r="A320" s="54"/>
    </row>
    <row r="321" ht="14.25" customHeight="1">
      <c r="A321" s="54"/>
    </row>
    <row r="322" ht="14.25" customHeight="1">
      <c r="A322" s="54"/>
    </row>
    <row r="323" ht="14.25" customHeight="1">
      <c r="A323" s="54"/>
    </row>
    <row r="324" ht="14.25" customHeight="1">
      <c r="A324" s="54"/>
    </row>
    <row r="325" ht="14.25" customHeight="1">
      <c r="A325" s="54"/>
    </row>
    <row r="326" ht="14.25" customHeight="1">
      <c r="A326" s="54"/>
    </row>
    <row r="327" ht="14.25" customHeight="1">
      <c r="A327" s="54"/>
    </row>
    <row r="328" ht="14.25" customHeight="1">
      <c r="A328" s="54"/>
    </row>
    <row r="329" ht="14.25" customHeight="1">
      <c r="A329" s="54"/>
    </row>
    <row r="330" ht="14.25" customHeight="1">
      <c r="A330" s="54"/>
    </row>
    <row r="331" ht="14.25" customHeight="1">
      <c r="A331" s="54"/>
    </row>
    <row r="332" ht="14.25" customHeight="1">
      <c r="A332" s="54"/>
    </row>
    <row r="333" ht="14.25" customHeight="1">
      <c r="A333" s="54"/>
    </row>
    <row r="334" ht="14.25" customHeight="1">
      <c r="A334" s="54"/>
    </row>
    <row r="335" ht="14.25" customHeight="1">
      <c r="A335" s="54"/>
    </row>
    <row r="336" ht="14.25" customHeight="1">
      <c r="A336" s="54"/>
    </row>
    <row r="337" ht="14.25" customHeight="1">
      <c r="A337" s="54"/>
    </row>
    <row r="338" ht="14.25" customHeight="1">
      <c r="A338" s="54"/>
    </row>
    <row r="339" ht="14.25" customHeight="1">
      <c r="A339" s="54"/>
    </row>
    <row r="340" ht="14.25" customHeight="1">
      <c r="A340" s="54"/>
    </row>
    <row r="341" ht="14.25" customHeight="1">
      <c r="A341" s="54"/>
    </row>
    <row r="342" ht="14.25" customHeight="1">
      <c r="A342" s="54"/>
    </row>
    <row r="343" ht="14.25" customHeight="1">
      <c r="A343" s="54"/>
    </row>
    <row r="344" ht="14.25" customHeight="1">
      <c r="A344" s="54"/>
    </row>
    <row r="345" ht="14.25" customHeight="1">
      <c r="A345" s="54"/>
    </row>
    <row r="346" ht="14.25" customHeight="1">
      <c r="A346" s="54"/>
    </row>
    <row r="347" ht="14.25" customHeight="1">
      <c r="A347" s="54"/>
    </row>
    <row r="348" ht="14.25" customHeight="1">
      <c r="A348" s="54"/>
    </row>
    <row r="349" ht="14.25" customHeight="1">
      <c r="A349" s="54"/>
    </row>
    <row r="350" ht="14.25" customHeight="1">
      <c r="A350" s="54"/>
    </row>
    <row r="351" ht="14.25" customHeight="1">
      <c r="A351" s="54"/>
    </row>
    <row r="352" ht="14.25" customHeight="1">
      <c r="A352" s="54"/>
    </row>
    <row r="353" ht="14.25" customHeight="1">
      <c r="A353" s="54"/>
    </row>
    <row r="354" ht="14.25" customHeight="1">
      <c r="A354" s="54"/>
    </row>
    <row r="355" ht="14.25" customHeight="1">
      <c r="A355" s="54"/>
    </row>
    <row r="356" ht="14.25" customHeight="1">
      <c r="A356" s="54"/>
    </row>
    <row r="357" ht="14.25" customHeight="1">
      <c r="A357" s="54"/>
    </row>
    <row r="358" ht="14.25" customHeight="1">
      <c r="A358" s="54"/>
    </row>
    <row r="359" ht="14.25" customHeight="1">
      <c r="A359" s="54"/>
    </row>
    <row r="360" ht="14.25" customHeight="1">
      <c r="A360" s="54"/>
    </row>
    <row r="361" ht="14.25" customHeight="1">
      <c r="A361" s="54"/>
    </row>
    <row r="362" ht="14.25" customHeight="1">
      <c r="A362" s="54"/>
    </row>
    <row r="363" ht="14.25" customHeight="1">
      <c r="A363" s="54"/>
    </row>
    <row r="364" ht="14.25" customHeight="1">
      <c r="A364" s="54"/>
    </row>
    <row r="365" ht="14.25" customHeight="1">
      <c r="A365" s="54"/>
    </row>
    <row r="366" ht="14.25" customHeight="1">
      <c r="A366" s="54"/>
    </row>
    <row r="367" ht="14.25" customHeight="1">
      <c r="A367" s="54"/>
    </row>
    <row r="368" ht="14.25" customHeight="1">
      <c r="A368" s="54"/>
    </row>
    <row r="369" ht="14.25" customHeight="1">
      <c r="A369" s="54"/>
    </row>
    <row r="370" ht="14.25" customHeight="1">
      <c r="A370" s="54"/>
    </row>
    <row r="371" ht="14.25" customHeight="1">
      <c r="A371" s="54"/>
    </row>
    <row r="372" ht="14.25" customHeight="1">
      <c r="A372" s="54"/>
    </row>
    <row r="373" ht="14.25" customHeight="1">
      <c r="A373" s="54"/>
    </row>
    <row r="374" ht="14.25" customHeight="1">
      <c r="A374" s="54"/>
    </row>
    <row r="375" ht="14.25" customHeight="1">
      <c r="A375" s="54"/>
    </row>
    <row r="376" ht="14.25" customHeight="1">
      <c r="A376" s="54"/>
    </row>
    <row r="377" ht="14.25" customHeight="1">
      <c r="A377" s="54"/>
    </row>
    <row r="378" ht="14.25" customHeight="1">
      <c r="A378" s="54"/>
    </row>
    <row r="379" ht="14.25" customHeight="1">
      <c r="A379" s="54"/>
    </row>
    <row r="380" ht="14.25" customHeight="1">
      <c r="A380" s="54"/>
    </row>
    <row r="381" ht="14.25" customHeight="1">
      <c r="A381" s="54"/>
    </row>
    <row r="382" ht="14.25" customHeight="1">
      <c r="A382" s="54"/>
    </row>
    <row r="383" ht="14.25" customHeight="1">
      <c r="A383" s="54"/>
    </row>
    <row r="384" ht="14.25" customHeight="1">
      <c r="A384" s="54"/>
    </row>
    <row r="385" ht="14.25" customHeight="1">
      <c r="A385" s="54"/>
    </row>
    <row r="386" ht="14.25" customHeight="1">
      <c r="A386" s="54"/>
    </row>
    <row r="387" ht="14.25" customHeight="1">
      <c r="A387" s="54"/>
    </row>
    <row r="388" ht="14.25" customHeight="1">
      <c r="A388" s="54"/>
    </row>
    <row r="389" ht="14.25" customHeight="1">
      <c r="A389" s="54"/>
    </row>
    <row r="390" ht="14.25" customHeight="1">
      <c r="A390" s="54"/>
    </row>
    <row r="391" ht="14.25" customHeight="1">
      <c r="A391" s="54"/>
    </row>
    <row r="392" ht="14.25" customHeight="1">
      <c r="A392" s="54"/>
    </row>
    <row r="393" ht="14.25" customHeight="1">
      <c r="A393" s="54"/>
    </row>
    <row r="394" ht="14.25" customHeight="1">
      <c r="A394" s="54"/>
    </row>
    <row r="395" ht="14.25" customHeight="1">
      <c r="A395" s="54"/>
    </row>
    <row r="396" ht="14.25" customHeight="1">
      <c r="A396" s="54"/>
    </row>
    <row r="397" ht="14.25" customHeight="1">
      <c r="A397" s="54"/>
    </row>
    <row r="398" ht="14.25" customHeight="1">
      <c r="A398" s="54"/>
    </row>
    <row r="399" ht="14.25" customHeight="1">
      <c r="A399" s="54"/>
    </row>
    <row r="400" ht="14.25" customHeight="1">
      <c r="A400" s="54"/>
    </row>
    <row r="401" ht="14.25" customHeight="1">
      <c r="A401" s="54"/>
    </row>
    <row r="402" ht="14.25" customHeight="1">
      <c r="A402" s="54"/>
    </row>
    <row r="403" ht="14.25" customHeight="1">
      <c r="A403" s="54"/>
    </row>
    <row r="404" ht="14.25" customHeight="1">
      <c r="A404" s="54"/>
    </row>
    <row r="405" ht="14.25" customHeight="1">
      <c r="A405" s="54"/>
    </row>
    <row r="406" ht="14.25" customHeight="1">
      <c r="A406" s="54"/>
    </row>
    <row r="407" ht="14.25" customHeight="1">
      <c r="A407" s="54"/>
    </row>
    <row r="408" ht="14.25" customHeight="1">
      <c r="A408" s="54"/>
    </row>
    <row r="409" ht="14.25" customHeight="1">
      <c r="A409" s="54"/>
    </row>
    <row r="410" ht="14.25" customHeight="1">
      <c r="A410" s="54"/>
    </row>
    <row r="411" ht="14.25" customHeight="1">
      <c r="A411" s="54"/>
    </row>
    <row r="412" ht="14.25" customHeight="1">
      <c r="A412" s="54"/>
    </row>
    <row r="413" ht="14.25" customHeight="1">
      <c r="A413" s="54"/>
    </row>
    <row r="414" ht="14.25" customHeight="1">
      <c r="A414" s="54"/>
    </row>
    <row r="415" ht="14.25" customHeight="1">
      <c r="A415" s="54"/>
    </row>
    <row r="416" ht="14.25" customHeight="1">
      <c r="A416" s="54"/>
    </row>
    <row r="417" ht="14.25" customHeight="1">
      <c r="A417" s="54"/>
    </row>
    <row r="418" ht="14.25" customHeight="1">
      <c r="A418" s="54"/>
    </row>
    <row r="419" ht="14.25" customHeight="1">
      <c r="A419" s="54"/>
    </row>
    <row r="420" ht="14.25" customHeight="1">
      <c r="A420" s="54"/>
    </row>
    <row r="421" ht="14.25" customHeight="1">
      <c r="A421" s="54"/>
    </row>
    <row r="422" ht="14.25" customHeight="1">
      <c r="A422" s="54"/>
    </row>
    <row r="423" ht="14.25" customHeight="1">
      <c r="A423" s="54"/>
    </row>
    <row r="424" ht="14.25" customHeight="1">
      <c r="A424" s="54"/>
    </row>
    <row r="425" ht="14.25" customHeight="1">
      <c r="A425" s="54"/>
    </row>
    <row r="426" ht="14.25" customHeight="1">
      <c r="A426" s="54"/>
    </row>
    <row r="427" ht="14.25" customHeight="1">
      <c r="A427" s="54"/>
    </row>
    <row r="428" ht="14.25" customHeight="1">
      <c r="A428" s="54"/>
    </row>
    <row r="429" ht="14.25" customHeight="1">
      <c r="A429" s="54"/>
    </row>
    <row r="430" ht="14.25" customHeight="1">
      <c r="A430" s="54"/>
    </row>
    <row r="431" ht="14.25" customHeight="1">
      <c r="A431" s="54"/>
    </row>
    <row r="432" ht="14.25" customHeight="1">
      <c r="A432" s="54"/>
    </row>
    <row r="433" ht="14.25" customHeight="1">
      <c r="A433" s="54"/>
    </row>
    <row r="434" ht="14.25" customHeight="1">
      <c r="A434" s="54"/>
    </row>
    <row r="435" ht="14.25" customHeight="1">
      <c r="A435" s="54"/>
    </row>
    <row r="436" ht="14.25" customHeight="1">
      <c r="A436" s="54"/>
    </row>
    <row r="437" ht="14.25" customHeight="1">
      <c r="A437" s="54"/>
    </row>
    <row r="438" ht="14.25" customHeight="1">
      <c r="A438" s="54"/>
    </row>
    <row r="439" ht="14.25" customHeight="1">
      <c r="A439" s="54"/>
    </row>
    <row r="440" ht="14.25" customHeight="1">
      <c r="A440" s="54"/>
    </row>
    <row r="441" ht="14.25" customHeight="1">
      <c r="A441" s="54"/>
    </row>
    <row r="442" ht="14.25" customHeight="1">
      <c r="A442" s="54"/>
    </row>
    <row r="443" ht="14.25" customHeight="1">
      <c r="A443" s="54"/>
    </row>
    <row r="444" ht="14.25" customHeight="1">
      <c r="A444" s="54"/>
    </row>
    <row r="445" ht="14.25" customHeight="1">
      <c r="A445" s="54"/>
    </row>
    <row r="446" ht="14.25" customHeight="1">
      <c r="A446" s="54"/>
    </row>
    <row r="447" ht="14.25" customHeight="1">
      <c r="A447" s="54"/>
    </row>
    <row r="448" ht="14.25" customHeight="1">
      <c r="A448" s="54"/>
    </row>
    <row r="449" ht="14.25" customHeight="1">
      <c r="A449" s="54"/>
    </row>
    <row r="450" ht="14.25" customHeight="1">
      <c r="A450" s="54"/>
    </row>
    <row r="451" ht="14.25" customHeight="1">
      <c r="A451" s="54"/>
    </row>
    <row r="452" ht="14.25" customHeight="1">
      <c r="A452" s="54"/>
    </row>
    <row r="453" ht="14.25" customHeight="1">
      <c r="A453" s="54"/>
    </row>
    <row r="454" ht="14.25" customHeight="1">
      <c r="A454" s="54"/>
    </row>
    <row r="455" ht="14.25" customHeight="1">
      <c r="A455" s="54"/>
    </row>
    <row r="456" ht="14.25" customHeight="1">
      <c r="A456" s="54"/>
    </row>
    <row r="457" ht="14.25" customHeight="1">
      <c r="A457" s="54"/>
    </row>
    <row r="458" ht="14.25" customHeight="1">
      <c r="A458" s="54"/>
    </row>
    <row r="459" ht="14.25" customHeight="1">
      <c r="A459" s="54"/>
    </row>
    <row r="460" ht="14.25" customHeight="1">
      <c r="A460" s="54"/>
    </row>
    <row r="461" ht="14.25" customHeight="1">
      <c r="A461" s="54"/>
    </row>
    <row r="462" ht="14.25" customHeight="1">
      <c r="A462" s="54"/>
    </row>
    <row r="463" ht="14.25" customHeight="1">
      <c r="A463" s="54"/>
    </row>
    <row r="464" ht="14.25" customHeight="1">
      <c r="A464" s="54"/>
    </row>
    <row r="465" ht="14.25" customHeight="1">
      <c r="A465" s="54"/>
    </row>
    <row r="466" ht="14.25" customHeight="1">
      <c r="A466" s="54"/>
    </row>
    <row r="467" ht="14.25" customHeight="1">
      <c r="A467" s="54"/>
    </row>
    <row r="468" ht="14.25" customHeight="1">
      <c r="A468" s="54"/>
    </row>
    <row r="469" ht="14.25" customHeight="1">
      <c r="A469" s="54"/>
    </row>
    <row r="470" ht="14.25" customHeight="1">
      <c r="A470" s="54"/>
    </row>
    <row r="471" ht="14.25" customHeight="1">
      <c r="A471" s="54"/>
    </row>
    <row r="472" ht="14.25" customHeight="1">
      <c r="A472" s="54"/>
    </row>
    <row r="473" ht="14.25" customHeight="1">
      <c r="A473" s="54"/>
    </row>
    <row r="474" ht="14.25" customHeight="1">
      <c r="A474" s="54"/>
    </row>
    <row r="475" ht="14.25" customHeight="1">
      <c r="A475" s="54"/>
    </row>
    <row r="476" ht="14.25" customHeight="1">
      <c r="A476" s="54"/>
    </row>
    <row r="477" ht="14.25" customHeight="1">
      <c r="A477" s="54"/>
    </row>
    <row r="478" ht="14.25" customHeight="1">
      <c r="A478" s="54"/>
    </row>
    <row r="479" ht="14.25" customHeight="1">
      <c r="A479" s="54"/>
    </row>
    <row r="480" ht="14.25" customHeight="1">
      <c r="A480" s="54"/>
    </row>
    <row r="481" ht="14.25" customHeight="1">
      <c r="A481" s="54"/>
    </row>
    <row r="482" ht="14.25" customHeight="1">
      <c r="A482" s="54"/>
    </row>
    <row r="483" ht="14.25" customHeight="1">
      <c r="A483" s="54"/>
    </row>
    <row r="484" ht="14.25" customHeight="1">
      <c r="A484" s="54"/>
    </row>
    <row r="485" ht="14.25" customHeight="1">
      <c r="A485" s="54"/>
    </row>
    <row r="486" ht="14.25" customHeight="1">
      <c r="A486" s="54"/>
    </row>
    <row r="487" ht="14.25" customHeight="1">
      <c r="A487" s="54"/>
    </row>
    <row r="488" ht="14.25" customHeight="1">
      <c r="A488" s="54"/>
    </row>
    <row r="489" ht="14.25" customHeight="1">
      <c r="A489" s="54"/>
    </row>
    <row r="490" ht="14.25" customHeight="1">
      <c r="A490" s="54"/>
    </row>
    <row r="491" ht="14.25" customHeight="1">
      <c r="A491" s="54"/>
    </row>
    <row r="492" ht="14.25" customHeight="1">
      <c r="A492" s="54"/>
    </row>
    <row r="493" ht="14.25" customHeight="1">
      <c r="A493" s="54"/>
    </row>
    <row r="494" ht="14.25" customHeight="1">
      <c r="A494" s="54"/>
    </row>
    <row r="495" ht="14.25" customHeight="1">
      <c r="A495" s="54"/>
    </row>
    <row r="496" ht="14.25" customHeight="1">
      <c r="A496" s="54"/>
    </row>
    <row r="497" ht="14.25" customHeight="1">
      <c r="A497" s="54"/>
    </row>
    <row r="498" ht="14.25" customHeight="1">
      <c r="A498" s="54"/>
    </row>
    <row r="499" ht="14.25" customHeight="1">
      <c r="A499" s="54"/>
    </row>
    <row r="500" ht="14.25" customHeight="1">
      <c r="A500" s="54"/>
    </row>
    <row r="501" ht="14.25" customHeight="1">
      <c r="A501" s="54"/>
    </row>
    <row r="502" ht="14.25" customHeight="1">
      <c r="A502" s="54"/>
    </row>
    <row r="503" ht="14.25" customHeight="1">
      <c r="A503" s="54"/>
    </row>
    <row r="504" ht="14.25" customHeight="1">
      <c r="A504" s="54"/>
    </row>
    <row r="505" ht="14.25" customHeight="1">
      <c r="A505" s="54"/>
    </row>
    <row r="506" ht="14.25" customHeight="1">
      <c r="A506" s="54"/>
    </row>
    <row r="507" ht="14.25" customHeight="1">
      <c r="A507" s="54"/>
    </row>
    <row r="508" ht="14.25" customHeight="1">
      <c r="A508" s="54"/>
    </row>
    <row r="509" ht="14.25" customHeight="1">
      <c r="A509" s="54"/>
    </row>
    <row r="510" ht="14.25" customHeight="1">
      <c r="A510" s="54"/>
    </row>
    <row r="511" ht="14.25" customHeight="1">
      <c r="A511" s="54"/>
    </row>
    <row r="512" ht="14.25" customHeight="1">
      <c r="A512" s="54"/>
    </row>
    <row r="513" ht="14.25" customHeight="1">
      <c r="A513" s="54"/>
    </row>
    <row r="514" ht="14.25" customHeight="1">
      <c r="A514" s="54"/>
    </row>
    <row r="515" ht="14.25" customHeight="1">
      <c r="A515" s="54"/>
    </row>
    <row r="516" ht="14.25" customHeight="1">
      <c r="A516" s="54"/>
    </row>
    <row r="517" ht="14.25" customHeight="1">
      <c r="A517" s="54"/>
    </row>
    <row r="518" ht="14.25" customHeight="1">
      <c r="A518" s="54"/>
    </row>
    <row r="519" ht="14.25" customHeight="1">
      <c r="A519" s="54"/>
    </row>
    <row r="520" ht="14.25" customHeight="1">
      <c r="A520" s="54"/>
    </row>
    <row r="521" ht="14.25" customHeight="1">
      <c r="A521" s="54"/>
    </row>
    <row r="522" ht="14.25" customHeight="1">
      <c r="A522" s="54"/>
    </row>
    <row r="523" ht="14.25" customHeight="1">
      <c r="A523" s="54"/>
    </row>
    <row r="524" ht="14.25" customHeight="1">
      <c r="A524" s="54"/>
    </row>
    <row r="525" ht="14.25" customHeight="1">
      <c r="A525" s="54"/>
    </row>
    <row r="526" ht="14.25" customHeight="1">
      <c r="A526" s="54"/>
    </row>
    <row r="527" ht="14.25" customHeight="1">
      <c r="A527" s="54"/>
    </row>
    <row r="528" ht="14.25" customHeight="1">
      <c r="A528" s="54"/>
    </row>
    <row r="529" ht="14.25" customHeight="1">
      <c r="A529" s="54"/>
    </row>
    <row r="530" ht="14.25" customHeight="1">
      <c r="A530" s="54"/>
    </row>
    <row r="531" ht="14.25" customHeight="1">
      <c r="A531" s="54"/>
    </row>
    <row r="532" ht="14.25" customHeight="1">
      <c r="A532" s="54"/>
    </row>
    <row r="533" ht="14.25" customHeight="1">
      <c r="A533" s="54"/>
    </row>
    <row r="534" ht="14.25" customHeight="1">
      <c r="A534" s="54"/>
    </row>
    <row r="535" ht="14.25" customHeight="1">
      <c r="A535" s="54"/>
    </row>
    <row r="536" ht="14.25" customHeight="1">
      <c r="A536" s="54"/>
    </row>
    <row r="537" ht="14.25" customHeight="1">
      <c r="A537" s="54"/>
    </row>
    <row r="538" ht="14.25" customHeight="1">
      <c r="A538" s="54"/>
    </row>
    <row r="539" ht="14.25" customHeight="1">
      <c r="A539" s="54"/>
    </row>
    <row r="540" ht="14.25" customHeight="1">
      <c r="A540" s="54"/>
    </row>
    <row r="541" ht="14.25" customHeight="1">
      <c r="A541" s="54"/>
    </row>
    <row r="542" ht="14.25" customHeight="1">
      <c r="A542" s="54"/>
    </row>
    <row r="543" ht="14.25" customHeight="1">
      <c r="A543" s="54"/>
    </row>
    <row r="544" ht="14.25" customHeight="1">
      <c r="A544" s="54"/>
    </row>
    <row r="545" ht="14.25" customHeight="1">
      <c r="A545" s="54"/>
    </row>
    <row r="546" ht="14.25" customHeight="1">
      <c r="A546" s="54"/>
    </row>
    <row r="547" ht="14.25" customHeight="1">
      <c r="A547" s="54"/>
    </row>
    <row r="548" ht="14.25" customHeight="1">
      <c r="A548" s="54"/>
    </row>
    <row r="549" ht="14.25" customHeight="1">
      <c r="A549" s="54"/>
    </row>
    <row r="550" ht="14.25" customHeight="1">
      <c r="A550" s="54"/>
    </row>
    <row r="551" ht="14.25" customHeight="1">
      <c r="A551" s="54"/>
    </row>
    <row r="552" ht="14.25" customHeight="1">
      <c r="A552" s="54"/>
    </row>
    <row r="553" ht="14.25" customHeight="1">
      <c r="A553" s="54"/>
    </row>
    <row r="554" ht="14.25" customHeight="1">
      <c r="A554" s="54"/>
    </row>
    <row r="555" ht="14.25" customHeight="1">
      <c r="A555" s="54"/>
    </row>
    <row r="556" ht="14.25" customHeight="1">
      <c r="A556" s="54"/>
    </row>
    <row r="557" ht="14.25" customHeight="1">
      <c r="A557" s="54"/>
    </row>
    <row r="558" ht="14.25" customHeight="1">
      <c r="A558" s="54"/>
    </row>
    <row r="559" ht="14.25" customHeight="1">
      <c r="A559" s="54"/>
    </row>
    <row r="560" ht="14.25" customHeight="1">
      <c r="A560" s="54"/>
    </row>
    <row r="561" ht="14.25" customHeight="1">
      <c r="A561" s="54"/>
    </row>
    <row r="562" ht="14.25" customHeight="1">
      <c r="A562" s="54"/>
    </row>
    <row r="563" ht="14.25" customHeight="1">
      <c r="A563" s="54"/>
    </row>
    <row r="564" ht="14.25" customHeight="1">
      <c r="A564" s="54"/>
    </row>
    <row r="565" ht="14.25" customHeight="1">
      <c r="A565" s="54"/>
    </row>
    <row r="566" ht="14.25" customHeight="1">
      <c r="A566" s="54"/>
    </row>
    <row r="567" ht="14.25" customHeight="1">
      <c r="A567" s="54"/>
    </row>
    <row r="568" ht="14.25" customHeight="1">
      <c r="A568" s="54"/>
    </row>
    <row r="569" ht="14.25" customHeight="1">
      <c r="A569" s="54"/>
    </row>
    <row r="570" ht="14.25" customHeight="1">
      <c r="A570" s="54"/>
    </row>
    <row r="571" ht="14.25" customHeight="1">
      <c r="A571" s="54"/>
    </row>
    <row r="572" ht="14.25" customHeight="1">
      <c r="A572" s="54"/>
    </row>
    <row r="573" ht="14.25" customHeight="1">
      <c r="A573" s="54"/>
    </row>
    <row r="574" ht="14.25" customHeight="1">
      <c r="A574" s="54"/>
    </row>
    <row r="575" ht="14.25" customHeight="1">
      <c r="A575" s="54"/>
    </row>
    <row r="576" ht="14.25" customHeight="1">
      <c r="A576" s="54"/>
    </row>
    <row r="577" ht="14.25" customHeight="1">
      <c r="A577" s="54"/>
    </row>
    <row r="578" ht="14.25" customHeight="1">
      <c r="A578" s="54"/>
    </row>
    <row r="579" ht="14.25" customHeight="1">
      <c r="A579" s="54"/>
    </row>
    <row r="580" ht="14.25" customHeight="1">
      <c r="A580" s="54"/>
    </row>
    <row r="581" ht="14.25" customHeight="1">
      <c r="A581" s="54"/>
    </row>
    <row r="582" ht="14.25" customHeight="1">
      <c r="A582" s="54"/>
    </row>
    <row r="583" ht="14.25" customHeight="1">
      <c r="A583" s="54"/>
    </row>
    <row r="584" ht="14.25" customHeight="1">
      <c r="A584" s="54"/>
    </row>
    <row r="585" ht="14.25" customHeight="1">
      <c r="A585" s="54"/>
    </row>
    <row r="586" ht="14.25" customHeight="1">
      <c r="A586" s="54"/>
    </row>
    <row r="587" ht="14.25" customHeight="1">
      <c r="A587" s="54"/>
    </row>
    <row r="588" ht="14.25" customHeight="1">
      <c r="A588" s="54"/>
    </row>
    <row r="589" ht="14.25" customHeight="1">
      <c r="A589" s="54"/>
    </row>
    <row r="590" ht="14.25" customHeight="1">
      <c r="A590" s="54"/>
    </row>
    <row r="591" ht="14.25" customHeight="1">
      <c r="A591" s="54"/>
    </row>
    <row r="592" ht="14.25" customHeight="1">
      <c r="A592" s="54"/>
    </row>
    <row r="593" ht="14.25" customHeight="1">
      <c r="A593" s="54"/>
    </row>
    <row r="594" ht="14.25" customHeight="1">
      <c r="A594" s="54"/>
    </row>
    <row r="595" ht="14.25" customHeight="1">
      <c r="A595" s="54"/>
    </row>
    <row r="596" ht="14.25" customHeight="1">
      <c r="A596" s="54"/>
    </row>
    <row r="597" ht="14.25" customHeight="1">
      <c r="A597" s="54"/>
    </row>
    <row r="598" ht="14.25" customHeight="1">
      <c r="A598" s="54"/>
    </row>
    <row r="599" ht="14.25" customHeight="1">
      <c r="A599" s="54"/>
    </row>
    <row r="600" ht="14.25" customHeight="1">
      <c r="A600" s="54"/>
    </row>
    <row r="601" ht="14.25" customHeight="1">
      <c r="A601" s="54"/>
    </row>
    <row r="602" ht="14.25" customHeight="1">
      <c r="A602" s="54"/>
    </row>
    <row r="603" ht="14.25" customHeight="1">
      <c r="A603" s="54"/>
    </row>
    <row r="604" ht="14.25" customHeight="1">
      <c r="A604" s="54"/>
    </row>
    <row r="605" ht="14.25" customHeight="1">
      <c r="A605" s="54"/>
    </row>
    <row r="606" ht="14.25" customHeight="1">
      <c r="A606" s="54"/>
    </row>
    <row r="607" ht="14.25" customHeight="1">
      <c r="A607" s="54"/>
    </row>
    <row r="608" ht="14.25" customHeight="1">
      <c r="A608" s="54"/>
    </row>
    <row r="609" ht="14.25" customHeight="1">
      <c r="A609" s="54"/>
    </row>
    <row r="610" ht="14.25" customHeight="1">
      <c r="A610" s="54"/>
    </row>
    <row r="611" ht="14.25" customHeight="1">
      <c r="A611" s="54"/>
    </row>
    <row r="612" ht="14.25" customHeight="1">
      <c r="A612" s="54"/>
    </row>
    <row r="613" ht="14.25" customHeight="1">
      <c r="A613" s="54"/>
    </row>
    <row r="614" ht="14.25" customHeight="1">
      <c r="A614" s="54"/>
    </row>
    <row r="615" ht="14.25" customHeight="1">
      <c r="A615" s="54"/>
    </row>
    <row r="616" ht="14.25" customHeight="1">
      <c r="A616" s="54"/>
    </row>
    <row r="617" ht="14.25" customHeight="1">
      <c r="A617" s="54"/>
    </row>
    <row r="618" ht="14.25" customHeight="1">
      <c r="A618" s="54"/>
    </row>
    <row r="619" ht="14.25" customHeight="1">
      <c r="A619" s="54"/>
    </row>
    <row r="620" ht="14.25" customHeight="1">
      <c r="A620" s="54"/>
    </row>
    <row r="621" ht="14.25" customHeight="1">
      <c r="A621" s="54"/>
    </row>
    <row r="622" ht="14.25" customHeight="1">
      <c r="A622" s="54"/>
    </row>
    <row r="623" ht="14.25" customHeight="1">
      <c r="A623" s="54"/>
    </row>
    <row r="624" ht="14.25" customHeight="1">
      <c r="A624" s="54"/>
    </row>
    <row r="625" ht="14.25" customHeight="1">
      <c r="A625" s="54"/>
    </row>
    <row r="626" ht="14.25" customHeight="1">
      <c r="A626" s="54"/>
    </row>
    <row r="627" ht="14.25" customHeight="1">
      <c r="A627" s="54"/>
    </row>
    <row r="628" ht="14.25" customHeight="1">
      <c r="A628" s="54"/>
    </row>
    <row r="629" ht="14.25" customHeight="1">
      <c r="A629" s="54"/>
    </row>
    <row r="630" ht="14.25" customHeight="1">
      <c r="A630" s="54"/>
    </row>
    <row r="631" ht="14.25" customHeight="1">
      <c r="A631" s="54"/>
    </row>
    <row r="632" ht="14.25" customHeight="1">
      <c r="A632" s="54"/>
    </row>
    <row r="633" ht="14.25" customHeight="1">
      <c r="A633" s="54"/>
    </row>
    <row r="634" ht="14.25" customHeight="1">
      <c r="A634" s="54"/>
    </row>
    <row r="635" ht="14.25" customHeight="1">
      <c r="A635" s="54"/>
    </row>
    <row r="636" ht="14.25" customHeight="1">
      <c r="A636" s="54"/>
    </row>
    <row r="637" ht="14.25" customHeight="1">
      <c r="A637" s="54"/>
    </row>
    <row r="638" ht="14.25" customHeight="1">
      <c r="A638" s="54"/>
    </row>
    <row r="639" ht="14.25" customHeight="1">
      <c r="A639" s="54"/>
    </row>
    <row r="640" ht="14.25" customHeight="1">
      <c r="A640" s="54"/>
    </row>
    <row r="641" ht="14.25" customHeight="1">
      <c r="A641" s="54"/>
    </row>
    <row r="642" ht="14.25" customHeight="1">
      <c r="A642" s="54"/>
    </row>
    <row r="643" ht="14.25" customHeight="1">
      <c r="A643" s="54"/>
    </row>
    <row r="644" ht="14.25" customHeight="1">
      <c r="A644" s="54"/>
    </row>
    <row r="645" ht="14.25" customHeight="1">
      <c r="A645" s="54"/>
    </row>
    <row r="646" ht="14.25" customHeight="1">
      <c r="A646" s="54"/>
    </row>
    <row r="647" ht="14.25" customHeight="1">
      <c r="A647" s="54"/>
    </row>
    <row r="648" ht="14.25" customHeight="1">
      <c r="A648" s="54"/>
    </row>
    <row r="649" ht="14.25" customHeight="1">
      <c r="A649" s="54"/>
    </row>
    <row r="650" ht="14.25" customHeight="1">
      <c r="A650" s="54"/>
    </row>
    <row r="651" ht="14.25" customHeight="1">
      <c r="A651" s="54"/>
    </row>
    <row r="652" ht="14.25" customHeight="1">
      <c r="A652" s="54"/>
    </row>
    <row r="653" ht="14.25" customHeight="1">
      <c r="A653" s="54"/>
    </row>
    <row r="654" ht="14.25" customHeight="1">
      <c r="A654" s="54"/>
    </row>
    <row r="655" ht="14.25" customHeight="1">
      <c r="A655" s="54"/>
    </row>
    <row r="656" ht="14.25" customHeight="1">
      <c r="A656" s="54"/>
    </row>
    <row r="657" ht="14.25" customHeight="1">
      <c r="A657" s="54"/>
    </row>
    <row r="658" ht="14.25" customHeight="1">
      <c r="A658" s="54"/>
    </row>
    <row r="659" ht="14.25" customHeight="1">
      <c r="A659" s="54"/>
    </row>
    <row r="660" ht="14.25" customHeight="1">
      <c r="A660" s="54"/>
    </row>
    <row r="661" ht="14.25" customHeight="1">
      <c r="A661" s="54"/>
    </row>
    <row r="662" ht="14.25" customHeight="1">
      <c r="A662" s="54"/>
    </row>
    <row r="663" ht="14.25" customHeight="1">
      <c r="A663" s="54"/>
    </row>
    <row r="664" ht="14.25" customHeight="1">
      <c r="A664" s="54"/>
    </row>
    <row r="665" ht="14.25" customHeight="1">
      <c r="A665" s="54"/>
    </row>
    <row r="666" ht="14.25" customHeight="1">
      <c r="A666" s="54"/>
    </row>
    <row r="667" ht="14.25" customHeight="1">
      <c r="A667" s="54"/>
    </row>
    <row r="668" ht="14.25" customHeight="1">
      <c r="A668" s="54"/>
    </row>
    <row r="669" ht="14.25" customHeight="1">
      <c r="A669" s="54"/>
    </row>
    <row r="670" ht="14.25" customHeight="1">
      <c r="A670" s="54"/>
    </row>
    <row r="671" ht="14.25" customHeight="1">
      <c r="A671" s="54"/>
    </row>
    <row r="672" ht="14.25" customHeight="1">
      <c r="A672" s="54"/>
    </row>
    <row r="673" ht="14.25" customHeight="1">
      <c r="A673" s="54"/>
    </row>
    <row r="674" ht="14.25" customHeight="1">
      <c r="A674" s="54"/>
    </row>
    <row r="675" ht="14.25" customHeight="1">
      <c r="A675" s="54"/>
    </row>
    <row r="676" ht="14.25" customHeight="1">
      <c r="A676" s="54"/>
    </row>
    <row r="677" ht="14.25" customHeight="1">
      <c r="A677" s="54"/>
    </row>
    <row r="678" ht="14.25" customHeight="1">
      <c r="A678" s="54"/>
    </row>
    <row r="679" ht="14.25" customHeight="1">
      <c r="A679" s="54"/>
    </row>
    <row r="680" ht="14.25" customHeight="1">
      <c r="A680" s="54"/>
    </row>
    <row r="681" ht="14.25" customHeight="1">
      <c r="A681" s="54"/>
    </row>
    <row r="682" ht="14.25" customHeight="1">
      <c r="A682" s="54"/>
    </row>
    <row r="683" ht="14.25" customHeight="1">
      <c r="A683" s="54"/>
    </row>
    <row r="684" ht="14.25" customHeight="1">
      <c r="A684" s="54"/>
    </row>
    <row r="685" ht="14.25" customHeight="1">
      <c r="A685" s="54"/>
    </row>
    <row r="686" ht="14.25" customHeight="1">
      <c r="A686" s="54"/>
    </row>
    <row r="687" ht="14.25" customHeight="1">
      <c r="A687" s="54"/>
    </row>
    <row r="688" ht="14.25" customHeight="1">
      <c r="A688" s="54"/>
    </row>
    <row r="689" ht="14.25" customHeight="1">
      <c r="A689" s="54"/>
    </row>
    <row r="690" ht="14.25" customHeight="1">
      <c r="A690" s="54"/>
    </row>
    <row r="691" ht="14.25" customHeight="1">
      <c r="A691" s="54"/>
    </row>
    <row r="692" ht="14.25" customHeight="1">
      <c r="A692" s="54"/>
    </row>
    <row r="693" ht="14.25" customHeight="1">
      <c r="A693" s="54"/>
    </row>
    <row r="694" ht="14.25" customHeight="1">
      <c r="A694" s="54"/>
    </row>
    <row r="695" ht="14.25" customHeight="1">
      <c r="A695" s="54"/>
    </row>
    <row r="696" ht="14.25" customHeight="1">
      <c r="A696" s="54"/>
    </row>
    <row r="697" ht="14.25" customHeight="1">
      <c r="A697" s="54"/>
    </row>
    <row r="698" ht="14.25" customHeight="1">
      <c r="A698" s="54"/>
    </row>
    <row r="699" ht="14.25" customHeight="1">
      <c r="A699" s="54"/>
    </row>
    <row r="700" ht="14.25" customHeight="1">
      <c r="A700" s="54"/>
    </row>
    <row r="701" ht="14.25" customHeight="1">
      <c r="A701" s="54"/>
    </row>
    <row r="702" ht="14.25" customHeight="1">
      <c r="A702" s="54"/>
    </row>
    <row r="703" ht="14.25" customHeight="1">
      <c r="A703" s="54"/>
    </row>
    <row r="704" ht="14.25" customHeight="1">
      <c r="A704" s="54"/>
    </row>
    <row r="705" ht="14.25" customHeight="1">
      <c r="A705" s="54"/>
    </row>
    <row r="706" ht="14.25" customHeight="1">
      <c r="A706" s="54"/>
    </row>
    <row r="707" ht="14.25" customHeight="1">
      <c r="A707" s="54"/>
    </row>
    <row r="708" ht="14.25" customHeight="1">
      <c r="A708" s="54"/>
    </row>
    <row r="709" ht="14.25" customHeight="1">
      <c r="A709" s="54"/>
    </row>
    <row r="710" ht="14.25" customHeight="1">
      <c r="A710" s="54"/>
    </row>
    <row r="711" ht="14.25" customHeight="1">
      <c r="A711" s="54"/>
    </row>
    <row r="712" ht="14.25" customHeight="1">
      <c r="A712" s="54"/>
    </row>
    <row r="713" ht="14.25" customHeight="1">
      <c r="A713" s="54"/>
    </row>
    <row r="714" ht="14.25" customHeight="1">
      <c r="A714" s="54"/>
    </row>
    <row r="715" ht="14.25" customHeight="1">
      <c r="A715" s="54"/>
    </row>
    <row r="716" ht="14.25" customHeight="1">
      <c r="A716" s="54"/>
    </row>
    <row r="717" ht="14.25" customHeight="1">
      <c r="A717" s="54"/>
    </row>
    <row r="718" ht="14.25" customHeight="1">
      <c r="A718" s="54"/>
    </row>
    <row r="719" ht="14.25" customHeight="1">
      <c r="A719" s="54"/>
    </row>
    <row r="720" ht="14.25" customHeight="1">
      <c r="A720" s="54"/>
    </row>
    <row r="721" ht="14.25" customHeight="1">
      <c r="A721" s="54"/>
    </row>
    <row r="722" ht="14.25" customHeight="1">
      <c r="A722" s="54"/>
    </row>
    <row r="723" ht="14.25" customHeight="1">
      <c r="A723" s="54"/>
    </row>
    <row r="724" ht="14.25" customHeight="1">
      <c r="A724" s="54"/>
    </row>
    <row r="725" ht="14.25" customHeight="1">
      <c r="A725" s="54"/>
    </row>
    <row r="726" ht="14.25" customHeight="1">
      <c r="A726" s="54"/>
    </row>
    <row r="727" ht="14.25" customHeight="1">
      <c r="A727" s="54"/>
    </row>
    <row r="728" ht="14.25" customHeight="1">
      <c r="A728" s="54"/>
    </row>
    <row r="729" ht="14.25" customHeight="1">
      <c r="A729" s="54"/>
    </row>
    <row r="730" ht="14.25" customHeight="1">
      <c r="A730" s="54"/>
    </row>
    <row r="731" ht="14.25" customHeight="1">
      <c r="A731" s="54"/>
    </row>
    <row r="732" ht="14.25" customHeight="1">
      <c r="A732" s="54"/>
    </row>
    <row r="733" ht="14.25" customHeight="1">
      <c r="A733" s="54"/>
    </row>
    <row r="734" ht="14.25" customHeight="1">
      <c r="A734" s="54"/>
    </row>
    <row r="735" ht="14.25" customHeight="1">
      <c r="A735" s="54"/>
    </row>
    <row r="736" ht="14.25" customHeight="1">
      <c r="A736" s="54"/>
    </row>
    <row r="737" ht="14.25" customHeight="1">
      <c r="A737" s="54"/>
    </row>
    <row r="738" ht="14.25" customHeight="1">
      <c r="A738" s="54"/>
    </row>
    <row r="739" ht="14.25" customHeight="1">
      <c r="A739" s="54"/>
    </row>
    <row r="740" ht="14.25" customHeight="1">
      <c r="A740" s="54"/>
    </row>
    <row r="741" ht="14.25" customHeight="1">
      <c r="A741" s="54"/>
    </row>
    <row r="742" ht="14.25" customHeight="1">
      <c r="A742" s="54"/>
    </row>
    <row r="743" ht="14.25" customHeight="1">
      <c r="A743" s="54"/>
    </row>
    <row r="744" ht="14.25" customHeight="1">
      <c r="A744" s="54"/>
    </row>
    <row r="745" ht="14.25" customHeight="1">
      <c r="A745" s="54"/>
    </row>
    <row r="746" ht="14.25" customHeight="1">
      <c r="A746" s="54"/>
    </row>
    <row r="747" ht="14.25" customHeight="1">
      <c r="A747" s="54"/>
    </row>
    <row r="748" ht="14.25" customHeight="1">
      <c r="A748" s="54"/>
    </row>
    <row r="749" ht="14.25" customHeight="1">
      <c r="A749" s="54"/>
    </row>
    <row r="750" ht="14.25" customHeight="1">
      <c r="A750" s="54"/>
    </row>
    <row r="751" ht="14.25" customHeight="1">
      <c r="A751" s="54"/>
    </row>
    <row r="752" ht="14.25" customHeight="1">
      <c r="A752" s="54"/>
    </row>
    <row r="753" ht="14.25" customHeight="1">
      <c r="A753" s="54"/>
    </row>
    <row r="754" ht="14.25" customHeight="1">
      <c r="A754" s="54"/>
    </row>
    <row r="755" ht="14.25" customHeight="1">
      <c r="A755" s="54"/>
    </row>
    <row r="756" ht="14.25" customHeight="1">
      <c r="A756" s="54"/>
    </row>
    <row r="757" ht="14.25" customHeight="1">
      <c r="A757" s="54"/>
    </row>
    <row r="758" ht="14.25" customHeight="1">
      <c r="A758" s="54"/>
    </row>
    <row r="759" ht="14.25" customHeight="1">
      <c r="A759" s="54"/>
    </row>
    <row r="760" ht="14.25" customHeight="1">
      <c r="A760" s="54"/>
    </row>
    <row r="761" ht="14.25" customHeight="1">
      <c r="A761" s="54"/>
    </row>
    <row r="762" ht="14.25" customHeight="1">
      <c r="A762" s="54"/>
    </row>
    <row r="763" ht="14.25" customHeight="1">
      <c r="A763" s="54"/>
    </row>
    <row r="764" ht="14.25" customHeight="1">
      <c r="A764" s="54"/>
    </row>
    <row r="765" ht="14.25" customHeight="1">
      <c r="A765" s="54"/>
    </row>
    <row r="766" ht="14.25" customHeight="1">
      <c r="A766" s="54"/>
    </row>
    <row r="767" ht="14.25" customHeight="1">
      <c r="A767" s="54"/>
    </row>
    <row r="768" ht="14.25" customHeight="1">
      <c r="A768" s="54"/>
    </row>
    <row r="769" ht="14.25" customHeight="1">
      <c r="A769" s="54"/>
    </row>
    <row r="770" ht="14.25" customHeight="1">
      <c r="A770" s="54"/>
    </row>
    <row r="771" ht="14.25" customHeight="1">
      <c r="A771" s="54"/>
    </row>
    <row r="772" ht="14.25" customHeight="1">
      <c r="A772" s="54"/>
    </row>
    <row r="773" ht="14.25" customHeight="1">
      <c r="A773" s="54"/>
    </row>
    <row r="774" ht="14.25" customHeight="1">
      <c r="A774" s="54"/>
    </row>
    <row r="775" ht="14.25" customHeight="1">
      <c r="A775" s="54"/>
    </row>
    <row r="776" ht="14.25" customHeight="1">
      <c r="A776" s="54"/>
    </row>
    <row r="777" ht="14.25" customHeight="1">
      <c r="A777" s="54"/>
    </row>
    <row r="778" ht="14.25" customHeight="1">
      <c r="A778" s="54"/>
    </row>
    <row r="779" ht="14.25" customHeight="1">
      <c r="A779" s="54"/>
    </row>
    <row r="780" ht="14.25" customHeight="1">
      <c r="A780" s="54"/>
    </row>
    <row r="781" ht="14.25" customHeight="1">
      <c r="A781" s="54"/>
    </row>
    <row r="782" ht="14.25" customHeight="1">
      <c r="A782" s="54"/>
    </row>
    <row r="783" ht="14.25" customHeight="1">
      <c r="A783" s="54"/>
    </row>
    <row r="784" ht="14.25" customHeight="1">
      <c r="A784" s="54"/>
    </row>
    <row r="785" ht="14.25" customHeight="1">
      <c r="A785" s="54"/>
    </row>
    <row r="786" ht="14.25" customHeight="1">
      <c r="A786" s="54"/>
    </row>
    <row r="787" ht="14.25" customHeight="1">
      <c r="A787" s="54"/>
    </row>
    <row r="788" ht="14.25" customHeight="1">
      <c r="A788" s="54"/>
    </row>
    <row r="789" ht="14.25" customHeight="1">
      <c r="A789" s="54"/>
    </row>
    <row r="790" ht="14.25" customHeight="1">
      <c r="A790" s="54"/>
    </row>
    <row r="791" ht="14.25" customHeight="1">
      <c r="A791" s="54"/>
    </row>
    <row r="792" ht="14.25" customHeight="1">
      <c r="A792" s="54"/>
    </row>
    <row r="793" ht="14.25" customHeight="1">
      <c r="A793" s="54"/>
    </row>
    <row r="794" ht="14.25" customHeight="1">
      <c r="A794" s="54"/>
    </row>
    <row r="795" ht="14.25" customHeight="1">
      <c r="A795" s="54"/>
    </row>
    <row r="796" ht="14.25" customHeight="1">
      <c r="A796" s="54"/>
    </row>
    <row r="797" ht="14.25" customHeight="1">
      <c r="A797" s="54"/>
    </row>
    <row r="798" ht="14.25" customHeight="1">
      <c r="A798" s="54"/>
    </row>
    <row r="799" ht="14.25" customHeight="1">
      <c r="A799" s="54"/>
    </row>
    <row r="800" ht="14.25" customHeight="1">
      <c r="A800" s="54"/>
    </row>
    <row r="801" ht="14.25" customHeight="1">
      <c r="A801" s="54"/>
    </row>
    <row r="802" ht="14.25" customHeight="1">
      <c r="A802" s="54"/>
    </row>
    <row r="803" ht="14.25" customHeight="1">
      <c r="A803" s="54"/>
    </row>
    <row r="804" ht="14.25" customHeight="1">
      <c r="A804" s="54"/>
    </row>
    <row r="805" ht="14.25" customHeight="1">
      <c r="A805" s="54"/>
    </row>
    <row r="806" ht="14.25" customHeight="1">
      <c r="A806" s="54"/>
    </row>
    <row r="807" ht="14.25" customHeight="1">
      <c r="A807" s="54"/>
    </row>
    <row r="808" ht="14.25" customHeight="1">
      <c r="A808" s="54"/>
    </row>
    <row r="809" ht="14.25" customHeight="1">
      <c r="A809" s="54"/>
    </row>
    <row r="810" ht="14.25" customHeight="1">
      <c r="A810" s="54"/>
    </row>
    <row r="811" ht="14.25" customHeight="1">
      <c r="A811" s="54"/>
    </row>
    <row r="812" ht="14.25" customHeight="1">
      <c r="A812" s="54"/>
    </row>
    <row r="813" ht="14.25" customHeight="1">
      <c r="A813" s="54"/>
    </row>
    <row r="814" ht="14.25" customHeight="1">
      <c r="A814" s="54"/>
    </row>
    <row r="815" ht="14.25" customHeight="1">
      <c r="A815" s="54"/>
    </row>
    <row r="816" ht="14.25" customHeight="1">
      <c r="A816" s="54"/>
    </row>
    <row r="817" ht="14.25" customHeight="1">
      <c r="A817" s="54"/>
    </row>
    <row r="818" ht="14.25" customHeight="1">
      <c r="A818" s="54"/>
    </row>
    <row r="819" ht="14.25" customHeight="1">
      <c r="A819" s="54"/>
    </row>
    <row r="820" ht="14.25" customHeight="1">
      <c r="A820" s="54"/>
    </row>
    <row r="821" ht="14.25" customHeight="1">
      <c r="A821" s="54"/>
    </row>
    <row r="822" ht="14.25" customHeight="1">
      <c r="A822" s="54"/>
    </row>
    <row r="823" ht="14.25" customHeight="1">
      <c r="A823" s="54"/>
    </row>
    <row r="824" ht="14.25" customHeight="1">
      <c r="A824" s="54"/>
    </row>
    <row r="825" ht="14.25" customHeight="1">
      <c r="A825" s="54"/>
    </row>
    <row r="826" ht="14.25" customHeight="1">
      <c r="A826" s="54"/>
    </row>
    <row r="827" ht="14.25" customHeight="1">
      <c r="A827" s="54"/>
    </row>
    <row r="828" ht="14.25" customHeight="1">
      <c r="A828" s="54"/>
    </row>
    <row r="829" ht="14.25" customHeight="1">
      <c r="A829" s="54"/>
    </row>
    <row r="830" ht="14.25" customHeight="1">
      <c r="A830" s="54"/>
    </row>
    <row r="831" ht="14.25" customHeight="1">
      <c r="A831" s="54"/>
    </row>
    <row r="832" ht="14.25" customHeight="1">
      <c r="A832" s="54"/>
    </row>
    <row r="833" ht="14.25" customHeight="1">
      <c r="A833" s="54"/>
    </row>
    <row r="834" ht="14.25" customHeight="1">
      <c r="A834" s="54"/>
    </row>
    <row r="835" ht="14.25" customHeight="1">
      <c r="A835" s="54"/>
    </row>
    <row r="836" ht="14.25" customHeight="1">
      <c r="A836" s="54"/>
    </row>
    <row r="837" ht="14.25" customHeight="1">
      <c r="A837" s="54"/>
    </row>
    <row r="838" ht="14.25" customHeight="1">
      <c r="A838" s="54"/>
    </row>
    <row r="839" ht="14.25" customHeight="1">
      <c r="A839" s="54"/>
    </row>
    <row r="840" ht="14.25" customHeight="1">
      <c r="A840" s="54"/>
    </row>
    <row r="841" ht="14.25" customHeight="1">
      <c r="A841" s="54"/>
    </row>
    <row r="842" ht="14.25" customHeight="1">
      <c r="A842" s="54"/>
    </row>
    <row r="843" ht="14.25" customHeight="1">
      <c r="A843" s="54"/>
    </row>
    <row r="844" ht="14.25" customHeight="1">
      <c r="A844" s="54"/>
    </row>
    <row r="845" ht="14.25" customHeight="1">
      <c r="A845" s="54"/>
    </row>
    <row r="846" ht="14.25" customHeight="1">
      <c r="A846" s="54"/>
    </row>
    <row r="847" ht="14.25" customHeight="1">
      <c r="A847" s="54"/>
    </row>
    <row r="848" ht="14.25" customHeight="1">
      <c r="A848" s="54"/>
    </row>
    <row r="849" ht="14.25" customHeight="1">
      <c r="A849" s="54"/>
    </row>
    <row r="850" ht="14.25" customHeight="1">
      <c r="A850" s="54"/>
    </row>
    <row r="851" ht="14.25" customHeight="1">
      <c r="A851" s="54"/>
    </row>
    <row r="852" ht="14.25" customHeight="1">
      <c r="A852" s="54"/>
    </row>
    <row r="853" ht="14.25" customHeight="1">
      <c r="A853" s="54"/>
    </row>
    <row r="854" ht="14.25" customHeight="1">
      <c r="A854" s="54"/>
    </row>
    <row r="855" ht="14.25" customHeight="1">
      <c r="A855" s="54"/>
    </row>
    <row r="856" ht="14.25" customHeight="1">
      <c r="A856" s="54"/>
    </row>
    <row r="857" ht="14.25" customHeight="1">
      <c r="A857" s="54"/>
    </row>
    <row r="858" ht="14.25" customHeight="1">
      <c r="A858" s="54"/>
    </row>
    <row r="859" ht="14.25" customHeight="1">
      <c r="A859" s="54"/>
    </row>
    <row r="860" ht="14.25" customHeight="1">
      <c r="A860" s="54"/>
    </row>
    <row r="861" ht="14.25" customHeight="1">
      <c r="A861" s="54"/>
    </row>
    <row r="862" ht="14.25" customHeight="1">
      <c r="A862" s="54"/>
    </row>
    <row r="863" ht="14.25" customHeight="1">
      <c r="A863" s="54"/>
    </row>
    <row r="864" ht="14.25" customHeight="1">
      <c r="A864" s="54"/>
    </row>
    <row r="865" ht="14.25" customHeight="1">
      <c r="A865" s="54"/>
    </row>
    <row r="866" ht="14.25" customHeight="1">
      <c r="A866" s="54"/>
    </row>
    <row r="867" ht="14.25" customHeight="1">
      <c r="A867" s="54"/>
    </row>
    <row r="868" ht="14.25" customHeight="1">
      <c r="A868" s="54"/>
    </row>
    <row r="869" ht="14.25" customHeight="1">
      <c r="A869" s="54"/>
    </row>
    <row r="870" ht="14.25" customHeight="1">
      <c r="A870" s="54"/>
    </row>
    <row r="871" ht="14.25" customHeight="1">
      <c r="A871" s="54"/>
    </row>
    <row r="872" ht="14.25" customHeight="1">
      <c r="A872" s="54"/>
    </row>
    <row r="873" ht="14.25" customHeight="1">
      <c r="A873" s="54"/>
    </row>
    <row r="874" ht="14.25" customHeight="1">
      <c r="A874" s="54"/>
    </row>
    <row r="875" ht="14.25" customHeight="1">
      <c r="A875" s="54"/>
    </row>
    <row r="876" ht="14.25" customHeight="1">
      <c r="A876" s="54"/>
    </row>
    <row r="877" ht="14.25" customHeight="1">
      <c r="A877" s="54"/>
    </row>
    <row r="878" ht="14.25" customHeight="1">
      <c r="A878" s="54"/>
    </row>
    <row r="879" ht="14.25" customHeight="1">
      <c r="A879" s="54"/>
    </row>
    <row r="880" ht="14.25" customHeight="1">
      <c r="A880" s="54"/>
    </row>
    <row r="881" ht="14.25" customHeight="1">
      <c r="A881" s="54"/>
    </row>
    <row r="882" ht="14.25" customHeight="1">
      <c r="A882" s="54"/>
    </row>
    <row r="883" ht="14.25" customHeight="1">
      <c r="A883" s="54"/>
    </row>
    <row r="884" ht="14.25" customHeight="1">
      <c r="A884" s="54"/>
    </row>
    <row r="885" ht="14.25" customHeight="1">
      <c r="A885" s="54"/>
    </row>
    <row r="886" ht="14.25" customHeight="1">
      <c r="A886" s="54"/>
    </row>
    <row r="887" ht="14.25" customHeight="1">
      <c r="A887" s="54"/>
    </row>
    <row r="888" ht="14.25" customHeight="1">
      <c r="A888" s="54"/>
    </row>
    <row r="889" ht="14.25" customHeight="1">
      <c r="A889" s="54"/>
    </row>
    <row r="890" ht="14.25" customHeight="1">
      <c r="A890" s="54"/>
    </row>
    <row r="891" ht="14.25" customHeight="1">
      <c r="A891" s="54"/>
    </row>
    <row r="892" ht="14.25" customHeight="1">
      <c r="A892" s="54"/>
    </row>
    <row r="893" ht="14.25" customHeight="1">
      <c r="A893" s="54"/>
    </row>
    <row r="894" ht="14.25" customHeight="1">
      <c r="A894" s="54"/>
    </row>
    <row r="895" ht="14.25" customHeight="1">
      <c r="A895" s="54"/>
    </row>
    <row r="896" ht="14.25" customHeight="1">
      <c r="A896" s="54"/>
    </row>
    <row r="897" ht="14.25" customHeight="1">
      <c r="A897" s="54"/>
    </row>
    <row r="898" ht="14.25" customHeight="1">
      <c r="A898" s="54"/>
    </row>
    <row r="899" ht="14.25" customHeight="1">
      <c r="A899" s="54"/>
    </row>
    <row r="900" ht="14.25" customHeight="1">
      <c r="A900" s="54"/>
    </row>
    <row r="901" ht="14.25" customHeight="1">
      <c r="A901" s="54"/>
    </row>
    <row r="902" ht="14.25" customHeight="1">
      <c r="A902" s="54"/>
    </row>
    <row r="903" ht="14.25" customHeight="1">
      <c r="A903" s="54"/>
    </row>
    <row r="904" ht="14.25" customHeight="1">
      <c r="A904" s="54"/>
    </row>
    <row r="905" ht="14.25" customHeight="1">
      <c r="A905" s="54"/>
    </row>
    <row r="906" ht="14.25" customHeight="1">
      <c r="A906" s="54"/>
    </row>
    <row r="907" ht="14.25" customHeight="1">
      <c r="A907" s="54"/>
    </row>
    <row r="908" ht="14.25" customHeight="1">
      <c r="A908" s="54"/>
    </row>
    <row r="909" ht="14.25" customHeight="1">
      <c r="A909" s="54"/>
    </row>
    <row r="910" ht="14.25" customHeight="1">
      <c r="A910" s="54"/>
    </row>
    <row r="911" ht="14.25" customHeight="1">
      <c r="A911" s="54"/>
    </row>
    <row r="912" ht="14.25" customHeight="1">
      <c r="A912" s="54"/>
    </row>
    <row r="913" ht="14.25" customHeight="1">
      <c r="A913" s="54"/>
    </row>
    <row r="914" ht="14.25" customHeight="1">
      <c r="A914" s="54"/>
    </row>
    <row r="915" ht="14.25" customHeight="1">
      <c r="A915" s="54"/>
    </row>
    <row r="916" ht="14.25" customHeight="1">
      <c r="A916" s="54"/>
    </row>
    <row r="917" ht="14.25" customHeight="1">
      <c r="A917" s="54"/>
    </row>
    <row r="918" ht="14.25" customHeight="1">
      <c r="A918" s="54"/>
    </row>
    <row r="919" ht="14.25" customHeight="1">
      <c r="A919" s="54"/>
    </row>
    <row r="920" ht="14.25" customHeight="1">
      <c r="A920" s="54"/>
    </row>
    <row r="921" ht="14.25" customHeight="1">
      <c r="A921" s="54"/>
    </row>
    <row r="922" ht="14.25" customHeight="1">
      <c r="A922" s="54"/>
    </row>
    <row r="923" ht="14.25" customHeight="1">
      <c r="A923" s="54"/>
    </row>
    <row r="924" ht="14.25" customHeight="1">
      <c r="A924" s="54"/>
    </row>
    <row r="925" ht="14.25" customHeight="1">
      <c r="A925" s="54"/>
    </row>
    <row r="926" ht="14.25" customHeight="1">
      <c r="A926" s="54"/>
    </row>
    <row r="927" ht="14.25" customHeight="1">
      <c r="A927" s="54"/>
    </row>
    <row r="928" ht="14.25" customHeight="1">
      <c r="A928" s="54"/>
    </row>
    <row r="929" ht="14.25" customHeight="1">
      <c r="A929" s="54"/>
    </row>
    <row r="930" ht="14.25" customHeight="1">
      <c r="A930" s="54"/>
    </row>
    <row r="931" ht="14.25" customHeight="1">
      <c r="A931" s="54"/>
    </row>
    <row r="932" ht="14.25" customHeight="1">
      <c r="A932" s="54"/>
    </row>
    <row r="933" ht="14.25" customHeight="1">
      <c r="A933" s="54"/>
    </row>
    <row r="934" ht="14.25" customHeight="1">
      <c r="A934" s="54"/>
    </row>
    <row r="935" ht="14.25" customHeight="1">
      <c r="A935" s="54"/>
    </row>
    <row r="936" ht="14.25" customHeight="1">
      <c r="A936" s="54"/>
    </row>
    <row r="937" ht="14.25" customHeight="1">
      <c r="A937" s="54"/>
    </row>
    <row r="938" ht="14.25" customHeight="1">
      <c r="A938" s="54"/>
    </row>
    <row r="939" ht="14.25" customHeight="1">
      <c r="A939" s="54"/>
    </row>
    <row r="940" ht="14.25" customHeight="1">
      <c r="A940" s="54"/>
    </row>
    <row r="941" ht="14.25" customHeight="1">
      <c r="A941" s="54"/>
    </row>
    <row r="942" ht="14.25" customHeight="1">
      <c r="A942" s="54"/>
    </row>
    <row r="943" ht="14.25" customHeight="1">
      <c r="A943" s="54"/>
    </row>
    <row r="944" ht="14.25" customHeight="1">
      <c r="A944" s="54"/>
    </row>
    <row r="945" ht="14.25" customHeight="1">
      <c r="A945" s="54"/>
    </row>
    <row r="946" ht="14.25" customHeight="1">
      <c r="A946" s="54"/>
    </row>
    <row r="947" ht="14.25" customHeight="1">
      <c r="A947" s="54"/>
    </row>
    <row r="948" ht="14.25" customHeight="1">
      <c r="A948" s="54"/>
    </row>
    <row r="949" ht="14.25" customHeight="1">
      <c r="A949" s="54"/>
    </row>
    <row r="950" ht="14.25" customHeight="1">
      <c r="A950" s="54"/>
    </row>
    <row r="951" ht="14.25" customHeight="1">
      <c r="A951" s="54"/>
    </row>
    <row r="952" ht="14.25" customHeight="1">
      <c r="A952" s="54"/>
    </row>
    <row r="953" ht="14.25" customHeight="1">
      <c r="A953" s="54"/>
    </row>
    <row r="954" ht="14.25" customHeight="1">
      <c r="A954" s="54"/>
    </row>
    <row r="955" ht="14.25" customHeight="1">
      <c r="A955" s="54"/>
    </row>
    <row r="956" ht="14.25" customHeight="1">
      <c r="A956" s="54"/>
    </row>
    <row r="957" ht="14.25" customHeight="1">
      <c r="A957" s="54"/>
    </row>
    <row r="958" ht="14.25" customHeight="1">
      <c r="A958" s="54"/>
    </row>
    <row r="959" ht="14.25" customHeight="1">
      <c r="A959" s="54"/>
    </row>
    <row r="960" ht="14.25" customHeight="1">
      <c r="A960" s="54"/>
    </row>
    <row r="961" ht="14.25" customHeight="1">
      <c r="A961" s="54"/>
    </row>
    <row r="962" ht="14.25" customHeight="1">
      <c r="A962" s="54"/>
    </row>
    <row r="963" ht="14.25" customHeight="1">
      <c r="A963" s="54"/>
    </row>
    <row r="964" ht="14.25" customHeight="1">
      <c r="A964" s="54"/>
    </row>
    <row r="965" ht="14.25" customHeight="1">
      <c r="A965" s="54"/>
    </row>
    <row r="966" ht="14.25" customHeight="1">
      <c r="A966" s="54"/>
    </row>
    <row r="967" ht="14.25" customHeight="1">
      <c r="A967" s="54"/>
    </row>
    <row r="968" ht="14.25" customHeight="1">
      <c r="A968" s="54"/>
    </row>
    <row r="969" ht="14.25" customHeight="1">
      <c r="A969" s="54"/>
    </row>
    <row r="970" ht="14.25" customHeight="1">
      <c r="A970" s="54"/>
    </row>
    <row r="971" ht="14.25" customHeight="1">
      <c r="A971" s="54"/>
    </row>
    <row r="972" ht="14.25" customHeight="1">
      <c r="A972" s="54"/>
    </row>
    <row r="973" ht="14.25" customHeight="1">
      <c r="A973" s="54"/>
    </row>
    <row r="974" ht="14.25" customHeight="1">
      <c r="A974" s="54"/>
    </row>
    <row r="975" ht="14.25" customHeight="1">
      <c r="A975" s="54"/>
    </row>
    <row r="976" ht="14.25" customHeight="1">
      <c r="A976" s="54"/>
    </row>
    <row r="977" ht="14.25" customHeight="1">
      <c r="A977" s="54"/>
    </row>
    <row r="978" ht="14.25" customHeight="1">
      <c r="A978" s="54"/>
    </row>
    <row r="979" ht="14.25" customHeight="1">
      <c r="A979" s="54"/>
    </row>
    <row r="980" ht="14.25" customHeight="1">
      <c r="A980" s="54"/>
    </row>
    <row r="981" ht="14.25" customHeight="1">
      <c r="A981" s="54"/>
    </row>
    <row r="982" ht="14.25" customHeight="1">
      <c r="A982" s="54"/>
    </row>
    <row r="983" ht="14.25" customHeight="1">
      <c r="A983" s="54"/>
    </row>
    <row r="984" ht="14.25" customHeight="1">
      <c r="A984" s="54"/>
    </row>
    <row r="985" ht="14.25" customHeight="1">
      <c r="A985" s="54"/>
    </row>
    <row r="986" ht="14.25" customHeight="1">
      <c r="A986" s="54"/>
    </row>
    <row r="987" ht="14.25" customHeight="1">
      <c r="A987" s="54"/>
    </row>
    <row r="988" ht="14.25" customHeight="1">
      <c r="A988" s="54"/>
    </row>
    <row r="989" ht="14.25" customHeight="1">
      <c r="A989" s="54"/>
    </row>
    <row r="990" ht="14.25" customHeight="1">
      <c r="A990" s="54"/>
    </row>
    <row r="991" ht="14.25" customHeight="1">
      <c r="A991" s="54"/>
    </row>
    <row r="992" ht="14.25" customHeight="1">
      <c r="A992" s="54"/>
    </row>
    <row r="993" ht="14.25" customHeight="1">
      <c r="A993" s="54"/>
    </row>
    <row r="994" ht="14.25" customHeight="1">
      <c r="A994" s="54"/>
    </row>
    <row r="995" ht="14.25" customHeight="1">
      <c r="A995" s="54"/>
    </row>
    <row r="996" ht="14.25" customHeight="1">
      <c r="A996" s="54"/>
    </row>
    <row r="997" ht="14.25" customHeight="1">
      <c r="A997" s="54"/>
    </row>
    <row r="998" ht="14.25" customHeight="1">
      <c r="A998" s="54"/>
    </row>
    <row r="999" ht="14.25" customHeight="1">
      <c r="A999" s="54"/>
    </row>
    <row r="1000" ht="14.25" customHeight="1">
      <c r="A1000" s="54"/>
    </row>
  </sheetData>
  <mergeCells count="19">
    <mergeCell ref="A1:D1"/>
    <mergeCell ref="A3:A4"/>
    <mergeCell ref="B3:B4"/>
    <mergeCell ref="C3:C4"/>
    <mergeCell ref="D3:D4"/>
    <mergeCell ref="E3:E4"/>
    <mergeCell ref="F3:F4"/>
    <mergeCell ref="B43:B44"/>
    <mergeCell ref="C43:C44"/>
    <mergeCell ref="D43:D44"/>
    <mergeCell ref="E43:E44"/>
    <mergeCell ref="A19:A20"/>
    <mergeCell ref="B19:B20"/>
    <mergeCell ref="C19:C20"/>
    <mergeCell ref="D19:D20"/>
    <mergeCell ref="E19:E20"/>
    <mergeCell ref="F19:F20"/>
    <mergeCell ref="A43:A44"/>
    <mergeCell ref="F43:F44"/>
  </mergeCells>
  <printOptions/>
  <pageMargins bottom="0.75" footer="0.0" header="0.0" left="0.7" right="0.7" top="0.25"/>
  <pageSetup paperSize="9" scale="95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42.43"/>
    <col customWidth="1" min="3" max="3" width="30.57"/>
    <col customWidth="1" min="4" max="4" width="7.71"/>
    <col customWidth="1" min="5" max="26" width="9.0"/>
  </cols>
  <sheetData>
    <row r="1" ht="14.25" customHeight="1">
      <c r="A1" s="351" t="s">
        <v>6209</v>
      </c>
    </row>
    <row r="2" ht="14.25" customHeight="1">
      <c r="A2" s="85" t="s">
        <v>6210</v>
      </c>
    </row>
    <row r="3" ht="14.25" customHeight="1"/>
    <row r="4" ht="14.25" customHeight="1"/>
    <row r="5" ht="14.25" customHeight="1">
      <c r="A5" s="86"/>
      <c r="B5" s="352" t="s">
        <v>6211</v>
      </c>
      <c r="C5" s="352" t="s">
        <v>6212</v>
      </c>
      <c r="D5" s="351"/>
      <c r="E5" s="351"/>
    </row>
    <row r="6" ht="28.5" customHeight="1">
      <c r="A6" s="146">
        <v>1.0</v>
      </c>
      <c r="B6" s="353" t="s">
        <v>6213</v>
      </c>
      <c r="C6" s="342"/>
      <c r="D6" s="354"/>
      <c r="E6" s="354"/>
      <c r="F6" s="354"/>
      <c r="G6" s="354"/>
      <c r="H6" s="354"/>
      <c r="I6" s="354"/>
      <c r="J6" s="354"/>
      <c r="K6" s="354"/>
      <c r="L6" s="354"/>
      <c r="M6" s="354"/>
      <c r="N6" s="354"/>
      <c r="O6" s="354"/>
      <c r="P6" s="354"/>
      <c r="Q6" s="354"/>
      <c r="R6" s="354"/>
      <c r="S6" s="354"/>
      <c r="T6" s="354"/>
      <c r="U6" s="354"/>
      <c r="V6" s="354"/>
      <c r="W6" s="354"/>
      <c r="X6" s="354"/>
      <c r="Y6" s="354"/>
      <c r="Z6" s="354"/>
    </row>
    <row r="7" ht="28.5" customHeight="1">
      <c r="A7" s="146">
        <v>2.0</v>
      </c>
      <c r="B7" s="353" t="s">
        <v>6214</v>
      </c>
      <c r="C7" s="342"/>
      <c r="D7" s="354"/>
      <c r="E7" s="354"/>
      <c r="F7" s="354"/>
      <c r="G7" s="354"/>
      <c r="H7" s="354"/>
      <c r="I7" s="354"/>
      <c r="J7" s="354"/>
      <c r="K7" s="354"/>
      <c r="L7" s="354"/>
      <c r="M7" s="354"/>
      <c r="N7" s="354"/>
      <c r="O7" s="354"/>
      <c r="P7" s="354"/>
      <c r="Q7" s="354"/>
      <c r="R7" s="354"/>
      <c r="S7" s="354"/>
      <c r="T7" s="354"/>
      <c r="U7" s="354"/>
      <c r="V7" s="354"/>
      <c r="W7" s="354"/>
      <c r="X7" s="354"/>
      <c r="Y7" s="354"/>
      <c r="Z7" s="354"/>
    </row>
    <row r="8" ht="28.5" customHeight="1">
      <c r="A8" s="146">
        <v>3.0</v>
      </c>
      <c r="B8" s="353" t="s">
        <v>6215</v>
      </c>
      <c r="C8" s="342"/>
      <c r="D8" s="354"/>
      <c r="E8" s="354"/>
      <c r="F8" s="354"/>
      <c r="G8" s="354"/>
      <c r="H8" s="354"/>
      <c r="I8" s="354"/>
      <c r="J8" s="354"/>
      <c r="K8" s="354"/>
      <c r="L8" s="354"/>
      <c r="M8" s="354"/>
      <c r="N8" s="354"/>
      <c r="O8" s="354"/>
      <c r="P8" s="354"/>
      <c r="Q8" s="354"/>
      <c r="R8" s="354"/>
      <c r="S8" s="354"/>
      <c r="T8" s="354"/>
      <c r="U8" s="354"/>
      <c r="V8" s="354"/>
      <c r="W8" s="354"/>
      <c r="X8" s="354"/>
      <c r="Y8" s="354"/>
      <c r="Z8" s="354"/>
    </row>
    <row r="9" ht="28.5" customHeight="1">
      <c r="A9" s="146">
        <v>4.0</v>
      </c>
      <c r="B9" s="353" t="s">
        <v>6216</v>
      </c>
      <c r="C9" s="342"/>
      <c r="D9" s="354"/>
      <c r="E9" s="354"/>
      <c r="F9" s="354"/>
      <c r="G9" s="354"/>
      <c r="H9" s="354"/>
      <c r="I9" s="354"/>
      <c r="J9" s="354"/>
      <c r="K9" s="354"/>
      <c r="L9" s="354"/>
      <c r="M9" s="354"/>
      <c r="N9" s="354"/>
      <c r="O9" s="354"/>
      <c r="P9" s="354"/>
      <c r="Q9" s="354"/>
      <c r="R9" s="354"/>
      <c r="S9" s="354"/>
      <c r="T9" s="354"/>
      <c r="U9" s="354"/>
      <c r="V9" s="354"/>
      <c r="W9" s="354"/>
      <c r="X9" s="354"/>
      <c r="Y9" s="354"/>
      <c r="Z9" s="354"/>
    </row>
    <row r="10" ht="28.5" customHeight="1">
      <c r="A10" s="146">
        <v>5.0</v>
      </c>
      <c r="B10" s="353" t="s">
        <v>6217</v>
      </c>
      <c r="C10" s="342"/>
      <c r="D10" s="354"/>
      <c r="E10" s="354"/>
      <c r="F10" s="354"/>
      <c r="G10" s="354"/>
      <c r="H10" s="354"/>
      <c r="I10" s="354"/>
      <c r="J10" s="354"/>
      <c r="K10" s="354"/>
      <c r="L10" s="354"/>
      <c r="M10" s="354"/>
      <c r="N10" s="354"/>
      <c r="O10" s="354"/>
      <c r="P10" s="354"/>
      <c r="Q10" s="354"/>
      <c r="R10" s="354"/>
      <c r="S10" s="354"/>
      <c r="T10" s="354"/>
      <c r="U10" s="354"/>
      <c r="V10" s="354"/>
      <c r="W10" s="354"/>
      <c r="X10" s="354"/>
      <c r="Y10" s="354"/>
      <c r="Z10" s="354"/>
    </row>
    <row r="11" ht="28.5" customHeight="1">
      <c r="A11" s="146">
        <v>6.0</v>
      </c>
      <c r="B11" s="353" t="s">
        <v>6218</v>
      </c>
      <c r="C11" s="342"/>
      <c r="D11" s="354"/>
      <c r="E11" s="354"/>
      <c r="F11" s="354"/>
      <c r="G11" s="354"/>
      <c r="H11" s="354"/>
      <c r="I11" s="354"/>
      <c r="J11" s="354"/>
      <c r="K11" s="354"/>
      <c r="L11" s="354"/>
      <c r="M11" s="354"/>
      <c r="N11" s="354"/>
      <c r="O11" s="354"/>
      <c r="P11" s="354"/>
      <c r="Q11" s="354"/>
      <c r="R11" s="354"/>
      <c r="S11" s="354"/>
      <c r="T11" s="354"/>
      <c r="U11" s="354"/>
      <c r="V11" s="354"/>
      <c r="W11" s="354"/>
      <c r="X11" s="354"/>
      <c r="Y11" s="354"/>
      <c r="Z11" s="354"/>
    </row>
    <row r="12" ht="28.5" customHeight="1">
      <c r="A12" s="146">
        <v>7.0</v>
      </c>
      <c r="B12" s="353" t="s">
        <v>6219</v>
      </c>
      <c r="C12" s="342"/>
      <c r="D12" s="354"/>
      <c r="E12" s="354"/>
      <c r="F12" s="354"/>
      <c r="G12" s="354"/>
      <c r="H12" s="354"/>
      <c r="I12" s="354"/>
      <c r="J12" s="354"/>
      <c r="K12" s="354"/>
      <c r="L12" s="354"/>
      <c r="M12" s="354"/>
      <c r="N12" s="354"/>
      <c r="O12" s="354"/>
      <c r="P12" s="354"/>
      <c r="Q12" s="354"/>
      <c r="R12" s="354"/>
      <c r="S12" s="354"/>
      <c r="T12" s="354"/>
      <c r="U12" s="354"/>
      <c r="V12" s="354"/>
      <c r="W12" s="354"/>
      <c r="X12" s="354"/>
      <c r="Y12" s="354"/>
      <c r="Z12" s="354"/>
    </row>
    <row r="13" ht="28.5" customHeight="1">
      <c r="A13" s="146">
        <v>8.0</v>
      </c>
      <c r="B13" s="353" t="s">
        <v>6220</v>
      </c>
      <c r="C13" s="342"/>
      <c r="D13" s="354"/>
      <c r="E13" s="354"/>
      <c r="F13" s="354"/>
      <c r="G13" s="354"/>
      <c r="H13" s="354"/>
      <c r="I13" s="354"/>
      <c r="J13" s="354"/>
      <c r="K13" s="354"/>
      <c r="L13" s="354"/>
      <c r="M13" s="354"/>
      <c r="N13" s="354"/>
      <c r="O13" s="354"/>
      <c r="P13" s="354"/>
      <c r="Q13" s="354"/>
      <c r="R13" s="354"/>
      <c r="S13" s="354"/>
      <c r="T13" s="354"/>
      <c r="U13" s="354"/>
      <c r="V13" s="354"/>
      <c r="W13" s="354"/>
      <c r="X13" s="354"/>
      <c r="Y13" s="354"/>
      <c r="Z13" s="354"/>
    </row>
    <row r="14" ht="28.5" customHeight="1">
      <c r="A14" s="146">
        <v>9.0</v>
      </c>
      <c r="B14" s="353" t="s">
        <v>6221</v>
      </c>
      <c r="C14" s="342"/>
      <c r="D14" s="354"/>
      <c r="E14" s="354"/>
      <c r="F14" s="354"/>
      <c r="G14" s="354"/>
      <c r="H14" s="354"/>
      <c r="I14" s="354"/>
      <c r="J14" s="354"/>
      <c r="K14" s="354"/>
      <c r="L14" s="354"/>
      <c r="M14" s="354"/>
      <c r="N14" s="354"/>
      <c r="O14" s="354"/>
      <c r="P14" s="354"/>
      <c r="Q14" s="354"/>
      <c r="R14" s="354"/>
      <c r="S14" s="354"/>
      <c r="T14" s="354"/>
      <c r="U14" s="354"/>
      <c r="V14" s="354"/>
      <c r="W14" s="354"/>
      <c r="X14" s="354"/>
      <c r="Y14" s="354"/>
      <c r="Z14" s="354"/>
    </row>
    <row r="15" ht="28.5" customHeight="1">
      <c r="A15" s="146">
        <v>10.0</v>
      </c>
      <c r="B15" s="353" t="s">
        <v>6222</v>
      </c>
      <c r="C15" s="342"/>
      <c r="D15" s="354"/>
      <c r="E15" s="354"/>
      <c r="F15" s="354"/>
      <c r="G15" s="354"/>
      <c r="H15" s="354"/>
      <c r="I15" s="354"/>
      <c r="J15" s="354"/>
      <c r="K15" s="354"/>
      <c r="L15" s="354"/>
      <c r="M15" s="354"/>
      <c r="N15" s="354"/>
      <c r="O15" s="354"/>
      <c r="P15" s="354"/>
      <c r="Q15" s="354"/>
      <c r="R15" s="354"/>
      <c r="S15" s="354"/>
      <c r="T15" s="354"/>
      <c r="U15" s="354"/>
      <c r="V15" s="354"/>
      <c r="W15" s="354"/>
      <c r="X15" s="354"/>
      <c r="Y15" s="354"/>
      <c r="Z15" s="354"/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 ht="14.25" customHeight="1">
      <c r="A1" s="85">
        <v>202.0</v>
      </c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